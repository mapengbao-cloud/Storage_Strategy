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E:\DataWork\Storage_Strategy\02 Dayahead_Trading_Review\assets\"/>
    </mc:Choice>
  </mc:AlternateContent>
  <xr:revisionPtr revIDLastSave="0" documentId="13_ncr:1_{0CC2B104-B8B6-4AFF-B612-7156FA84807D}" xr6:coauthVersionLast="36" xr6:coauthVersionMax="36" xr10:uidLastSave="{00000000-0000-0000-0000-000000000000}"/>
  <bookViews>
    <workbookView xWindow="0" yWindow="0" windowWidth="28800" windowHeight="12252" activeTab="2" xr2:uid="{00000000-000D-0000-FFFF-FFFF00000000}"/>
  </bookViews>
  <sheets>
    <sheet name="充放测算" sheetId="1" r:id="rId1"/>
    <sheet name="报价及预中标" sheetId="3" r:id="rId2"/>
    <sheet name="容量分摊系数" sheetId="5" r:id="rId3"/>
  </sheets>
  <calcPr calcId="191029"/>
</workbook>
</file>

<file path=xl/calcChain.xml><?xml version="1.0" encoding="utf-8"?>
<calcChain xmlns="http://schemas.openxmlformats.org/spreadsheetml/2006/main">
  <c r="M3" i="3" l="1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2" i="3"/>
  <c r="L77" i="3"/>
  <c r="E83" i="5" s="1"/>
  <c r="C83" i="5" s="1"/>
  <c r="L78" i="3"/>
  <c r="E84" i="5" s="1"/>
  <c r="C84" i="5" s="1"/>
  <c r="L79" i="3"/>
  <c r="E85" i="5" s="1"/>
  <c r="C85" i="5" s="1"/>
  <c r="L80" i="3"/>
  <c r="E86" i="5" s="1"/>
  <c r="C86" i="5" s="1"/>
  <c r="L81" i="3"/>
  <c r="E87" i="5" s="1"/>
  <c r="C87" i="5" s="1"/>
  <c r="L82" i="3"/>
  <c r="E88" i="5" s="1"/>
  <c r="C88" i="5" s="1"/>
  <c r="L83" i="3"/>
  <c r="E89" i="5" s="1"/>
  <c r="C89" i="5" s="1"/>
  <c r="L84" i="3"/>
  <c r="E90" i="5" s="1"/>
  <c r="C90" i="5" s="1"/>
  <c r="L85" i="3"/>
  <c r="E91" i="5" s="1"/>
  <c r="C91" i="5" s="1"/>
  <c r="L86" i="3"/>
  <c r="E92" i="5" s="1"/>
  <c r="C92" i="5" s="1"/>
  <c r="L87" i="3"/>
  <c r="E93" i="5" s="1"/>
  <c r="C93" i="5" s="1"/>
  <c r="L88" i="3"/>
  <c r="E94" i="5" s="1"/>
  <c r="C94" i="5" s="1"/>
  <c r="L89" i="3"/>
  <c r="E95" i="5" s="1"/>
  <c r="C95" i="5" s="1"/>
  <c r="L90" i="3"/>
  <c r="E96" i="5" s="1"/>
  <c r="C96" i="5" s="1"/>
  <c r="L91" i="3"/>
  <c r="E97" i="5" s="1"/>
  <c r="C97" i="5" s="1"/>
  <c r="L92" i="3"/>
  <c r="E98" i="5" s="1"/>
  <c r="C98" i="5" s="1"/>
  <c r="L93" i="3"/>
  <c r="E99" i="5" s="1"/>
  <c r="C99" i="5" s="1"/>
  <c r="L94" i="3"/>
  <c r="E100" i="5" s="1"/>
  <c r="C100" i="5" s="1"/>
  <c r="L95" i="3"/>
  <c r="E101" i="5" s="1"/>
  <c r="C101" i="5" s="1"/>
  <c r="L96" i="3"/>
  <c r="E102" i="5" s="1"/>
  <c r="C102" i="5" s="1"/>
  <c r="L97" i="3"/>
  <c r="E103" i="5" s="1"/>
  <c r="C103" i="5" s="1"/>
  <c r="L3" i="3"/>
  <c r="E9" i="5" s="1"/>
  <c r="C9" i="5" s="1"/>
  <c r="L4" i="3"/>
  <c r="E10" i="5" s="1"/>
  <c r="C10" i="5" s="1"/>
  <c r="L5" i="3"/>
  <c r="E11" i="5" s="1"/>
  <c r="C11" i="5" s="1"/>
  <c r="L6" i="3"/>
  <c r="E12" i="5" s="1"/>
  <c r="C12" i="5" s="1"/>
  <c r="L7" i="3"/>
  <c r="E13" i="5" s="1"/>
  <c r="C13" i="5" s="1"/>
  <c r="L8" i="3"/>
  <c r="E14" i="5" s="1"/>
  <c r="C14" i="5" s="1"/>
  <c r="L9" i="3"/>
  <c r="E15" i="5" s="1"/>
  <c r="C15" i="5" s="1"/>
  <c r="L10" i="3"/>
  <c r="E16" i="5" s="1"/>
  <c r="C16" i="5" s="1"/>
  <c r="L11" i="3"/>
  <c r="E17" i="5" s="1"/>
  <c r="C17" i="5" s="1"/>
  <c r="L12" i="3"/>
  <c r="E18" i="5" s="1"/>
  <c r="C18" i="5" s="1"/>
  <c r="L13" i="3"/>
  <c r="E19" i="5" s="1"/>
  <c r="C19" i="5" s="1"/>
  <c r="L14" i="3"/>
  <c r="E20" i="5" s="1"/>
  <c r="C20" i="5" s="1"/>
  <c r="L15" i="3"/>
  <c r="E21" i="5" s="1"/>
  <c r="C21" i="5" s="1"/>
  <c r="L16" i="3"/>
  <c r="E22" i="5" s="1"/>
  <c r="C22" i="5" s="1"/>
  <c r="L17" i="3"/>
  <c r="E23" i="5" s="1"/>
  <c r="C23" i="5" s="1"/>
  <c r="L18" i="3"/>
  <c r="E24" i="5" s="1"/>
  <c r="C24" i="5" s="1"/>
  <c r="L19" i="3"/>
  <c r="E25" i="5" s="1"/>
  <c r="C25" i="5" s="1"/>
  <c r="L20" i="3"/>
  <c r="E26" i="5" s="1"/>
  <c r="C26" i="5" s="1"/>
  <c r="L21" i="3"/>
  <c r="E27" i="5" s="1"/>
  <c r="C27" i="5" s="1"/>
  <c r="L22" i="3"/>
  <c r="E28" i="5" s="1"/>
  <c r="C28" i="5" s="1"/>
  <c r="L23" i="3"/>
  <c r="E29" i="5" s="1"/>
  <c r="C29" i="5" s="1"/>
  <c r="L24" i="3"/>
  <c r="E30" i="5" s="1"/>
  <c r="C30" i="5" s="1"/>
  <c r="L25" i="3"/>
  <c r="E31" i="5" s="1"/>
  <c r="C31" i="5" s="1"/>
  <c r="L26" i="3"/>
  <c r="E32" i="5" s="1"/>
  <c r="C32" i="5" s="1"/>
  <c r="L27" i="3"/>
  <c r="E33" i="5" s="1"/>
  <c r="C33" i="5" s="1"/>
  <c r="L28" i="3"/>
  <c r="E34" i="5" s="1"/>
  <c r="C34" i="5" s="1"/>
  <c r="L29" i="3"/>
  <c r="E35" i="5" s="1"/>
  <c r="C35" i="5" s="1"/>
  <c r="L30" i="3"/>
  <c r="E36" i="5" s="1"/>
  <c r="C36" i="5" s="1"/>
  <c r="L31" i="3"/>
  <c r="E37" i="5" s="1"/>
  <c r="C37" i="5" s="1"/>
  <c r="L32" i="3"/>
  <c r="E38" i="5" s="1"/>
  <c r="C38" i="5" s="1"/>
  <c r="L33" i="3"/>
  <c r="E39" i="5" s="1"/>
  <c r="C39" i="5" s="1"/>
  <c r="L34" i="3"/>
  <c r="E40" i="5" s="1"/>
  <c r="C40" i="5" s="1"/>
  <c r="L35" i="3"/>
  <c r="E41" i="5" s="1"/>
  <c r="C41" i="5" s="1"/>
  <c r="L36" i="3"/>
  <c r="E42" i="5" s="1"/>
  <c r="C42" i="5" s="1"/>
  <c r="L37" i="3"/>
  <c r="E43" i="5" s="1"/>
  <c r="C43" i="5" s="1"/>
  <c r="L38" i="3"/>
  <c r="E44" i="5" s="1"/>
  <c r="C44" i="5" s="1"/>
  <c r="L39" i="3"/>
  <c r="E45" i="5" s="1"/>
  <c r="C45" i="5" s="1"/>
  <c r="L40" i="3"/>
  <c r="E46" i="5" s="1"/>
  <c r="C46" i="5" s="1"/>
  <c r="L41" i="3"/>
  <c r="E47" i="5" s="1"/>
  <c r="C47" i="5" s="1"/>
  <c r="L42" i="3"/>
  <c r="E48" i="5" s="1"/>
  <c r="C48" i="5" s="1"/>
  <c r="L43" i="3"/>
  <c r="E49" i="5" s="1"/>
  <c r="C49" i="5" s="1"/>
  <c r="L44" i="3"/>
  <c r="E50" i="5" s="1"/>
  <c r="C50" i="5" s="1"/>
  <c r="L45" i="3"/>
  <c r="E51" i="5" s="1"/>
  <c r="C51" i="5" s="1"/>
  <c r="L46" i="3"/>
  <c r="E52" i="5" s="1"/>
  <c r="C52" i="5" s="1"/>
  <c r="L47" i="3"/>
  <c r="E53" i="5" s="1"/>
  <c r="C53" i="5" s="1"/>
  <c r="L48" i="3"/>
  <c r="E54" i="5" s="1"/>
  <c r="C54" i="5" s="1"/>
  <c r="L49" i="3"/>
  <c r="E55" i="5" s="1"/>
  <c r="C55" i="5" s="1"/>
  <c r="L50" i="3"/>
  <c r="E56" i="5" s="1"/>
  <c r="C56" i="5" s="1"/>
  <c r="L51" i="3"/>
  <c r="E57" i="5" s="1"/>
  <c r="C57" i="5" s="1"/>
  <c r="L52" i="3"/>
  <c r="E58" i="5" s="1"/>
  <c r="C58" i="5" s="1"/>
  <c r="L53" i="3"/>
  <c r="E59" i="5" s="1"/>
  <c r="C59" i="5" s="1"/>
  <c r="L54" i="3"/>
  <c r="E60" i="5" s="1"/>
  <c r="C60" i="5" s="1"/>
  <c r="L55" i="3"/>
  <c r="E61" i="5" s="1"/>
  <c r="C61" i="5" s="1"/>
  <c r="L56" i="3"/>
  <c r="E62" i="5" s="1"/>
  <c r="C62" i="5" s="1"/>
  <c r="L57" i="3"/>
  <c r="E63" i="5" s="1"/>
  <c r="C63" i="5" s="1"/>
  <c r="L58" i="3"/>
  <c r="E64" i="5" s="1"/>
  <c r="C64" i="5" s="1"/>
  <c r="L59" i="3"/>
  <c r="E65" i="5" s="1"/>
  <c r="C65" i="5" s="1"/>
  <c r="L60" i="3"/>
  <c r="E66" i="5" s="1"/>
  <c r="C66" i="5" s="1"/>
  <c r="L61" i="3"/>
  <c r="E67" i="5" s="1"/>
  <c r="C67" i="5" s="1"/>
  <c r="L62" i="3"/>
  <c r="E68" i="5" s="1"/>
  <c r="C68" i="5" s="1"/>
  <c r="L63" i="3"/>
  <c r="E69" i="5" s="1"/>
  <c r="C69" i="5" s="1"/>
  <c r="L64" i="3"/>
  <c r="E70" i="5" s="1"/>
  <c r="C70" i="5" s="1"/>
  <c r="L65" i="3"/>
  <c r="E71" i="5" s="1"/>
  <c r="C71" i="5" s="1"/>
  <c r="L66" i="3"/>
  <c r="E72" i="5" s="1"/>
  <c r="C72" i="5" s="1"/>
  <c r="L67" i="3"/>
  <c r="E73" i="5" s="1"/>
  <c r="C73" i="5" s="1"/>
  <c r="L68" i="3"/>
  <c r="E74" i="5" s="1"/>
  <c r="C74" i="5" s="1"/>
  <c r="L69" i="3"/>
  <c r="E75" i="5" s="1"/>
  <c r="C75" i="5" s="1"/>
  <c r="L70" i="3"/>
  <c r="E76" i="5" s="1"/>
  <c r="C76" i="5" s="1"/>
  <c r="L71" i="3"/>
  <c r="E77" i="5" s="1"/>
  <c r="C77" i="5" s="1"/>
  <c r="L72" i="3"/>
  <c r="E78" i="5" s="1"/>
  <c r="C78" i="5" s="1"/>
  <c r="L73" i="3"/>
  <c r="E79" i="5" s="1"/>
  <c r="C79" i="5" s="1"/>
  <c r="L74" i="3"/>
  <c r="E80" i="5" s="1"/>
  <c r="C80" i="5" s="1"/>
  <c r="L75" i="3"/>
  <c r="E81" i="5" s="1"/>
  <c r="C81" i="5" s="1"/>
  <c r="L76" i="3"/>
  <c r="E82" i="5" s="1"/>
  <c r="C82" i="5" s="1"/>
  <c r="L2" i="3"/>
  <c r="E8" i="5" s="1"/>
  <c r="C8" i="5" s="1"/>
  <c r="D74" i="5" a="1"/>
  <c r="D63" i="5" a="1"/>
  <c r="D94" i="5" a="1"/>
  <c r="D48" i="5" a="1"/>
  <c r="D9" i="5" a="1"/>
  <c r="D80" i="5" a="1"/>
  <c r="D52" i="5" a="1"/>
  <c r="D29" i="5" a="1"/>
  <c r="D36" i="5" a="1"/>
  <c r="D72" i="5" a="1"/>
  <c r="D46" i="5" a="1"/>
  <c r="D97" i="5" a="1"/>
  <c r="D12" i="5" a="1"/>
  <c r="D14" i="5" a="1"/>
  <c r="D96" i="5" a="1"/>
  <c r="D38" i="5" a="1"/>
  <c r="D89" i="5" a="1"/>
  <c r="D39" i="5" a="1"/>
  <c r="D42" i="5" a="1"/>
  <c r="D22" i="5" a="1"/>
  <c r="D53" i="5" a="1"/>
  <c r="D64" i="5" a="1"/>
  <c r="D50" i="5" a="1"/>
  <c r="D37" i="5" a="1"/>
  <c r="D103" i="5" a="1"/>
  <c r="D45" i="5" a="1"/>
  <c r="D10" i="5" a="1"/>
  <c r="D58" i="5" a="1"/>
  <c r="D28" i="5" a="1"/>
  <c r="D25" i="5" a="1"/>
  <c r="D68" i="5" a="1"/>
  <c r="D65" i="5" a="1"/>
  <c r="D30" i="5" a="1"/>
  <c r="D93" i="5" a="1"/>
  <c r="D20" i="5" a="1"/>
  <c r="D40" i="5" a="1"/>
  <c r="D86" i="5" a="1"/>
  <c r="D76" i="5" a="1"/>
  <c r="D92" i="5" a="1"/>
  <c r="D81" i="5" a="1"/>
  <c r="D31" i="5" a="1"/>
  <c r="D57" i="5" a="1"/>
  <c r="D21" i="5" a="1"/>
  <c r="D102" i="5" a="1"/>
  <c r="D101" i="5" a="1"/>
  <c r="D70" i="5" a="1"/>
  <c r="D83" i="5" a="1"/>
  <c r="D18" i="5" a="1"/>
  <c r="D41" i="5" a="1"/>
  <c r="D11" i="5" a="1"/>
  <c r="D71" i="5" a="1"/>
  <c r="D100" i="5" a="1"/>
  <c r="D23" i="5" a="1"/>
  <c r="D67" i="5" a="1"/>
  <c r="D87" i="5" a="1"/>
  <c r="D98" i="5" a="1"/>
  <c r="D26" i="5" a="1"/>
  <c r="D90" i="5" a="1"/>
  <c r="D49" i="5" a="1"/>
  <c r="D19" i="5" a="1"/>
  <c r="D75" i="5" a="1"/>
  <c r="D24" i="5" a="1"/>
  <c r="D88" i="5" a="1"/>
  <c r="D47" i="5" a="1"/>
  <c r="D34" i="5" a="1"/>
  <c r="D44" i="5" a="1"/>
  <c r="D32" i="5" a="1"/>
  <c r="D82" i="5" a="1"/>
  <c r="D78" i="5" a="1"/>
  <c r="D99" i="5" a="1"/>
  <c r="D17" i="5" a="1"/>
  <c r="D62" i="5" a="1"/>
  <c r="D13" i="5" a="1"/>
  <c r="D55" i="5" a="1"/>
  <c r="D8" i="5" a="1"/>
  <c r="D27" i="5" a="1"/>
  <c r="D35" i="5" a="1"/>
  <c r="D59" i="5" a="1"/>
  <c r="D16" i="5" a="1"/>
  <c r="D33" i="5" a="1"/>
  <c r="D84" i="5" a="1"/>
  <c r="D61" i="5" a="1"/>
  <c r="D15" i="5" a="1"/>
  <c r="D54" i="5" a="1"/>
  <c r="D56" i="5" a="1"/>
  <c r="D69" i="5" a="1"/>
  <c r="D43" i="5" a="1"/>
  <c r="D66" i="5" a="1"/>
  <c r="D51" i="5" a="1"/>
  <c r="D95" i="5" a="1"/>
  <c r="D91" i="5" a="1"/>
  <c r="D85" i="5" a="1"/>
  <c r="D73" i="5" a="1"/>
  <c r="D60" i="5" a="1"/>
  <c r="D79" i="5" a="1"/>
  <c r="D77" i="5" a="1"/>
  <c r="D34" i="5" l="1"/>
  <c r="D30" i="5"/>
  <c r="D16" i="5"/>
  <c r="D100" i="5"/>
  <c r="D68" i="5"/>
  <c r="D75" i="5"/>
  <c r="D47" i="5"/>
  <c r="D86" i="5"/>
  <c r="D10" i="5"/>
  <c r="D78" i="5"/>
  <c r="D67" i="5"/>
  <c r="D97" i="5"/>
  <c r="D79" i="5"/>
  <c r="D87" i="5"/>
  <c r="D20" i="5"/>
  <c r="D89" i="5"/>
  <c r="D57" i="5"/>
  <c r="D9" i="5"/>
  <c r="D13" i="5"/>
  <c r="D14" i="5"/>
  <c r="D69" i="5"/>
  <c r="D84" i="5"/>
  <c r="D29" i="5"/>
  <c r="D23" i="5"/>
  <c r="D90" i="5"/>
  <c r="D21" i="5"/>
  <c r="D94" i="5"/>
  <c r="D51" i="5"/>
  <c r="D59" i="5"/>
  <c r="D98" i="5"/>
  <c r="D55" i="5"/>
  <c r="D91" i="5"/>
  <c r="D52" i="5"/>
  <c r="D25" i="5"/>
  <c r="D96" i="5"/>
  <c r="D22" i="5"/>
  <c r="D73" i="5"/>
  <c r="D12" i="5"/>
  <c r="D77" i="5"/>
  <c r="D88" i="5"/>
  <c r="D61" i="5"/>
  <c r="D17" i="5"/>
  <c r="D32" i="5"/>
  <c r="D82" i="5"/>
  <c r="D8" i="5"/>
  <c r="D93" i="5"/>
  <c r="D81" i="5"/>
  <c r="D101" i="5"/>
  <c r="D70" i="5"/>
  <c r="D26" i="5"/>
  <c r="D39" i="5"/>
  <c r="D63" i="5"/>
  <c r="D38" i="5"/>
  <c r="D64" i="5"/>
  <c r="D56" i="5"/>
  <c r="D18" i="5"/>
  <c r="D11" i="5"/>
  <c r="D19" i="5"/>
  <c r="D49" i="5"/>
  <c r="D65" i="5"/>
  <c r="D102" i="5"/>
  <c r="D28" i="5"/>
  <c r="D40" i="5"/>
  <c r="D46" i="5"/>
  <c r="D33" i="5"/>
  <c r="D27" i="5"/>
  <c r="D71" i="5"/>
  <c r="D15" i="5"/>
  <c r="D80" i="5"/>
  <c r="D99" i="5"/>
  <c r="D54" i="5"/>
  <c r="D45" i="5"/>
  <c r="D36" i="5"/>
  <c r="D92" i="5"/>
  <c r="D74" i="5"/>
  <c r="D41" i="5"/>
  <c r="D76" i="5"/>
  <c r="D85" i="5"/>
  <c r="D66" i="5"/>
  <c r="D103" i="5"/>
  <c r="D60" i="5"/>
  <c r="D31" i="5"/>
  <c r="D50" i="5"/>
  <c r="D53" i="5"/>
  <c r="D24" i="5"/>
  <c r="D58" i="5"/>
  <c r="D42" i="5"/>
  <c r="D43" i="5"/>
  <c r="D62" i="5"/>
  <c r="D48" i="5"/>
  <c r="D44" i="5"/>
  <c r="D95" i="5"/>
  <c r="D37" i="5"/>
  <c r="D72" i="5"/>
  <c r="D83" i="5"/>
  <c r="D35" i="5"/>
  <c r="I97" i="3"/>
  <c r="I96" i="3"/>
  <c r="I95" i="3"/>
  <c r="I94" i="3"/>
  <c r="I93" i="3"/>
  <c r="I92" i="3"/>
  <c r="I91" i="3"/>
  <c r="I90" i="3"/>
  <c r="I89" i="3"/>
  <c r="I88" i="3"/>
  <c r="I87" i="3"/>
  <c r="I86" i="3"/>
  <c r="I85" i="3"/>
  <c r="I84" i="3"/>
  <c r="I83" i="3"/>
  <c r="I82" i="3"/>
  <c r="I81" i="3"/>
  <c r="I80" i="3"/>
  <c r="I79" i="3"/>
  <c r="I78" i="3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D27" i="3" a="1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I3" i="3"/>
  <c r="I2" i="3"/>
  <c r="K13" i="1"/>
  <c r="K12" i="1"/>
  <c r="K11" i="1"/>
  <c r="K10" i="1"/>
  <c r="K9" i="1"/>
  <c r="K8" i="1"/>
  <c r="K7" i="1"/>
  <c r="K6" i="1"/>
  <c r="C3" i="5" l="1" a="1"/>
  <c r="C3" i="5" s="1"/>
  <c r="G3" i="5" a="1"/>
  <c r="G3" i="5" s="1"/>
  <c r="J4" i="1" s="1"/>
  <c r="B25" i="3"/>
  <c r="B27" i="3"/>
  <c r="B26" i="3" s="1"/>
  <c r="D27" i="3" l="1"/>
  <c r="D25" i="3"/>
  <c r="M4" i="1" s="1"/>
  <c r="P4" i="1" s="1"/>
  <c r="B4" i="1"/>
  <c r="A4" i="1"/>
  <c r="C4" i="1" l="1"/>
  <c r="H4" i="1"/>
  <c r="G4" i="1"/>
  <c r="F4" i="1"/>
  <c r="E4" i="1"/>
  <c r="D4" i="1"/>
  <c r="D28" i="3"/>
  <c r="D26" i="3"/>
  <c r="I4" i="1" l="1"/>
  <c r="K4" i="1" s="1"/>
  <c r="L4" i="1"/>
  <c r="B28" i="3"/>
  <c r="Q4" i="1" l="1"/>
  <c r="N4" i="1"/>
  <c r="O4" i="1" s="1"/>
  <c r="D30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GOLDWIND</author>
  </authors>
  <commentList>
    <comment ref="J12" authorId="0" shapeId="0" xr:uid="{00000000-0006-0000-0000-000001000000}">
      <text>
        <r>
          <rPr>
            <b/>
            <sz val="9"/>
            <rFont val="宋体"/>
            <family val="3"/>
            <charset val="134"/>
          </rPr>
          <t>GOLDWIND:</t>
        </r>
        <r>
          <rPr>
            <sz val="9"/>
            <rFont val="宋体"/>
            <family val="3"/>
            <charset val="134"/>
          </rPr>
          <t xml:space="preserve">
月度费用除以月度充电电量。以下两个值均如此计算。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<sst xmlns="http://schemas.openxmlformats.org/spreadsheetml/2006/main" count="203" uniqueCount="183">
  <si>
    <t>储能每日充放测算</t>
  </si>
  <si>
    <t>充电支出</t>
  </si>
  <si>
    <t>放电收入</t>
  </si>
  <si>
    <t>现货收益</t>
  </si>
  <si>
    <t>其他</t>
  </si>
  <si>
    <t>充电均价
(元/MWh)</t>
  </si>
  <si>
    <t>充电电量(MWh)</t>
  </si>
  <si>
    <t>交易充电
费用(元)</t>
  </si>
  <si>
    <t>优发优购(元)</t>
  </si>
  <si>
    <t>上网线损(元)</t>
  </si>
  <si>
    <t>输配电费(元)</t>
  </si>
  <si>
    <t>政府基金(元)</t>
  </si>
  <si>
    <t>系统运行(元)</t>
  </si>
  <si>
    <t>容量分摊(元)</t>
  </si>
  <si>
    <t>容量分摊
系数</t>
  </si>
  <si>
    <t>充电总
费用(元)</t>
  </si>
  <si>
    <t>放电均价
(元/MWh)</t>
  </si>
  <si>
    <t>放电电量(MWh)</t>
  </si>
  <si>
    <t>放电电费
(元)</t>
  </si>
  <si>
    <t>（元）</t>
  </si>
  <si>
    <t>综合效率</t>
  </si>
  <si>
    <t>充放价差
(元/MWh)</t>
  </si>
  <si>
    <t>说明</t>
  </si>
  <si>
    <t>根据预测电价，输入充电均价，放电均价。根据充电时段计算出对于的容量分摊系数，计入容量分摊。</t>
  </si>
  <si>
    <t>充电均价（元 / MWh）输入限制：-100 至 800；</t>
  </si>
  <si>
    <t xml:space="preserve">输配电价（元 / MWh）设置：收取损耗部分输配电价； </t>
  </si>
  <si>
    <t>政府核定</t>
  </si>
  <si>
    <t>政府基金（元 /M Wh）设置：收取损耗部分输配电价；</t>
  </si>
  <si>
    <t>综合效率设置：60% 至 100%；</t>
  </si>
  <si>
    <t>放电均价（元 / MWh）输入限制：100 至 1500；</t>
  </si>
  <si>
    <t>优发优购曲线匹配偏差标准：暂以上月替代；</t>
  </si>
  <si>
    <t>上月均值</t>
  </si>
  <si>
    <t>上网环节线损费用；</t>
  </si>
  <si>
    <t>系统运行费用；</t>
  </si>
  <si>
    <t xml:space="preserve"> 容量分摊：按季度分为4种类型，详见附表；</t>
  </si>
  <si>
    <t>根据选择的充电时段，计算容量分摊系数。</t>
  </si>
  <si>
    <t>假设</t>
  </si>
  <si>
    <t>时点序号</t>
  </si>
  <si>
    <t/>
  </si>
  <si>
    <t>时点</t>
  </si>
  <si>
    <t>统一结算日前</t>
  </si>
  <si>
    <t>真实充电中标</t>
  </si>
  <si>
    <t>真实放电中标</t>
  </si>
  <si>
    <t>充放电曲线</t>
  </si>
  <si>
    <t>1. 中标按最大值中标，如[-100,-95],按-100中标，[0,95]，按95中标</t>
  </si>
  <si>
    <t>20250922 0015</t>
  </si>
  <si>
    <t>20250922 0030</t>
  </si>
  <si>
    <t>20250922 0045</t>
  </si>
  <si>
    <t>序号</t>
  </si>
  <si>
    <t>类型</t>
  </si>
  <si>
    <t>开始出力（MW）</t>
  </si>
  <si>
    <t>结束出力（MW）</t>
  </si>
  <si>
    <t>报价（元/MWh）</t>
  </si>
  <si>
    <t>20250922 0100</t>
  </si>
  <si>
    <t>充电</t>
  </si>
  <si>
    <t>20250922 0115</t>
  </si>
  <si>
    <t>20250922 0130</t>
  </si>
  <si>
    <t>20250922 0145</t>
  </si>
  <si>
    <t>20250922 0200</t>
  </si>
  <si>
    <t>20250922 0215</t>
  </si>
  <si>
    <t>放电</t>
  </si>
  <si>
    <t>20250922 0230</t>
  </si>
  <si>
    <t>20250922 0245</t>
  </si>
  <si>
    <t>20250922 0300</t>
  </si>
  <si>
    <t>20250922 0315</t>
  </si>
  <si>
    <t>20250922 0330</t>
  </si>
  <si>
    <t>20250922 0345</t>
  </si>
  <si>
    <t>20250922 0400</t>
  </si>
  <si>
    <t>初始电量（MWh)</t>
  </si>
  <si>
    <t>20250922 0415</t>
  </si>
  <si>
    <t>额定装机（MW）</t>
  </si>
  <si>
    <t>20250922 0430</t>
  </si>
  <si>
    <t>最大电量（MWh)</t>
  </si>
  <si>
    <t>20250922 0445</t>
  </si>
  <si>
    <t>综合使用效率</t>
  </si>
  <si>
    <t>20250922 0500</t>
  </si>
  <si>
    <t>20250922 0515</t>
  </si>
  <si>
    <t>20250922 0530</t>
  </si>
  <si>
    <t>20250922 0545</t>
  </si>
  <si>
    <t>充电电量（MWh)</t>
  </si>
  <si>
    <t>放电电量（MWh)</t>
  </si>
  <si>
    <t>20250922 0600</t>
  </si>
  <si>
    <t>充电均价(元/MWh）</t>
  </si>
  <si>
    <t>放电均价(元/MWh）</t>
  </si>
  <si>
    <t>20250922 0615</t>
  </si>
  <si>
    <t>充电费用（元,正数代表收入）</t>
  </si>
  <si>
    <t>放电收益（元,正数代表收入）</t>
  </si>
  <si>
    <t>20250922 0630</t>
  </si>
  <si>
    <t>充放电价差(元/MWh）</t>
  </si>
  <si>
    <t>充放电收益(元/MWh）</t>
  </si>
  <si>
    <t>20250922 0645</t>
  </si>
  <si>
    <t>20250922 0700</t>
  </si>
  <si>
    <t>20250922 0715</t>
  </si>
  <si>
    <t>20250922 0730</t>
  </si>
  <si>
    <t>20250922 0745</t>
  </si>
  <si>
    <t>20250922 0800</t>
  </si>
  <si>
    <t>20250922 0815</t>
  </si>
  <si>
    <t>20250922 0830</t>
  </si>
  <si>
    <t>20250922 0845</t>
  </si>
  <si>
    <t>20250922 0900</t>
  </si>
  <si>
    <t>20250922 0915</t>
  </si>
  <si>
    <t>20250922 0930</t>
  </si>
  <si>
    <t>20250922 0945</t>
  </si>
  <si>
    <t>20250922 1000</t>
  </si>
  <si>
    <t>20250922 1015</t>
  </si>
  <si>
    <t>20250922 1030</t>
  </si>
  <si>
    <t>20250922 1045</t>
  </si>
  <si>
    <t>20250922 1100</t>
  </si>
  <si>
    <t>20250922 1115</t>
  </si>
  <si>
    <t>20250922 1130</t>
  </si>
  <si>
    <t>20250922 1145</t>
  </si>
  <si>
    <t>20250922 1200</t>
  </si>
  <si>
    <t>20250922 1215</t>
  </si>
  <si>
    <t>20250922 1230</t>
  </si>
  <si>
    <t>20250922 1245</t>
  </si>
  <si>
    <t>20250922 1300</t>
  </si>
  <si>
    <t>20250922 1315</t>
  </si>
  <si>
    <t>20250922 1330</t>
  </si>
  <si>
    <t>20250922 1345</t>
  </si>
  <si>
    <t>20250922 1400</t>
  </si>
  <si>
    <t>20250922 1415</t>
  </si>
  <si>
    <t>20250922 1430</t>
  </si>
  <si>
    <t>20250922 1445</t>
  </si>
  <si>
    <t>20250922 1500</t>
  </si>
  <si>
    <t>20250922 1515</t>
  </si>
  <si>
    <t>20250922 1530</t>
  </si>
  <si>
    <t>20250922 1545</t>
  </si>
  <si>
    <t>20250922 1600</t>
  </si>
  <si>
    <t>20250922 1615</t>
  </si>
  <si>
    <t>20250922 1630</t>
  </si>
  <si>
    <t>20250922 1645</t>
  </si>
  <si>
    <t>20250922 1700</t>
  </si>
  <si>
    <t>20250922 1715</t>
  </si>
  <si>
    <t>20250922 1730</t>
  </si>
  <si>
    <t>20250922 1745</t>
  </si>
  <si>
    <t>20250922 1800</t>
  </si>
  <si>
    <t>20250922 1815</t>
  </si>
  <si>
    <t>20250922 1830</t>
  </si>
  <si>
    <t>20250922 1845</t>
  </si>
  <si>
    <t>20250922 1900</t>
  </si>
  <si>
    <t>20250922 1915</t>
  </si>
  <si>
    <t>20250922 1930</t>
  </si>
  <si>
    <t>20250922 1945</t>
  </si>
  <si>
    <t>20250922 2000</t>
  </si>
  <si>
    <t>20250922 2015</t>
  </si>
  <si>
    <t>20250922 2030</t>
  </si>
  <si>
    <t>20250922 2045</t>
  </si>
  <si>
    <t>20250922 2100</t>
  </si>
  <si>
    <t>20250922 2115</t>
  </si>
  <si>
    <t>20250922 2130</t>
  </si>
  <si>
    <t>20250922 2145</t>
  </si>
  <si>
    <t>20250922 2200</t>
  </si>
  <si>
    <t>20250922 2215</t>
  </si>
  <si>
    <t>20250922 2230</t>
  </si>
  <si>
    <t>20250922 2245</t>
  </si>
  <si>
    <t>20250922 2300</t>
  </si>
  <si>
    <t>20250922 2315</t>
  </si>
  <si>
    <t>20250922 2330</t>
  </si>
  <si>
    <t>20250922 2345</t>
  </si>
  <si>
    <t>20250922 2400</t>
  </si>
  <si>
    <t>容量电价</t>
  </si>
  <si>
    <t>容量分摊--算数平均
系数</t>
  </si>
  <si>
    <t>容量分摊系数--电量加权</t>
  </si>
  <si>
    <t>刻钟点</t>
  </si>
  <si>
    <t>是否充电</t>
  </si>
  <si>
    <t>当前月份</t>
  </si>
  <si>
    <t>充电电量</t>
  </si>
  <si>
    <t>7月</t>
  </si>
  <si>
    <t>1月</t>
  </si>
  <si>
    <t>2月</t>
  </si>
  <si>
    <t>3月</t>
  </si>
  <si>
    <t>4月</t>
  </si>
  <si>
    <t>5月</t>
  </si>
  <si>
    <t>6月</t>
  </si>
  <si>
    <t>8月</t>
  </si>
  <si>
    <t>9月</t>
  </si>
  <si>
    <t>10月</t>
  </si>
  <si>
    <t>11月</t>
  </si>
  <si>
    <t>12月</t>
  </si>
  <si>
    <t>节点日前电价</t>
  </si>
  <si>
    <t>报价(元/MWh)</t>
  </si>
  <si>
    <t>容量分摊系数（2026年）</t>
    <phoneticPr fontId="10" type="noConversion"/>
  </si>
  <si>
    <t>6月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</si>
</sst>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3" x14ac:knownFonts="1">
    <font>
      <sz val="11"/>
      <color theme="1"/>
      <name val="等线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8"/>
      <color theme="1"/>
      <name val="微软雅黑"/>
      <family val="2"/>
      <charset val="134"/>
    </font>
    <font>
      <sz val="7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79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79"/>
      </left>
      <right style="thick">
        <color rgb="FFC00000"/>
      </right>
      <top style="thin">
        <color theme="0" tint="-0.34998626667073579"/>
      </top>
      <bottom style="thin">
        <color theme="0" tint="-0.34998626667073579"/>
      </bottom>
      <diagonal/>
    </border>
    <border>
      <left style="thick">
        <color rgb="FFC00000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</borders>
  <cellStyleXfs count="3">
    <xf numFmtId="0" fontId="0" fillId="0" borderId="0"/>
    <xf numFmtId="9" fontId="9" fillId="0" borderId="0" applyFont="0" applyFill="0" applyBorder="0" applyAlignment="0" applyProtection="0">
      <alignment vertical="center"/>
    </xf>
    <xf numFmtId="0" fontId="1" fillId="0" borderId="0"/>
  </cellStyleXfs>
  <cellXfs count="96">
    <xf numFmtId="0" fontId="0" fillId="0" borderId="0" xfId="0"/>
    <xf numFmtId="0" fontId="1" fillId="0" borderId="0" xfId="2" applyNumberFormat="1"/>
    <xf numFmtId="0" fontId="0" fillId="0" borderId="0" xfId="0" applyAlignment="1"/>
    <xf numFmtId="0" fontId="0" fillId="0" borderId="2" xfId="0" applyBorder="1" applyAlignment="1"/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2" fillId="0" borderId="0" xfId="0" applyNumberFormat="1" applyFont="1" applyFill="1" applyAlignment="1"/>
    <xf numFmtId="0" fontId="1" fillId="0" borderId="0" xfId="2" applyNumberFormat="1" applyAlignment="1">
      <alignment horizontal="center" vertical="center"/>
    </xf>
    <xf numFmtId="0" fontId="1" fillId="0" borderId="12" xfId="2" applyNumberFormat="1" applyBorder="1" applyAlignment="1">
      <alignment horizontal="center" vertical="center"/>
    </xf>
    <xf numFmtId="0" fontId="1" fillId="0" borderId="13" xfId="2" applyNumberFormat="1" applyBorder="1" applyAlignment="1">
      <alignment horizontal="center" vertical="center"/>
    </xf>
    <xf numFmtId="0" fontId="1" fillId="0" borderId="20" xfId="2" applyNumberFormat="1" applyBorder="1" applyAlignment="1">
      <alignment horizontal="center" vertical="center"/>
    </xf>
    <xf numFmtId="0" fontId="1" fillId="0" borderId="21" xfId="2" applyNumberFormat="1" applyBorder="1" applyAlignment="1">
      <alignment horizontal="center" vertical="center"/>
    </xf>
    <xf numFmtId="0" fontId="1" fillId="0" borderId="22" xfId="2" applyNumberFormat="1" applyBorder="1" applyAlignment="1">
      <alignment horizontal="center" vertical="center"/>
    </xf>
    <xf numFmtId="0" fontId="1" fillId="0" borderId="12" xfId="2" applyNumberFormat="1" applyBorder="1"/>
    <xf numFmtId="0" fontId="1" fillId="0" borderId="16" xfId="2" applyNumberFormat="1" applyBorder="1"/>
    <xf numFmtId="0" fontId="1" fillId="0" borderId="20" xfId="2" applyNumberFormat="1" applyBorder="1"/>
    <xf numFmtId="0" fontId="1" fillId="0" borderId="23" xfId="2" applyNumberFormat="1" applyBorder="1"/>
    <xf numFmtId="0" fontId="1" fillId="0" borderId="21" xfId="2" applyNumberFormat="1" applyBorder="1"/>
    <xf numFmtId="9" fontId="1" fillId="0" borderId="24" xfId="2" applyNumberFormat="1" applyBorder="1"/>
    <xf numFmtId="0" fontId="1" fillId="0" borderId="25" xfId="2" applyNumberFormat="1" applyBorder="1"/>
    <xf numFmtId="0" fontId="1" fillId="0" borderId="26" xfId="2" applyNumberFormat="1" applyBorder="1"/>
    <xf numFmtId="3" fontId="1" fillId="0" borderId="27" xfId="2" applyNumberFormat="1" applyBorder="1"/>
    <xf numFmtId="0" fontId="1" fillId="0" borderId="28" xfId="2" applyNumberFormat="1" applyBorder="1"/>
    <xf numFmtId="4" fontId="1" fillId="0" borderId="0" xfId="2" applyNumberFormat="1" applyBorder="1" applyAlignment="1">
      <alignment horizontal="right"/>
    </xf>
    <xf numFmtId="4" fontId="1" fillId="0" borderId="29" xfId="2" applyNumberFormat="1" applyBorder="1"/>
    <xf numFmtId="3" fontId="1" fillId="0" borderId="0" xfId="2" applyNumberFormat="1" applyBorder="1"/>
    <xf numFmtId="3" fontId="1" fillId="0" borderId="29" xfId="2" applyNumberFormat="1" applyBorder="1"/>
    <xf numFmtId="0" fontId="1" fillId="0" borderId="30" xfId="2" applyNumberFormat="1" applyBorder="1"/>
    <xf numFmtId="176" fontId="1" fillId="0" borderId="31" xfId="2" applyNumberFormat="1" applyBorder="1" applyAlignment="1"/>
    <xf numFmtId="0" fontId="1" fillId="0" borderId="31" xfId="2" applyNumberFormat="1" applyBorder="1" applyAlignment="1"/>
    <xf numFmtId="3" fontId="1" fillId="0" borderId="32" xfId="2" applyNumberFormat="1" applyBorder="1" applyAlignment="1"/>
    <xf numFmtId="0" fontId="1" fillId="0" borderId="0" xfId="2" applyNumberFormat="1" applyFont="1"/>
    <xf numFmtId="0" fontId="1" fillId="0" borderId="0" xfId="2" applyNumberFormat="1" applyAlignment="1">
      <alignment horizontal="center"/>
    </xf>
    <xf numFmtId="0" fontId="1" fillId="0" borderId="16" xfId="2" applyNumberFormat="1" applyBorder="1" applyAlignment="1">
      <alignment horizontal="center" vertical="center"/>
    </xf>
    <xf numFmtId="0" fontId="1" fillId="0" borderId="23" xfId="2" applyNumberFormat="1" applyBorder="1" applyAlignment="1">
      <alignment horizontal="center" vertical="center"/>
    </xf>
    <xf numFmtId="0" fontId="1" fillId="0" borderId="24" xfId="2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0" xfId="0" applyFont="1"/>
    <xf numFmtId="0" fontId="0" fillId="0" borderId="0" xfId="0" applyFont="1"/>
    <xf numFmtId="0" fontId="4" fillId="0" borderId="0" xfId="0" applyFont="1"/>
    <xf numFmtId="0" fontId="0" fillId="4" borderId="1" xfId="0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5" fillId="0" borderId="0" xfId="0" applyFont="1"/>
    <xf numFmtId="2" fontId="0" fillId="0" borderId="1" xfId="0" applyNumberFormat="1" applyFont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NumberFormat="1"/>
    <xf numFmtId="1" fontId="1" fillId="0" borderId="23" xfId="2" applyNumberFormat="1" applyFont="1" applyBorder="1" applyAlignment="1">
      <alignment horizontal="center" vertical="center"/>
    </xf>
    <xf numFmtId="0" fontId="6" fillId="0" borderId="0" xfId="0" applyFont="1"/>
    <xf numFmtId="0" fontId="6" fillId="2" borderId="9" xfId="0" applyFont="1" applyFill="1" applyBorder="1" applyAlignment="1">
      <alignment horizontal="center" vertical="center"/>
    </xf>
    <xf numFmtId="2" fontId="1" fillId="0" borderId="0" xfId="2" applyNumberFormat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6" fillId="0" borderId="0" xfId="0" applyFont="1" applyBorder="1"/>
    <xf numFmtId="0" fontId="11" fillId="6" borderId="39" xfId="0" applyFont="1" applyFill="1" applyBorder="1" applyAlignment="1">
      <alignment horizontal="center" vertical="center" wrapText="1"/>
    </xf>
    <xf numFmtId="0" fontId="11" fillId="6" borderId="40" xfId="0" applyFont="1" applyFill="1" applyBorder="1" applyAlignment="1">
      <alignment horizontal="center" vertical="center" wrapText="1"/>
    </xf>
    <xf numFmtId="0" fontId="11" fillId="6" borderId="34" xfId="0" applyFont="1" applyFill="1" applyBorder="1" applyAlignment="1">
      <alignment horizontal="center" vertical="center" wrapText="1"/>
    </xf>
    <xf numFmtId="0" fontId="12" fillId="6" borderId="41" xfId="0" applyFont="1" applyFill="1" applyBorder="1" applyAlignment="1">
      <alignment horizontal="center" vertical="center" wrapText="1"/>
    </xf>
    <xf numFmtId="0" fontId="12" fillId="7" borderId="33" xfId="0" applyFont="1" applyFill="1" applyBorder="1" applyAlignment="1">
      <alignment horizontal="center" vertical="center" wrapText="1"/>
    </xf>
    <xf numFmtId="0" fontId="12" fillId="6" borderId="34" xfId="0" applyFont="1" applyFill="1" applyBorder="1" applyAlignment="1">
      <alignment horizontal="center" vertical="center" wrapText="1"/>
    </xf>
    <xf numFmtId="0" fontId="12" fillId="7" borderId="34" xfId="0" applyFont="1" applyFill="1" applyBorder="1" applyAlignment="1">
      <alignment horizontal="center" vertical="center" wrapText="1"/>
    </xf>
    <xf numFmtId="0" fontId="12" fillId="6" borderId="42" xfId="0" applyFont="1" applyFill="1" applyBorder="1" applyAlignment="1">
      <alignment horizontal="center" vertical="center" wrapText="1"/>
    </xf>
    <xf numFmtId="0" fontId="12" fillId="6" borderId="33" xfId="0" applyFont="1" applyFill="1" applyBorder="1" applyAlignment="1">
      <alignment horizontal="center" vertical="center" wrapText="1"/>
    </xf>
    <xf numFmtId="0" fontId="12" fillId="7" borderId="35" xfId="0" applyFont="1" applyFill="1" applyBorder="1" applyAlignment="1">
      <alignment horizontal="center" vertical="center" wrapText="1"/>
    </xf>
    <xf numFmtId="0" fontId="12" fillId="6" borderId="36" xfId="0" applyFont="1" applyFill="1" applyBorder="1" applyAlignment="1">
      <alignment horizontal="center" vertical="center" wrapText="1"/>
    </xf>
    <xf numFmtId="0" fontId="12" fillId="7" borderId="36" xfId="0" applyFont="1" applyFill="1" applyBorder="1" applyAlignment="1">
      <alignment horizontal="center" vertical="center" wrapText="1"/>
    </xf>
    <xf numFmtId="0" fontId="12" fillId="6" borderId="37" xfId="0" applyFont="1" applyFill="1" applyBorder="1" applyAlignment="1">
      <alignment horizontal="center" vertical="center" wrapText="1"/>
    </xf>
    <xf numFmtId="0" fontId="12" fillId="6" borderId="38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</cellXfs>
  <cellStyles count="3">
    <cellStyle name="百分比" xfId="1" builtinId="5"/>
    <cellStyle name="常规" xfId="0" builtinId="0"/>
    <cellStyle name="常规 2" xfId="2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报价及预中标!$N$1</c:f>
              <c:strCache>
                <c:ptCount val="1"/>
                <c:pt idx="0">
                  <c:v>充放电曲线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报价及预中标!$N$2:$N$97</c:f>
              <c:numCache>
                <c:formatCode>General</c:formatCode>
                <c:ptCount val="9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0.5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-95</c:v>
                </c:pt>
                <c:pt idx="49">
                  <c:v>-95</c:v>
                </c:pt>
                <c:pt idx="50">
                  <c:v>-95</c:v>
                </c:pt>
                <c:pt idx="51">
                  <c:v>-83</c:v>
                </c:pt>
                <c:pt idx="52">
                  <c:v>-83</c:v>
                </c:pt>
                <c:pt idx="53">
                  <c:v>-83</c:v>
                </c:pt>
                <c:pt idx="54">
                  <c:v>-83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-95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54.6</c:v>
                </c:pt>
                <c:pt idx="75">
                  <c:v>54.6</c:v>
                </c:pt>
                <c:pt idx="76">
                  <c:v>95</c:v>
                </c:pt>
                <c:pt idx="77">
                  <c:v>95</c:v>
                </c:pt>
                <c:pt idx="78">
                  <c:v>4.32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95</c:v>
                </c:pt>
                <c:pt idx="93">
                  <c:v>95</c:v>
                </c:pt>
                <c:pt idx="94">
                  <c:v>95</c:v>
                </c:pt>
                <c:pt idx="9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F8-4C43-A133-834E5BB0B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870220570"/>
        <c:axId val="124815716"/>
      </c:barChart>
      <c:catAx>
        <c:axId val="87022057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4815716"/>
        <c:crosses val="autoZero"/>
        <c:auto val="1"/>
        <c:lblAlgn val="ctr"/>
        <c:lblOffset val="100"/>
        <c:noMultiLvlLbl val="0"/>
      </c:catAx>
      <c:valAx>
        <c:axId val="1248157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7022057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fee4a4-bec2-4bfa-990d-068fe1e19e2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 defTabSz="914400"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报价及预中标!$J$1</c:f>
              <c:strCache>
                <c:ptCount val="1"/>
                <c:pt idx="0">
                  <c:v>统一结算日前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报价及预中标!$J$2:$J$97</c:f>
              <c:numCache>
                <c:formatCode>General</c:formatCode>
                <c:ptCount val="96"/>
                <c:pt idx="0">
                  <c:v>533.46</c:v>
                </c:pt>
                <c:pt idx="1">
                  <c:v>447.86</c:v>
                </c:pt>
                <c:pt idx="2">
                  <c:v>392.11</c:v>
                </c:pt>
                <c:pt idx="3">
                  <c:v>380</c:v>
                </c:pt>
                <c:pt idx="4">
                  <c:v>381.67</c:v>
                </c:pt>
                <c:pt idx="5">
                  <c:v>364</c:v>
                </c:pt>
                <c:pt idx="6">
                  <c:v>349.36</c:v>
                </c:pt>
                <c:pt idx="7">
                  <c:v>340</c:v>
                </c:pt>
                <c:pt idx="8">
                  <c:v>330</c:v>
                </c:pt>
                <c:pt idx="9">
                  <c:v>332</c:v>
                </c:pt>
                <c:pt idx="10">
                  <c:v>318.75</c:v>
                </c:pt>
                <c:pt idx="11">
                  <c:v>317.35000000000002</c:v>
                </c:pt>
                <c:pt idx="12">
                  <c:v>319.83999999999997</c:v>
                </c:pt>
                <c:pt idx="13">
                  <c:v>317.33</c:v>
                </c:pt>
                <c:pt idx="14">
                  <c:v>316.01</c:v>
                </c:pt>
                <c:pt idx="15">
                  <c:v>316.08999999999997</c:v>
                </c:pt>
                <c:pt idx="16">
                  <c:v>324</c:v>
                </c:pt>
                <c:pt idx="17">
                  <c:v>347.97</c:v>
                </c:pt>
                <c:pt idx="18">
                  <c:v>348</c:v>
                </c:pt>
                <c:pt idx="19">
                  <c:v>356</c:v>
                </c:pt>
                <c:pt idx="20">
                  <c:v>452</c:v>
                </c:pt>
                <c:pt idx="21">
                  <c:v>413.89</c:v>
                </c:pt>
                <c:pt idx="22">
                  <c:v>399.17</c:v>
                </c:pt>
                <c:pt idx="23">
                  <c:v>388.89</c:v>
                </c:pt>
                <c:pt idx="24">
                  <c:v>396.96</c:v>
                </c:pt>
                <c:pt idx="25">
                  <c:v>356.84</c:v>
                </c:pt>
                <c:pt idx="26">
                  <c:v>69.06</c:v>
                </c:pt>
                <c:pt idx="27">
                  <c:v>-80</c:v>
                </c:pt>
                <c:pt idx="28">
                  <c:v>-80</c:v>
                </c:pt>
                <c:pt idx="29">
                  <c:v>-80</c:v>
                </c:pt>
                <c:pt idx="30">
                  <c:v>-80</c:v>
                </c:pt>
                <c:pt idx="31">
                  <c:v>-80</c:v>
                </c:pt>
                <c:pt idx="32">
                  <c:v>-80</c:v>
                </c:pt>
                <c:pt idx="33">
                  <c:v>-80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-80</c:v>
                </c:pt>
                <c:pt idx="67">
                  <c:v>-80.81</c:v>
                </c:pt>
                <c:pt idx="68">
                  <c:v>-79.31</c:v>
                </c:pt>
                <c:pt idx="69">
                  <c:v>249.29</c:v>
                </c:pt>
                <c:pt idx="70">
                  <c:v>326.02999999999997</c:v>
                </c:pt>
                <c:pt idx="71">
                  <c:v>409.64</c:v>
                </c:pt>
                <c:pt idx="72">
                  <c:v>425.47</c:v>
                </c:pt>
                <c:pt idx="73">
                  <c:v>457.51</c:v>
                </c:pt>
                <c:pt idx="74">
                  <c:v>451.69</c:v>
                </c:pt>
                <c:pt idx="75">
                  <c:v>418.16</c:v>
                </c:pt>
                <c:pt idx="76">
                  <c:v>380.63</c:v>
                </c:pt>
                <c:pt idx="77">
                  <c:v>360.81</c:v>
                </c:pt>
                <c:pt idx="78">
                  <c:v>360.81</c:v>
                </c:pt>
                <c:pt idx="79">
                  <c:v>360.81</c:v>
                </c:pt>
                <c:pt idx="80">
                  <c:v>360.81</c:v>
                </c:pt>
                <c:pt idx="81">
                  <c:v>360.81</c:v>
                </c:pt>
                <c:pt idx="82">
                  <c:v>360.81</c:v>
                </c:pt>
                <c:pt idx="83">
                  <c:v>359.65</c:v>
                </c:pt>
                <c:pt idx="84">
                  <c:v>358.24</c:v>
                </c:pt>
                <c:pt idx="85">
                  <c:v>353.99</c:v>
                </c:pt>
                <c:pt idx="86">
                  <c:v>354.28</c:v>
                </c:pt>
                <c:pt idx="87">
                  <c:v>352.14</c:v>
                </c:pt>
                <c:pt idx="88">
                  <c:v>354.28</c:v>
                </c:pt>
                <c:pt idx="89">
                  <c:v>354.28</c:v>
                </c:pt>
                <c:pt idx="90">
                  <c:v>354.28</c:v>
                </c:pt>
                <c:pt idx="91">
                  <c:v>355.44</c:v>
                </c:pt>
                <c:pt idx="92">
                  <c:v>360.98</c:v>
                </c:pt>
                <c:pt idx="93">
                  <c:v>360.98</c:v>
                </c:pt>
                <c:pt idx="94">
                  <c:v>360.95</c:v>
                </c:pt>
                <c:pt idx="95">
                  <c:v>360.94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50-412C-A5D2-0AEB9C0FC258}"/>
            </c:ext>
          </c:extLst>
        </c:ser>
        <c:ser>
          <c:idx val="1"/>
          <c:order val="1"/>
          <c:tx>
            <c:strRef>
              <c:f>报价及预中标!$K$1</c:f>
              <c:strCache>
                <c:ptCount val="1"/>
                <c:pt idx="0">
                  <c:v>节点日前电价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报价及预中标!$I$2:$I$97</c:f>
              <c:strCache>
                <c:ptCount val="96"/>
                <c:pt idx="0">
                  <c:v>0015</c:v>
                </c:pt>
                <c:pt idx="1">
                  <c:v>0030</c:v>
                </c:pt>
                <c:pt idx="2">
                  <c:v>0045</c:v>
                </c:pt>
                <c:pt idx="3">
                  <c:v>0100</c:v>
                </c:pt>
                <c:pt idx="4">
                  <c:v>0115</c:v>
                </c:pt>
                <c:pt idx="5">
                  <c:v>0130</c:v>
                </c:pt>
                <c:pt idx="6">
                  <c:v>0145</c:v>
                </c:pt>
                <c:pt idx="7">
                  <c:v>0200</c:v>
                </c:pt>
                <c:pt idx="8">
                  <c:v>0215</c:v>
                </c:pt>
                <c:pt idx="9">
                  <c:v>0230</c:v>
                </c:pt>
                <c:pt idx="10">
                  <c:v>0245</c:v>
                </c:pt>
                <c:pt idx="11">
                  <c:v>0300</c:v>
                </c:pt>
                <c:pt idx="12">
                  <c:v>0315</c:v>
                </c:pt>
                <c:pt idx="13">
                  <c:v>0330</c:v>
                </c:pt>
                <c:pt idx="14">
                  <c:v>0345</c:v>
                </c:pt>
                <c:pt idx="15">
                  <c:v>0400</c:v>
                </c:pt>
                <c:pt idx="16">
                  <c:v>0415</c:v>
                </c:pt>
                <c:pt idx="17">
                  <c:v>0430</c:v>
                </c:pt>
                <c:pt idx="18">
                  <c:v>0445</c:v>
                </c:pt>
                <c:pt idx="19">
                  <c:v>0500</c:v>
                </c:pt>
                <c:pt idx="20">
                  <c:v>0515</c:v>
                </c:pt>
                <c:pt idx="21">
                  <c:v>0530</c:v>
                </c:pt>
                <c:pt idx="22">
                  <c:v>0545</c:v>
                </c:pt>
                <c:pt idx="23">
                  <c:v>0600</c:v>
                </c:pt>
                <c:pt idx="24">
                  <c:v>0615</c:v>
                </c:pt>
                <c:pt idx="25">
                  <c:v>0630</c:v>
                </c:pt>
                <c:pt idx="26">
                  <c:v>0645</c:v>
                </c:pt>
                <c:pt idx="27">
                  <c:v>0700</c:v>
                </c:pt>
                <c:pt idx="28">
                  <c:v>0715</c:v>
                </c:pt>
                <c:pt idx="29">
                  <c:v>0730</c:v>
                </c:pt>
                <c:pt idx="30">
                  <c:v>0745</c:v>
                </c:pt>
                <c:pt idx="31">
                  <c:v>0800</c:v>
                </c:pt>
                <c:pt idx="32">
                  <c:v>0815</c:v>
                </c:pt>
                <c:pt idx="33">
                  <c:v>0830</c:v>
                </c:pt>
                <c:pt idx="34">
                  <c:v>0845</c:v>
                </c:pt>
                <c:pt idx="35">
                  <c:v>0900</c:v>
                </c:pt>
                <c:pt idx="36">
                  <c:v>0915</c:v>
                </c:pt>
                <c:pt idx="37">
                  <c:v>0930</c:v>
                </c:pt>
                <c:pt idx="38">
                  <c:v>0945</c:v>
                </c:pt>
                <c:pt idx="39">
                  <c:v>1000</c:v>
                </c:pt>
                <c:pt idx="40">
                  <c:v>1015</c:v>
                </c:pt>
                <c:pt idx="41">
                  <c:v>1030</c:v>
                </c:pt>
                <c:pt idx="42">
                  <c:v>1045</c:v>
                </c:pt>
                <c:pt idx="43">
                  <c:v>1100</c:v>
                </c:pt>
                <c:pt idx="44">
                  <c:v>1115</c:v>
                </c:pt>
                <c:pt idx="45">
                  <c:v>1130</c:v>
                </c:pt>
                <c:pt idx="46">
                  <c:v>1145</c:v>
                </c:pt>
                <c:pt idx="47">
                  <c:v>1200</c:v>
                </c:pt>
                <c:pt idx="48">
                  <c:v>1215</c:v>
                </c:pt>
                <c:pt idx="49">
                  <c:v>1230</c:v>
                </c:pt>
                <c:pt idx="50">
                  <c:v>1245</c:v>
                </c:pt>
                <c:pt idx="51">
                  <c:v>1300</c:v>
                </c:pt>
                <c:pt idx="52">
                  <c:v>1315</c:v>
                </c:pt>
                <c:pt idx="53">
                  <c:v>1330</c:v>
                </c:pt>
                <c:pt idx="54">
                  <c:v>1345</c:v>
                </c:pt>
                <c:pt idx="55">
                  <c:v>1400</c:v>
                </c:pt>
                <c:pt idx="56">
                  <c:v>1415</c:v>
                </c:pt>
                <c:pt idx="57">
                  <c:v>1430</c:v>
                </c:pt>
                <c:pt idx="58">
                  <c:v>1445</c:v>
                </c:pt>
                <c:pt idx="59">
                  <c:v>1500</c:v>
                </c:pt>
                <c:pt idx="60">
                  <c:v>1515</c:v>
                </c:pt>
                <c:pt idx="61">
                  <c:v>1530</c:v>
                </c:pt>
                <c:pt idx="62">
                  <c:v>1545</c:v>
                </c:pt>
                <c:pt idx="63">
                  <c:v>1600</c:v>
                </c:pt>
                <c:pt idx="64">
                  <c:v>1615</c:v>
                </c:pt>
                <c:pt idx="65">
                  <c:v>1630</c:v>
                </c:pt>
                <c:pt idx="66">
                  <c:v>1645</c:v>
                </c:pt>
                <c:pt idx="67">
                  <c:v>1700</c:v>
                </c:pt>
                <c:pt idx="68">
                  <c:v>1715</c:v>
                </c:pt>
                <c:pt idx="69">
                  <c:v>1730</c:v>
                </c:pt>
                <c:pt idx="70">
                  <c:v>1745</c:v>
                </c:pt>
                <c:pt idx="71">
                  <c:v>1800</c:v>
                </c:pt>
                <c:pt idx="72">
                  <c:v>1815</c:v>
                </c:pt>
                <c:pt idx="73">
                  <c:v>1830</c:v>
                </c:pt>
                <c:pt idx="74">
                  <c:v>1845</c:v>
                </c:pt>
                <c:pt idx="75">
                  <c:v>1900</c:v>
                </c:pt>
                <c:pt idx="76">
                  <c:v>1915</c:v>
                </c:pt>
                <c:pt idx="77">
                  <c:v>1930</c:v>
                </c:pt>
                <c:pt idx="78">
                  <c:v>1945</c:v>
                </c:pt>
                <c:pt idx="79">
                  <c:v>2000</c:v>
                </c:pt>
                <c:pt idx="80">
                  <c:v>2015</c:v>
                </c:pt>
                <c:pt idx="81">
                  <c:v>2030</c:v>
                </c:pt>
                <c:pt idx="82">
                  <c:v>2045</c:v>
                </c:pt>
                <c:pt idx="83">
                  <c:v>2100</c:v>
                </c:pt>
                <c:pt idx="84">
                  <c:v>2115</c:v>
                </c:pt>
                <c:pt idx="85">
                  <c:v>2130</c:v>
                </c:pt>
                <c:pt idx="86">
                  <c:v>2145</c:v>
                </c:pt>
                <c:pt idx="87">
                  <c:v>2200</c:v>
                </c:pt>
                <c:pt idx="88">
                  <c:v>2215</c:v>
                </c:pt>
                <c:pt idx="89">
                  <c:v>2230</c:v>
                </c:pt>
                <c:pt idx="90">
                  <c:v>2245</c:v>
                </c:pt>
                <c:pt idx="91">
                  <c:v>2300</c:v>
                </c:pt>
                <c:pt idx="92">
                  <c:v>2315</c:v>
                </c:pt>
                <c:pt idx="93">
                  <c:v>2330</c:v>
                </c:pt>
                <c:pt idx="94">
                  <c:v>2345</c:v>
                </c:pt>
                <c:pt idx="95">
                  <c:v>2400</c:v>
                </c:pt>
              </c:strCache>
            </c:strRef>
          </c:cat>
          <c:val>
            <c:numRef>
              <c:f>报价及预中标!$K$2:$K$97</c:f>
              <c:numCache>
                <c:formatCode>General</c:formatCode>
                <c:ptCount val="96"/>
                <c:pt idx="0">
                  <c:v>533.46</c:v>
                </c:pt>
                <c:pt idx="1">
                  <c:v>447.86</c:v>
                </c:pt>
                <c:pt idx="2">
                  <c:v>392.11</c:v>
                </c:pt>
                <c:pt idx="3">
                  <c:v>380</c:v>
                </c:pt>
                <c:pt idx="4">
                  <c:v>381.67</c:v>
                </c:pt>
                <c:pt idx="5">
                  <c:v>364</c:v>
                </c:pt>
                <c:pt idx="6">
                  <c:v>349.36</c:v>
                </c:pt>
                <c:pt idx="7">
                  <c:v>340</c:v>
                </c:pt>
                <c:pt idx="8">
                  <c:v>330</c:v>
                </c:pt>
                <c:pt idx="9">
                  <c:v>332</c:v>
                </c:pt>
                <c:pt idx="10">
                  <c:v>318.75</c:v>
                </c:pt>
                <c:pt idx="11">
                  <c:v>317.35000000000002</c:v>
                </c:pt>
                <c:pt idx="12">
                  <c:v>319.83999999999997</c:v>
                </c:pt>
                <c:pt idx="13">
                  <c:v>317.33</c:v>
                </c:pt>
                <c:pt idx="14">
                  <c:v>316.01</c:v>
                </c:pt>
                <c:pt idx="15">
                  <c:v>316.08999999999997</c:v>
                </c:pt>
                <c:pt idx="16">
                  <c:v>324</c:v>
                </c:pt>
                <c:pt idx="17">
                  <c:v>347.97</c:v>
                </c:pt>
                <c:pt idx="18">
                  <c:v>348</c:v>
                </c:pt>
                <c:pt idx="19">
                  <c:v>356</c:v>
                </c:pt>
                <c:pt idx="20">
                  <c:v>452</c:v>
                </c:pt>
                <c:pt idx="21">
                  <c:v>413.89</c:v>
                </c:pt>
                <c:pt idx="22">
                  <c:v>399.17</c:v>
                </c:pt>
                <c:pt idx="23">
                  <c:v>388.89</c:v>
                </c:pt>
                <c:pt idx="24">
                  <c:v>396.96</c:v>
                </c:pt>
                <c:pt idx="25">
                  <c:v>356.84</c:v>
                </c:pt>
                <c:pt idx="26">
                  <c:v>69.06</c:v>
                </c:pt>
                <c:pt idx="27">
                  <c:v>-80</c:v>
                </c:pt>
                <c:pt idx="28">
                  <c:v>-80</c:v>
                </c:pt>
                <c:pt idx="29">
                  <c:v>-80</c:v>
                </c:pt>
                <c:pt idx="30">
                  <c:v>-80</c:v>
                </c:pt>
                <c:pt idx="31">
                  <c:v>-80</c:v>
                </c:pt>
                <c:pt idx="32">
                  <c:v>-80</c:v>
                </c:pt>
                <c:pt idx="33">
                  <c:v>-80</c:v>
                </c:pt>
                <c:pt idx="34">
                  <c:v>-80</c:v>
                </c:pt>
                <c:pt idx="35">
                  <c:v>-80</c:v>
                </c:pt>
                <c:pt idx="36">
                  <c:v>-80</c:v>
                </c:pt>
                <c:pt idx="37">
                  <c:v>-80</c:v>
                </c:pt>
                <c:pt idx="38">
                  <c:v>-80</c:v>
                </c:pt>
                <c:pt idx="39">
                  <c:v>-80</c:v>
                </c:pt>
                <c:pt idx="40">
                  <c:v>-80</c:v>
                </c:pt>
                <c:pt idx="41">
                  <c:v>-80</c:v>
                </c:pt>
                <c:pt idx="42">
                  <c:v>-80</c:v>
                </c:pt>
                <c:pt idx="43">
                  <c:v>-80</c:v>
                </c:pt>
                <c:pt idx="44">
                  <c:v>-80</c:v>
                </c:pt>
                <c:pt idx="45">
                  <c:v>-80</c:v>
                </c:pt>
                <c:pt idx="46">
                  <c:v>-80</c:v>
                </c:pt>
                <c:pt idx="47">
                  <c:v>-80</c:v>
                </c:pt>
                <c:pt idx="48">
                  <c:v>-80</c:v>
                </c:pt>
                <c:pt idx="49">
                  <c:v>-80</c:v>
                </c:pt>
                <c:pt idx="50">
                  <c:v>-80</c:v>
                </c:pt>
                <c:pt idx="51">
                  <c:v>-80</c:v>
                </c:pt>
                <c:pt idx="52">
                  <c:v>-80</c:v>
                </c:pt>
                <c:pt idx="53">
                  <c:v>-80</c:v>
                </c:pt>
                <c:pt idx="54">
                  <c:v>-80</c:v>
                </c:pt>
                <c:pt idx="55">
                  <c:v>-80</c:v>
                </c:pt>
                <c:pt idx="56">
                  <c:v>-80</c:v>
                </c:pt>
                <c:pt idx="57">
                  <c:v>-80</c:v>
                </c:pt>
                <c:pt idx="58">
                  <c:v>-80</c:v>
                </c:pt>
                <c:pt idx="59">
                  <c:v>-80</c:v>
                </c:pt>
                <c:pt idx="60">
                  <c:v>-80</c:v>
                </c:pt>
                <c:pt idx="61">
                  <c:v>-80</c:v>
                </c:pt>
                <c:pt idx="62">
                  <c:v>-80</c:v>
                </c:pt>
                <c:pt idx="63">
                  <c:v>-80</c:v>
                </c:pt>
                <c:pt idx="64">
                  <c:v>-80</c:v>
                </c:pt>
                <c:pt idx="65">
                  <c:v>-80</c:v>
                </c:pt>
                <c:pt idx="66">
                  <c:v>-80</c:v>
                </c:pt>
                <c:pt idx="67">
                  <c:v>-80.81</c:v>
                </c:pt>
                <c:pt idx="68">
                  <c:v>-79.31</c:v>
                </c:pt>
                <c:pt idx="69">
                  <c:v>249.29</c:v>
                </c:pt>
                <c:pt idx="70">
                  <c:v>326.02999999999997</c:v>
                </c:pt>
                <c:pt idx="71">
                  <c:v>409.64</c:v>
                </c:pt>
                <c:pt idx="72">
                  <c:v>425.47</c:v>
                </c:pt>
                <c:pt idx="73">
                  <c:v>457.51</c:v>
                </c:pt>
                <c:pt idx="74">
                  <c:v>451.69</c:v>
                </c:pt>
                <c:pt idx="75">
                  <c:v>418.16</c:v>
                </c:pt>
                <c:pt idx="76">
                  <c:v>380.63</c:v>
                </c:pt>
                <c:pt idx="77">
                  <c:v>360.81</c:v>
                </c:pt>
                <c:pt idx="78">
                  <c:v>360.81</c:v>
                </c:pt>
                <c:pt idx="79">
                  <c:v>360.81</c:v>
                </c:pt>
                <c:pt idx="80">
                  <c:v>360.81</c:v>
                </c:pt>
                <c:pt idx="81">
                  <c:v>360.81</c:v>
                </c:pt>
                <c:pt idx="82">
                  <c:v>360.81</c:v>
                </c:pt>
                <c:pt idx="83">
                  <c:v>359.65</c:v>
                </c:pt>
                <c:pt idx="84">
                  <c:v>358.24</c:v>
                </c:pt>
                <c:pt idx="85">
                  <c:v>353.99</c:v>
                </c:pt>
                <c:pt idx="86">
                  <c:v>354.28</c:v>
                </c:pt>
                <c:pt idx="87">
                  <c:v>352.14</c:v>
                </c:pt>
                <c:pt idx="88">
                  <c:v>354.28</c:v>
                </c:pt>
                <c:pt idx="89">
                  <c:v>354.28</c:v>
                </c:pt>
                <c:pt idx="90">
                  <c:v>354.28</c:v>
                </c:pt>
                <c:pt idx="91">
                  <c:v>355.44</c:v>
                </c:pt>
                <c:pt idx="92">
                  <c:v>360.98</c:v>
                </c:pt>
                <c:pt idx="93">
                  <c:v>360.98</c:v>
                </c:pt>
                <c:pt idx="94">
                  <c:v>360.95</c:v>
                </c:pt>
                <c:pt idx="95">
                  <c:v>360.94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50-412C-A5D2-0AEB9C0FC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5437479"/>
        <c:axId val="863978411"/>
      </c:lineChart>
      <c:catAx>
        <c:axId val="46543747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63978411"/>
        <c:crosses val="autoZero"/>
        <c:auto val="1"/>
        <c:lblAlgn val="ctr"/>
        <c:lblOffset val="100"/>
        <c:noMultiLvlLbl val="0"/>
      </c:catAx>
      <c:valAx>
        <c:axId val="8639784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65437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d0cb966-1f27-4742-8f29-206ab2f540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容量分摊系数!$D$8:$D$103</c:f>
              <c:numCache>
                <c:formatCode>General</c:formatCode>
                <c:ptCount val="9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0.3</c:v>
                </c:pt>
                <c:pt idx="25">
                  <c:v>0.3</c:v>
                </c:pt>
                <c:pt idx="26">
                  <c:v>0.3</c:v>
                </c:pt>
                <c:pt idx="27">
                  <c:v>0.3</c:v>
                </c:pt>
                <c:pt idx="28">
                  <c:v>0.3</c:v>
                </c:pt>
                <c:pt idx="29">
                  <c:v>0.3</c:v>
                </c:pt>
                <c:pt idx="30">
                  <c:v>0.3</c:v>
                </c:pt>
                <c:pt idx="31">
                  <c:v>0.3</c:v>
                </c:pt>
                <c:pt idx="32">
                  <c:v>0.3</c:v>
                </c:pt>
                <c:pt idx="33">
                  <c:v>0.3</c:v>
                </c:pt>
                <c:pt idx="34">
                  <c:v>0.3</c:v>
                </c:pt>
                <c:pt idx="35">
                  <c:v>0.3</c:v>
                </c:pt>
                <c:pt idx="36">
                  <c:v>0.3</c:v>
                </c:pt>
                <c:pt idx="37">
                  <c:v>0.3</c:v>
                </c:pt>
                <c:pt idx="38">
                  <c:v>0.3</c:v>
                </c:pt>
                <c:pt idx="39">
                  <c:v>0.3</c:v>
                </c:pt>
                <c:pt idx="40">
                  <c:v>0.3</c:v>
                </c:pt>
                <c:pt idx="41">
                  <c:v>0.3</c:v>
                </c:pt>
                <c:pt idx="42">
                  <c:v>0.3</c:v>
                </c:pt>
                <c:pt idx="43">
                  <c:v>0.3</c:v>
                </c:pt>
                <c:pt idx="44">
                  <c:v>0.3</c:v>
                </c:pt>
                <c:pt idx="45">
                  <c:v>0.3</c:v>
                </c:pt>
                <c:pt idx="46">
                  <c:v>0.3</c:v>
                </c:pt>
                <c:pt idx="47">
                  <c:v>0.3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1.7</c:v>
                </c:pt>
                <c:pt idx="61">
                  <c:v>1.7</c:v>
                </c:pt>
                <c:pt idx="62">
                  <c:v>1.7</c:v>
                </c:pt>
                <c:pt idx="63">
                  <c:v>1.7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2</c:v>
                </c:pt>
                <c:pt idx="68">
                  <c:v>2</c:v>
                </c:pt>
                <c:pt idx="69">
                  <c:v>2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1.7</c:v>
                </c:pt>
                <c:pt idx="89">
                  <c:v>1.7</c:v>
                </c:pt>
                <c:pt idx="90">
                  <c:v>1.7</c:v>
                </c:pt>
                <c:pt idx="91">
                  <c:v>1.7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6B-4A91-AEC2-C6795BCA4D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1098160"/>
        <c:axId val="972780736"/>
      </c:lineChart>
      <c:catAx>
        <c:axId val="10210981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72780736"/>
        <c:crosses val="autoZero"/>
        <c:auto val="1"/>
        <c:lblAlgn val="ctr"/>
        <c:lblOffset val="100"/>
        <c:noMultiLvlLbl val="0"/>
      </c:catAx>
      <c:valAx>
        <c:axId val="972780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21098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430305</xdr:colOff>
      <xdr:row>4</xdr:row>
      <xdr:rowOff>125505</xdr:rowOff>
    </xdr:from>
    <xdr:to>
      <xdr:col>11</xdr:col>
      <xdr:colOff>977153</xdr:colOff>
      <xdr:row>16</xdr:row>
      <xdr:rowOff>8964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439270</xdr:colOff>
      <xdr:row>16</xdr:row>
      <xdr:rowOff>62752</xdr:rowOff>
    </xdr:from>
    <xdr:to>
      <xdr:col>11</xdr:col>
      <xdr:colOff>932329</xdr:colOff>
      <xdr:row>30</xdr:row>
      <xdr:rowOff>80682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334107</xdr:colOff>
      <xdr:row>6</xdr:row>
      <xdr:rowOff>20515</xdr:rowOff>
    </xdr:from>
    <xdr:to>
      <xdr:col>15</xdr:col>
      <xdr:colOff>316522</xdr:colOff>
      <xdr:row>20</xdr:row>
      <xdr:rowOff>55685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5AD0D5A0-B430-4963-B9DF-C5036AF5A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workbookViewId="0">
      <selection activeCell="A4" sqref="A4:Q4"/>
    </sheetView>
  </sheetViews>
  <sheetFormatPr defaultColWidth="9" defaultRowHeight="13.8" x14ac:dyDescent="0.25"/>
  <cols>
    <col min="1" max="17" width="11.77734375" customWidth="1"/>
  </cols>
  <sheetData>
    <row r="1" spans="1:17" x14ac:dyDescent="0.25">
      <c r="A1" s="86" t="s">
        <v>0</v>
      </c>
      <c r="B1" s="86"/>
      <c r="C1" s="86"/>
      <c r="D1" s="86"/>
      <c r="E1" s="86"/>
      <c r="F1" s="86"/>
      <c r="G1" s="86"/>
      <c r="H1" s="86"/>
      <c r="I1" s="86"/>
      <c r="J1" s="86"/>
      <c r="K1" s="86"/>
      <c r="L1" s="86"/>
      <c r="M1" s="86"/>
      <c r="N1" s="86"/>
      <c r="O1" s="86"/>
      <c r="P1" s="86"/>
      <c r="Q1" s="86"/>
    </row>
    <row r="2" spans="1:17" ht="20.399999999999999" customHeight="1" x14ac:dyDescent="0.25">
      <c r="A2" s="87" t="s">
        <v>1</v>
      </c>
      <c r="B2" s="87"/>
      <c r="C2" s="87"/>
      <c r="D2" s="87"/>
      <c r="E2" s="87"/>
      <c r="F2" s="87"/>
      <c r="G2" s="87"/>
      <c r="H2" s="87"/>
      <c r="I2" s="87"/>
      <c r="J2" s="87"/>
      <c r="K2" s="87"/>
      <c r="L2" s="88" t="s">
        <v>2</v>
      </c>
      <c r="M2" s="88"/>
      <c r="N2" s="88"/>
      <c r="O2" s="57" t="s">
        <v>3</v>
      </c>
      <c r="P2" s="89" t="s">
        <v>4</v>
      </c>
      <c r="Q2" s="89"/>
    </row>
    <row r="3" spans="1:17" ht="27.6" x14ac:dyDescent="0.25">
      <c r="A3" s="47" t="s">
        <v>5</v>
      </c>
      <c r="B3" s="47" t="s">
        <v>6</v>
      </c>
      <c r="C3" s="47" t="s">
        <v>7</v>
      </c>
      <c r="D3" s="47" t="s">
        <v>8</v>
      </c>
      <c r="E3" s="47" t="s">
        <v>9</v>
      </c>
      <c r="F3" s="47" t="s">
        <v>10</v>
      </c>
      <c r="G3" s="47" t="s">
        <v>11</v>
      </c>
      <c r="H3" s="47" t="s">
        <v>12</v>
      </c>
      <c r="I3" s="47" t="s">
        <v>13</v>
      </c>
      <c r="J3" s="47" t="s">
        <v>14</v>
      </c>
      <c r="K3" s="47" t="s">
        <v>15</v>
      </c>
      <c r="L3" s="53" t="s">
        <v>16</v>
      </c>
      <c r="M3" s="53" t="s">
        <v>17</v>
      </c>
      <c r="N3" s="53" t="s">
        <v>18</v>
      </c>
      <c r="O3" s="57" t="s">
        <v>19</v>
      </c>
      <c r="P3" s="9" t="s">
        <v>20</v>
      </c>
      <c r="Q3" s="59" t="s">
        <v>21</v>
      </c>
    </row>
    <row r="4" spans="1:17" ht="22.2" customHeight="1" x14ac:dyDescent="0.25">
      <c r="A4" s="48">
        <f>报价及预中标!B26</f>
        <v>-80.108075842696621</v>
      </c>
      <c r="B4" s="48">
        <f>报价及预中标!B25</f>
        <v>-178</v>
      </c>
      <c r="C4" s="48">
        <f>A4*B4</f>
        <v>14259.237499999999</v>
      </c>
      <c r="D4" s="48">
        <f>$B$4*I12</f>
        <v>-623</v>
      </c>
      <c r="E4" s="48">
        <f>$B$4*I13</f>
        <v>-587.4</v>
      </c>
      <c r="F4" s="48">
        <f>B4*(1-P4)*I8</f>
        <v>-1342.3405000000025</v>
      </c>
      <c r="G4" s="48">
        <f>B4*(1-P4)*I9</f>
        <v>-190.04016000000036</v>
      </c>
      <c r="H4" s="48">
        <f>$B$4*I14</f>
        <v>516.19999999999993</v>
      </c>
      <c r="I4" s="48">
        <f ca="1">B4*J4*70.5</f>
        <v>-14223.375</v>
      </c>
      <c r="J4" s="48">
        <f ca="1">容量分摊系数!G3</f>
        <v>1.1334269662921348</v>
      </c>
      <c r="K4" s="54">
        <f ca="1">C4+D4+E4+F4+G4+H4+I4</f>
        <v>-2190.7181600000022</v>
      </c>
      <c r="L4" s="48">
        <f>报价及预中标!D26</f>
        <v>375.47594982602851</v>
      </c>
      <c r="M4" s="48">
        <f>报价及预中标!D25</f>
        <v>171.005</v>
      </c>
      <c r="N4" s="54">
        <f>L4*M4</f>
        <v>64208.264800000004</v>
      </c>
      <c r="O4" s="54">
        <f ca="1">N4+K4</f>
        <v>62017.54664</v>
      </c>
      <c r="P4" s="58">
        <f>-M4/B4</f>
        <v>0.96070224719101116</v>
      </c>
      <c r="Q4" s="48">
        <f>L4-A4</f>
        <v>455.58402566872513</v>
      </c>
    </row>
    <row r="6" spans="1:17" x14ac:dyDescent="0.25">
      <c r="A6" s="49" t="s">
        <v>22</v>
      </c>
      <c r="B6" s="50" t="s">
        <v>23</v>
      </c>
      <c r="C6" s="50"/>
      <c r="D6" s="51"/>
      <c r="E6" s="51"/>
      <c r="F6" s="51"/>
      <c r="G6" s="51"/>
      <c r="I6" s="51"/>
      <c r="K6" s="55" t="str">
        <f>K3</f>
        <v>充电总
费用(元)</v>
      </c>
    </row>
    <row r="7" spans="1:17" x14ac:dyDescent="0.25">
      <c r="A7" s="49">
        <v>1</v>
      </c>
      <c r="B7" s="52" t="s">
        <v>24</v>
      </c>
      <c r="C7" s="52"/>
      <c r="D7" s="51"/>
      <c r="E7" s="51"/>
      <c r="F7" s="51"/>
      <c r="G7" s="51"/>
      <c r="I7" s="51"/>
      <c r="K7" t="str">
        <f>C3</f>
        <v>交易充电
费用(元)</v>
      </c>
    </row>
    <row r="8" spans="1:17" x14ac:dyDescent="0.25">
      <c r="A8" s="49">
        <v>2</v>
      </c>
      <c r="B8" s="52" t="s">
        <v>25</v>
      </c>
      <c r="C8" s="52"/>
      <c r="D8" s="51"/>
      <c r="E8" s="51"/>
      <c r="F8" s="51"/>
      <c r="G8" s="51"/>
      <c r="I8" s="56">
        <v>191.9</v>
      </c>
      <c r="J8" t="s">
        <v>26</v>
      </c>
      <c r="K8" t="str">
        <f>D3</f>
        <v>优发优购(元)</v>
      </c>
    </row>
    <row r="9" spans="1:17" x14ac:dyDescent="0.25">
      <c r="A9" s="49">
        <v>3</v>
      </c>
      <c r="B9" s="52" t="s">
        <v>27</v>
      </c>
      <c r="C9" s="52"/>
      <c r="D9" s="51"/>
      <c r="E9" s="51"/>
      <c r="F9" s="51"/>
      <c r="G9" s="51"/>
      <c r="I9" s="56">
        <v>27.167999999999999</v>
      </c>
      <c r="J9" t="s">
        <v>26</v>
      </c>
      <c r="K9" t="str">
        <f>E3</f>
        <v>上网线损(元)</v>
      </c>
    </row>
    <row r="10" spans="1:17" x14ac:dyDescent="0.25">
      <c r="A10" s="49">
        <v>4</v>
      </c>
      <c r="B10" s="52" t="s">
        <v>28</v>
      </c>
      <c r="C10" s="52"/>
      <c r="D10" s="51"/>
      <c r="E10" s="51"/>
      <c r="F10" s="51"/>
      <c r="G10" s="51"/>
      <c r="I10" s="51"/>
      <c r="K10" t="str">
        <f>F3</f>
        <v>输配电费(元)</v>
      </c>
    </row>
    <row r="11" spans="1:17" x14ac:dyDescent="0.25">
      <c r="A11" s="49">
        <v>5</v>
      </c>
      <c r="B11" s="52" t="s">
        <v>29</v>
      </c>
      <c r="C11" s="52"/>
      <c r="D11" s="51"/>
      <c r="E11" s="51"/>
      <c r="F11" s="51"/>
      <c r="G11" s="51"/>
      <c r="I11" s="51"/>
      <c r="K11" t="str">
        <f>G3</f>
        <v>政府基金(元)</v>
      </c>
    </row>
    <row r="12" spans="1:17" x14ac:dyDescent="0.25">
      <c r="A12" s="49">
        <v>6</v>
      </c>
      <c r="B12" s="52" t="s">
        <v>30</v>
      </c>
      <c r="C12" s="52"/>
      <c r="D12" s="51"/>
      <c r="E12" s="51"/>
      <c r="F12" s="51"/>
      <c r="G12" s="51"/>
      <c r="I12" s="56">
        <v>3.5</v>
      </c>
      <c r="J12" t="s">
        <v>31</v>
      </c>
      <c r="K12" t="str">
        <f>H3</f>
        <v>系统运行(元)</v>
      </c>
    </row>
    <row r="13" spans="1:17" x14ac:dyDescent="0.25">
      <c r="A13" s="49">
        <v>7</v>
      </c>
      <c r="B13" s="52" t="s">
        <v>32</v>
      </c>
      <c r="C13" s="52"/>
      <c r="D13" s="51"/>
      <c r="E13" s="51"/>
      <c r="F13" s="51"/>
      <c r="G13" s="51"/>
      <c r="I13" s="56">
        <v>3.3</v>
      </c>
      <c r="J13" t="s">
        <v>31</v>
      </c>
      <c r="K13" t="str">
        <f>I3</f>
        <v>容量分摊(元)</v>
      </c>
    </row>
    <row r="14" spans="1:17" x14ac:dyDescent="0.25">
      <c r="A14" s="49">
        <v>8</v>
      </c>
      <c r="B14" s="52" t="s">
        <v>33</v>
      </c>
      <c r="C14" s="52"/>
      <c r="D14" s="51"/>
      <c r="E14" s="51"/>
      <c r="F14" s="51"/>
      <c r="G14" s="51"/>
      <c r="I14" s="56">
        <v>-2.9</v>
      </c>
      <c r="J14" t="s">
        <v>31</v>
      </c>
    </row>
    <row r="15" spans="1:17" x14ac:dyDescent="0.25">
      <c r="A15" s="49">
        <v>9</v>
      </c>
      <c r="B15" s="52" t="s">
        <v>34</v>
      </c>
      <c r="C15" s="52"/>
      <c r="D15" s="51"/>
      <c r="E15" s="51"/>
      <c r="F15" s="51"/>
      <c r="G15" s="51"/>
      <c r="I15" s="51"/>
    </row>
    <row r="16" spans="1:17" x14ac:dyDescent="0.25">
      <c r="A16" s="49">
        <v>10</v>
      </c>
      <c r="B16" s="52" t="s">
        <v>35</v>
      </c>
      <c r="C16" s="52"/>
      <c r="D16" s="51"/>
      <c r="E16" s="51"/>
      <c r="F16" s="51"/>
      <c r="G16" s="51"/>
      <c r="I16" s="51"/>
      <c r="M16" s="65"/>
      <c r="N16" s="66"/>
      <c r="O16" s="66"/>
    </row>
    <row r="17" spans="13:16" x14ac:dyDescent="0.25">
      <c r="M17" s="65"/>
      <c r="N17" s="66"/>
      <c r="O17" s="66"/>
    </row>
    <row r="18" spans="13:16" x14ac:dyDescent="0.25">
      <c r="M18" s="65"/>
      <c r="N18" s="66"/>
      <c r="O18" s="66"/>
    </row>
    <row r="19" spans="13:16" x14ac:dyDescent="0.25">
      <c r="M19" s="65"/>
      <c r="N19" s="66"/>
      <c r="O19" s="66"/>
      <c r="P19" s="62"/>
    </row>
    <row r="20" spans="13:16" x14ac:dyDescent="0.25">
      <c r="M20" s="67"/>
      <c r="N20" s="66"/>
      <c r="O20" s="66"/>
    </row>
    <row r="21" spans="13:16" x14ac:dyDescent="0.25">
      <c r="M21" s="65"/>
      <c r="N21" s="66"/>
      <c r="O21" s="66"/>
    </row>
  </sheetData>
  <mergeCells count="4">
    <mergeCell ref="A1:Q1"/>
    <mergeCell ref="A2:K2"/>
    <mergeCell ref="L2:N2"/>
    <mergeCell ref="P2:Q2"/>
  </mergeCells>
  <phoneticPr fontId="10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defaultColWidth="10" defaultRowHeight="15.6" x14ac:dyDescent="0.3"/>
  <cols>
    <col min="1" max="1" width="30.6640625" style="1" customWidth="1"/>
    <col min="2" max="2" width="16.33203125" style="1" customWidth="1"/>
    <col min="3" max="5" width="21.33203125" style="1" customWidth="1"/>
    <col min="6" max="7" width="10" style="1"/>
    <col min="8" max="8" width="18.5546875" style="17" customWidth="1"/>
    <col min="9" max="9" width="21.44140625" style="1" customWidth="1"/>
    <col min="10" max="10" width="19.5546875" style="18" customWidth="1"/>
    <col min="11" max="11" width="19.5546875" style="1" customWidth="1"/>
    <col min="12" max="13" width="24.5546875" style="18" customWidth="1"/>
    <col min="14" max="16384" width="10" style="1"/>
  </cols>
  <sheetData>
    <row r="1" spans="1:14" x14ac:dyDescent="0.3">
      <c r="A1" s="1" t="s">
        <v>36</v>
      </c>
      <c r="G1" s="42" t="s">
        <v>37</v>
      </c>
      <c r="H1" s="17" t="s">
        <v>38</v>
      </c>
      <c r="I1" s="1" t="s">
        <v>39</v>
      </c>
      <c r="J1" s="18" t="s">
        <v>40</v>
      </c>
      <c r="K1" s="42" t="s">
        <v>179</v>
      </c>
      <c r="L1" s="18" t="s">
        <v>41</v>
      </c>
      <c r="M1" s="18" t="s">
        <v>42</v>
      </c>
      <c r="N1" s="1" t="s">
        <v>43</v>
      </c>
    </row>
    <row r="2" spans="1:14" x14ac:dyDescent="0.3">
      <c r="A2" s="1" t="s">
        <v>44</v>
      </c>
      <c r="G2" s="43">
        <v>1</v>
      </c>
      <c r="H2" s="17" t="s">
        <v>45</v>
      </c>
      <c r="I2" s="1" t="str">
        <f>RIGHT(H2,4)</f>
        <v>0015</v>
      </c>
      <c r="J2" s="60">
        <v>533.46</v>
      </c>
      <c r="K2" s="60">
        <v>533.46</v>
      </c>
      <c r="L2" s="18">
        <f>IF(N2&lt;=0, N2, 0)</f>
        <v>0</v>
      </c>
      <c r="M2" s="18">
        <f>IF(N2&gt;=0, N2, 0)</f>
        <v>0</v>
      </c>
      <c r="N2" s="1">
        <v>0</v>
      </c>
    </row>
    <row r="3" spans="1:14" x14ac:dyDescent="0.3">
      <c r="G3" s="43">
        <v>2</v>
      </c>
      <c r="H3" s="17" t="s">
        <v>46</v>
      </c>
      <c r="I3" s="1" t="str">
        <f>RIGHT(H3,4)</f>
        <v>0030</v>
      </c>
      <c r="J3" s="60">
        <v>447.86</v>
      </c>
      <c r="K3" s="60">
        <v>447.86</v>
      </c>
      <c r="L3" s="18">
        <f t="shared" ref="L3:L66" si="0">IF(N3&lt;=0, N3, 0)</f>
        <v>0</v>
      </c>
      <c r="M3" s="18">
        <f t="shared" ref="M3:M66" si="1">IF(N3&gt;=0, N3, 0)</f>
        <v>0</v>
      </c>
      <c r="N3" s="1">
        <v>0</v>
      </c>
    </row>
    <row r="4" spans="1:14" x14ac:dyDescent="0.3">
      <c r="G4" s="43">
        <v>3</v>
      </c>
      <c r="H4" s="17" t="s">
        <v>47</v>
      </c>
      <c r="I4" s="1" t="str">
        <f t="shared" ref="I4:I66" si="2">RIGHT(H4,4)</f>
        <v>0045</v>
      </c>
      <c r="J4" s="60">
        <v>392.11</v>
      </c>
      <c r="K4" s="60">
        <v>392.11</v>
      </c>
      <c r="L4" s="18">
        <f t="shared" si="0"/>
        <v>0</v>
      </c>
      <c r="M4" s="18">
        <f t="shared" si="1"/>
        <v>0</v>
      </c>
      <c r="N4" s="1">
        <v>0</v>
      </c>
    </row>
    <row r="5" spans="1:14" x14ac:dyDescent="0.3">
      <c r="A5" s="19" t="s">
        <v>48</v>
      </c>
      <c r="B5" s="20" t="s">
        <v>49</v>
      </c>
      <c r="C5" s="20" t="s">
        <v>50</v>
      </c>
      <c r="D5" s="20" t="s">
        <v>51</v>
      </c>
      <c r="E5" s="44" t="s">
        <v>52</v>
      </c>
      <c r="G5" s="43">
        <v>4</v>
      </c>
      <c r="H5" s="17" t="s">
        <v>53</v>
      </c>
      <c r="I5" s="1" t="str">
        <f t="shared" si="2"/>
        <v>0100</v>
      </c>
      <c r="J5" s="60">
        <v>380</v>
      </c>
      <c r="K5" s="60">
        <v>380</v>
      </c>
      <c r="L5" s="18">
        <f t="shared" si="0"/>
        <v>0</v>
      </c>
      <c r="M5" s="18">
        <f t="shared" si="1"/>
        <v>0</v>
      </c>
      <c r="N5" s="1">
        <v>0</v>
      </c>
    </row>
    <row r="6" spans="1:14" x14ac:dyDescent="0.3">
      <c r="A6" s="21">
        <v>1</v>
      </c>
      <c r="B6" s="18" t="s">
        <v>54</v>
      </c>
      <c r="C6" s="18">
        <v>-100</v>
      </c>
      <c r="D6" s="18">
        <v>-95</v>
      </c>
      <c r="E6" s="61">
        <v>0</v>
      </c>
      <c r="G6" s="43">
        <v>5</v>
      </c>
      <c r="H6" s="17" t="s">
        <v>55</v>
      </c>
      <c r="I6" s="1" t="str">
        <f t="shared" si="2"/>
        <v>0115</v>
      </c>
      <c r="J6" s="60">
        <v>381.67</v>
      </c>
      <c r="K6" s="60">
        <v>381.67</v>
      </c>
      <c r="L6" s="18">
        <f t="shared" si="0"/>
        <v>0</v>
      </c>
      <c r="M6" s="18">
        <f t="shared" si="1"/>
        <v>0</v>
      </c>
      <c r="N6" s="1">
        <v>0</v>
      </c>
    </row>
    <row r="7" spans="1:14" x14ac:dyDescent="0.3">
      <c r="A7" s="21">
        <v>2</v>
      </c>
      <c r="B7" s="18" t="s">
        <v>54</v>
      </c>
      <c r="C7" s="18">
        <v>-95</v>
      </c>
      <c r="D7" s="18">
        <v>0</v>
      </c>
      <c r="E7" s="45">
        <v>100</v>
      </c>
      <c r="G7" s="43">
        <v>6</v>
      </c>
      <c r="H7" s="17" t="s">
        <v>56</v>
      </c>
      <c r="I7" s="1" t="str">
        <f t="shared" si="2"/>
        <v>0130</v>
      </c>
      <c r="J7" s="60">
        <v>364</v>
      </c>
      <c r="K7" s="60">
        <v>364</v>
      </c>
      <c r="L7" s="18">
        <f t="shared" si="0"/>
        <v>0</v>
      </c>
      <c r="M7" s="18">
        <f t="shared" si="1"/>
        <v>0</v>
      </c>
      <c r="N7" s="1">
        <v>0</v>
      </c>
    </row>
    <row r="8" spans="1:14" x14ac:dyDescent="0.3">
      <c r="A8" s="21">
        <v>3</v>
      </c>
      <c r="B8" s="18" t="s">
        <v>54</v>
      </c>
      <c r="C8" s="18"/>
      <c r="D8" s="18"/>
      <c r="E8" s="45"/>
      <c r="G8" s="43">
        <v>7</v>
      </c>
      <c r="H8" s="17" t="s">
        <v>57</v>
      </c>
      <c r="I8" s="1" t="str">
        <f t="shared" si="2"/>
        <v>0145</v>
      </c>
      <c r="J8" s="60">
        <v>349.36</v>
      </c>
      <c r="K8" s="60">
        <v>349.36</v>
      </c>
      <c r="L8" s="18">
        <f t="shared" si="0"/>
        <v>0</v>
      </c>
      <c r="M8" s="18">
        <f t="shared" si="1"/>
        <v>0</v>
      </c>
      <c r="N8" s="1">
        <v>0</v>
      </c>
    </row>
    <row r="9" spans="1:14" x14ac:dyDescent="0.3">
      <c r="A9" s="21">
        <v>4</v>
      </c>
      <c r="B9" s="18" t="s">
        <v>54</v>
      </c>
      <c r="C9" s="18"/>
      <c r="D9" s="18"/>
      <c r="E9" s="45"/>
      <c r="G9" s="43">
        <v>8</v>
      </c>
      <c r="H9" s="17" t="s">
        <v>58</v>
      </c>
      <c r="I9" s="1" t="str">
        <f t="shared" si="2"/>
        <v>0200</v>
      </c>
      <c r="J9" s="60">
        <v>340</v>
      </c>
      <c r="K9" s="60">
        <v>340</v>
      </c>
      <c r="L9" s="18">
        <f t="shared" si="0"/>
        <v>0</v>
      </c>
      <c r="M9" s="18">
        <f t="shared" si="1"/>
        <v>0</v>
      </c>
      <c r="N9" s="1">
        <v>0</v>
      </c>
    </row>
    <row r="10" spans="1:14" x14ac:dyDescent="0.3">
      <c r="A10" s="21">
        <v>5</v>
      </c>
      <c r="B10" s="18" t="s">
        <v>54</v>
      </c>
      <c r="C10" s="18"/>
      <c r="D10" s="18"/>
      <c r="E10" s="45"/>
      <c r="G10" s="43">
        <v>9</v>
      </c>
      <c r="H10" s="17" t="s">
        <v>59</v>
      </c>
      <c r="I10" s="1" t="str">
        <f t="shared" si="2"/>
        <v>0215</v>
      </c>
      <c r="J10" s="60">
        <v>330</v>
      </c>
      <c r="K10" s="60">
        <v>330</v>
      </c>
      <c r="L10" s="18">
        <f t="shared" si="0"/>
        <v>0</v>
      </c>
      <c r="M10" s="18">
        <f t="shared" si="1"/>
        <v>0</v>
      </c>
      <c r="N10" s="1">
        <v>0</v>
      </c>
    </row>
    <row r="11" spans="1:14" x14ac:dyDescent="0.3">
      <c r="A11" s="21">
        <v>6</v>
      </c>
      <c r="B11" s="18" t="s">
        <v>60</v>
      </c>
      <c r="C11" s="18">
        <v>0</v>
      </c>
      <c r="D11" s="18">
        <v>95</v>
      </c>
      <c r="E11" s="45">
        <v>250</v>
      </c>
      <c r="G11" s="43">
        <v>10</v>
      </c>
      <c r="H11" s="17" t="s">
        <v>61</v>
      </c>
      <c r="I11" s="1" t="str">
        <f t="shared" si="2"/>
        <v>0230</v>
      </c>
      <c r="J11" s="60">
        <v>332</v>
      </c>
      <c r="K11" s="60">
        <v>332</v>
      </c>
      <c r="L11" s="18">
        <f t="shared" si="0"/>
        <v>0</v>
      </c>
      <c r="M11" s="18">
        <f t="shared" si="1"/>
        <v>0</v>
      </c>
      <c r="N11" s="1">
        <v>0</v>
      </c>
    </row>
    <row r="12" spans="1:14" x14ac:dyDescent="0.3">
      <c r="A12" s="21">
        <v>7</v>
      </c>
      <c r="B12" s="18" t="s">
        <v>60</v>
      </c>
      <c r="C12" s="18">
        <v>95</v>
      </c>
      <c r="D12" s="18">
        <v>100</v>
      </c>
      <c r="E12" s="61">
        <v>300</v>
      </c>
      <c r="G12" s="43">
        <v>11</v>
      </c>
      <c r="H12" s="17" t="s">
        <v>62</v>
      </c>
      <c r="I12" s="1" t="str">
        <f t="shared" si="2"/>
        <v>0245</v>
      </c>
      <c r="J12" s="60">
        <v>318.75</v>
      </c>
      <c r="K12" s="60">
        <v>318.75</v>
      </c>
      <c r="L12" s="18">
        <f t="shared" si="0"/>
        <v>0</v>
      </c>
      <c r="M12" s="18">
        <f t="shared" si="1"/>
        <v>0</v>
      </c>
      <c r="N12" s="1">
        <v>0</v>
      </c>
    </row>
    <row r="13" spans="1:14" x14ac:dyDescent="0.3">
      <c r="A13" s="21">
        <v>8</v>
      </c>
      <c r="B13" s="18" t="s">
        <v>60</v>
      </c>
      <c r="C13" s="18"/>
      <c r="D13" s="18"/>
      <c r="E13" s="61"/>
      <c r="G13" s="43">
        <v>12</v>
      </c>
      <c r="H13" s="17" t="s">
        <v>63</v>
      </c>
      <c r="I13" s="1" t="str">
        <f t="shared" si="2"/>
        <v>0300</v>
      </c>
      <c r="J13" s="60">
        <v>317.35000000000002</v>
      </c>
      <c r="K13" s="60">
        <v>317.35000000000002</v>
      </c>
      <c r="L13" s="18">
        <f t="shared" si="0"/>
        <v>0</v>
      </c>
      <c r="M13" s="18">
        <f t="shared" si="1"/>
        <v>0</v>
      </c>
      <c r="N13" s="1">
        <v>0</v>
      </c>
    </row>
    <row r="14" spans="1:14" x14ac:dyDescent="0.3">
      <c r="A14" s="21">
        <v>9</v>
      </c>
      <c r="B14" s="18" t="s">
        <v>60</v>
      </c>
      <c r="C14" s="18"/>
      <c r="D14" s="18"/>
      <c r="E14" s="45"/>
      <c r="G14" s="43">
        <v>13</v>
      </c>
      <c r="H14" s="17" t="s">
        <v>64</v>
      </c>
      <c r="I14" s="1" t="str">
        <f t="shared" si="2"/>
        <v>0315</v>
      </c>
      <c r="J14" s="60">
        <v>319.83999999999997</v>
      </c>
      <c r="K14" s="60">
        <v>319.83999999999997</v>
      </c>
      <c r="L14" s="18">
        <f t="shared" si="0"/>
        <v>0</v>
      </c>
      <c r="M14" s="18">
        <f t="shared" si="1"/>
        <v>0</v>
      </c>
      <c r="N14" s="1">
        <v>0</v>
      </c>
    </row>
    <row r="15" spans="1:14" x14ac:dyDescent="0.3">
      <c r="A15" s="22">
        <v>10</v>
      </c>
      <c r="B15" s="23" t="s">
        <v>60</v>
      </c>
      <c r="C15" s="23"/>
      <c r="D15" s="23"/>
      <c r="E15" s="46"/>
      <c r="G15" s="43">
        <v>14</v>
      </c>
      <c r="H15" s="17" t="s">
        <v>65</v>
      </c>
      <c r="I15" s="1" t="str">
        <f t="shared" si="2"/>
        <v>0330</v>
      </c>
      <c r="J15" s="60">
        <v>317.33</v>
      </c>
      <c r="K15" s="60">
        <v>317.33</v>
      </c>
      <c r="L15" s="18">
        <f t="shared" si="0"/>
        <v>0</v>
      </c>
      <c r="M15" s="18">
        <f t="shared" si="1"/>
        <v>0</v>
      </c>
      <c r="N15" s="1">
        <v>0</v>
      </c>
    </row>
    <row r="16" spans="1:14" x14ac:dyDescent="0.3">
      <c r="G16" s="43">
        <v>15</v>
      </c>
      <c r="H16" s="17" t="s">
        <v>66</v>
      </c>
      <c r="I16" s="1" t="str">
        <f t="shared" si="2"/>
        <v>0345</v>
      </c>
      <c r="J16" s="60">
        <v>316.01</v>
      </c>
      <c r="K16" s="60">
        <v>316.01</v>
      </c>
      <c r="L16" s="18">
        <f t="shared" si="0"/>
        <v>0</v>
      </c>
      <c r="M16" s="18">
        <f t="shared" si="1"/>
        <v>0</v>
      </c>
      <c r="N16" s="1">
        <v>0</v>
      </c>
    </row>
    <row r="17" spans="1:14" x14ac:dyDescent="0.3">
      <c r="G17" s="43">
        <v>16</v>
      </c>
      <c r="H17" s="17" t="s">
        <v>67</v>
      </c>
      <c r="I17" s="1" t="str">
        <f t="shared" si="2"/>
        <v>0400</v>
      </c>
      <c r="J17" s="60">
        <v>316.08999999999997</v>
      </c>
      <c r="K17" s="60">
        <v>316.08999999999997</v>
      </c>
      <c r="L17" s="18">
        <f t="shared" si="0"/>
        <v>0</v>
      </c>
      <c r="M17" s="18">
        <f t="shared" si="1"/>
        <v>0</v>
      </c>
      <c r="N17" s="1">
        <v>0</v>
      </c>
    </row>
    <row r="18" spans="1:14" x14ac:dyDescent="0.3">
      <c r="A18" s="24" t="s">
        <v>68</v>
      </c>
      <c r="B18" s="25">
        <v>0</v>
      </c>
      <c r="G18" s="43">
        <v>17</v>
      </c>
      <c r="H18" s="17" t="s">
        <v>69</v>
      </c>
      <c r="I18" s="1" t="str">
        <f t="shared" si="2"/>
        <v>0415</v>
      </c>
      <c r="J18" s="60">
        <v>324</v>
      </c>
      <c r="K18" s="60">
        <v>324</v>
      </c>
      <c r="L18" s="18">
        <f t="shared" si="0"/>
        <v>0</v>
      </c>
      <c r="M18" s="18">
        <f t="shared" si="1"/>
        <v>0</v>
      </c>
      <c r="N18" s="1">
        <v>0</v>
      </c>
    </row>
    <row r="19" spans="1:14" x14ac:dyDescent="0.3">
      <c r="A19" s="26" t="s">
        <v>70</v>
      </c>
      <c r="B19" s="27">
        <v>100</v>
      </c>
      <c r="G19" s="43">
        <v>18</v>
      </c>
      <c r="H19" s="17" t="s">
        <v>71</v>
      </c>
      <c r="I19" s="1" t="str">
        <f t="shared" si="2"/>
        <v>0430</v>
      </c>
      <c r="J19" s="60">
        <v>347.97</v>
      </c>
      <c r="K19" s="60">
        <v>347.97</v>
      </c>
      <c r="L19" s="18">
        <f t="shared" si="0"/>
        <v>0</v>
      </c>
      <c r="M19" s="18">
        <f t="shared" si="1"/>
        <v>0</v>
      </c>
      <c r="N19" s="1">
        <v>0</v>
      </c>
    </row>
    <row r="20" spans="1:14" x14ac:dyDescent="0.3">
      <c r="A20" s="26" t="s">
        <v>72</v>
      </c>
      <c r="B20" s="27">
        <v>180</v>
      </c>
      <c r="G20" s="43">
        <v>19</v>
      </c>
      <c r="H20" s="17" t="s">
        <v>73</v>
      </c>
      <c r="I20" s="1" t="str">
        <f t="shared" si="2"/>
        <v>0445</v>
      </c>
      <c r="J20" s="60">
        <v>348</v>
      </c>
      <c r="K20" s="60">
        <v>348</v>
      </c>
      <c r="L20" s="18">
        <f t="shared" si="0"/>
        <v>0</v>
      </c>
      <c r="M20" s="18">
        <f t="shared" si="1"/>
        <v>0</v>
      </c>
      <c r="N20" s="1">
        <v>0</v>
      </c>
    </row>
    <row r="21" spans="1:14" x14ac:dyDescent="0.3">
      <c r="A21" s="28" t="s">
        <v>74</v>
      </c>
      <c r="B21" s="29">
        <v>0.9</v>
      </c>
      <c r="G21" s="43">
        <v>20</v>
      </c>
      <c r="H21" s="17" t="s">
        <v>75</v>
      </c>
      <c r="I21" s="1" t="str">
        <f t="shared" si="2"/>
        <v>0500</v>
      </c>
      <c r="J21" s="60">
        <v>356</v>
      </c>
      <c r="K21" s="60">
        <v>356</v>
      </c>
      <c r="L21" s="18">
        <f t="shared" si="0"/>
        <v>0</v>
      </c>
      <c r="M21" s="18">
        <f t="shared" si="1"/>
        <v>0.5</v>
      </c>
      <c r="N21" s="1">
        <v>0.5</v>
      </c>
    </row>
    <row r="22" spans="1:14" x14ac:dyDescent="0.3">
      <c r="G22" s="43">
        <v>21</v>
      </c>
      <c r="H22" s="17" t="s">
        <v>76</v>
      </c>
      <c r="I22" s="1" t="str">
        <f t="shared" si="2"/>
        <v>0515</v>
      </c>
      <c r="J22" s="60">
        <v>452</v>
      </c>
      <c r="K22" s="60">
        <v>452</v>
      </c>
      <c r="L22" s="18">
        <f t="shared" si="0"/>
        <v>0</v>
      </c>
      <c r="M22" s="18">
        <f t="shared" si="1"/>
        <v>0</v>
      </c>
      <c r="N22" s="1">
        <v>0</v>
      </c>
    </row>
    <row r="23" spans="1:14" x14ac:dyDescent="0.3">
      <c r="G23" s="43">
        <v>22</v>
      </c>
      <c r="H23" s="17" t="s">
        <v>77</v>
      </c>
      <c r="I23" s="1" t="str">
        <f t="shared" si="2"/>
        <v>0530</v>
      </c>
      <c r="J23" s="60">
        <v>413.89</v>
      </c>
      <c r="K23" s="60">
        <v>413.89</v>
      </c>
      <c r="L23" s="18">
        <f t="shared" si="0"/>
        <v>0</v>
      </c>
      <c r="M23" s="18">
        <f t="shared" si="1"/>
        <v>0</v>
      </c>
      <c r="N23" s="1">
        <v>0</v>
      </c>
    </row>
    <row r="24" spans="1:14" x14ac:dyDescent="0.3">
      <c r="G24" s="43">
        <v>23</v>
      </c>
      <c r="H24" s="17" t="s">
        <v>78</v>
      </c>
      <c r="I24" s="1" t="str">
        <f t="shared" si="2"/>
        <v>0545</v>
      </c>
      <c r="J24" s="60">
        <v>399.17</v>
      </c>
      <c r="K24" s="60">
        <v>399.17</v>
      </c>
      <c r="L24" s="18">
        <f t="shared" si="0"/>
        <v>0</v>
      </c>
      <c r="M24" s="18">
        <f t="shared" si="1"/>
        <v>0</v>
      </c>
      <c r="N24" s="1">
        <v>0</v>
      </c>
    </row>
    <row r="25" spans="1:14" x14ac:dyDescent="0.3">
      <c r="A25" s="30" t="s">
        <v>79</v>
      </c>
      <c r="B25" s="31">
        <f>SUM(L:L)/4</f>
        <v>-178</v>
      </c>
      <c r="C25" s="31" t="s">
        <v>80</v>
      </c>
      <c r="D25" s="32">
        <f>SUM(M:M)/4</f>
        <v>171.005</v>
      </c>
      <c r="G25" s="43">
        <v>24</v>
      </c>
      <c r="H25" s="17" t="s">
        <v>81</v>
      </c>
      <c r="I25" s="1" t="str">
        <f t="shared" si="2"/>
        <v>0600</v>
      </c>
      <c r="J25" s="60">
        <v>388.89</v>
      </c>
      <c r="K25" s="60">
        <v>388.89</v>
      </c>
      <c r="L25" s="18">
        <f t="shared" si="0"/>
        <v>0</v>
      </c>
      <c r="M25" s="18">
        <f t="shared" si="1"/>
        <v>0</v>
      </c>
      <c r="N25" s="1">
        <v>0</v>
      </c>
    </row>
    <row r="26" spans="1:14" x14ac:dyDescent="0.3">
      <c r="A26" s="33" t="s">
        <v>82</v>
      </c>
      <c r="B26" s="34">
        <f>B27/B25</f>
        <v>-80.108075842696621</v>
      </c>
      <c r="C26" s="1" t="s">
        <v>83</v>
      </c>
      <c r="D26" s="35">
        <f>D27/D25</f>
        <v>375.47594982602851</v>
      </c>
      <c r="G26" s="43">
        <v>25</v>
      </c>
      <c r="H26" s="17" t="s">
        <v>84</v>
      </c>
      <c r="I26" s="1" t="str">
        <f t="shared" si="2"/>
        <v>0615</v>
      </c>
      <c r="J26" s="60">
        <v>396.96</v>
      </c>
      <c r="K26" s="60">
        <v>396.96</v>
      </c>
      <c r="L26" s="18">
        <f t="shared" si="0"/>
        <v>0</v>
      </c>
      <c r="M26" s="18">
        <f t="shared" si="1"/>
        <v>0</v>
      </c>
      <c r="N26" s="1">
        <v>0</v>
      </c>
    </row>
    <row r="27" spans="1:14" x14ac:dyDescent="0.3">
      <c r="A27" s="33" t="s">
        <v>85</v>
      </c>
      <c r="B27" s="36">
        <f>SUMPRODUCT(J:J,L:L)/4</f>
        <v>14259.237499999999</v>
      </c>
      <c r="C27" s="1" t="s">
        <v>86</v>
      </c>
      <c r="D27" s="37" cm="1">
        <f t="array" ref="D27">SUMPRODUCT(K:K,M:M)/4</f>
        <v>64208.264800000004</v>
      </c>
      <c r="G27" s="43">
        <v>26</v>
      </c>
      <c r="H27" s="17" t="s">
        <v>87</v>
      </c>
      <c r="I27" s="1" t="str">
        <f t="shared" si="2"/>
        <v>0630</v>
      </c>
      <c r="J27" s="60">
        <v>356.84</v>
      </c>
      <c r="K27" s="60">
        <v>356.84</v>
      </c>
      <c r="L27" s="18">
        <f t="shared" si="0"/>
        <v>0</v>
      </c>
      <c r="M27" s="18">
        <f t="shared" si="1"/>
        <v>0</v>
      </c>
      <c r="N27" s="1">
        <v>0</v>
      </c>
    </row>
    <row r="28" spans="1:14" x14ac:dyDescent="0.3">
      <c r="A28" s="38" t="s">
        <v>88</v>
      </c>
      <c r="B28" s="39">
        <f>D26-B26</f>
        <v>455.58402566872513</v>
      </c>
      <c r="C28" s="40" t="s">
        <v>89</v>
      </c>
      <c r="D28" s="41">
        <f>D27+B27</f>
        <v>78467.502300000007</v>
      </c>
      <c r="G28" s="43">
        <v>27</v>
      </c>
      <c r="H28" s="17" t="s">
        <v>90</v>
      </c>
      <c r="I28" s="1" t="str">
        <f t="shared" si="2"/>
        <v>0645</v>
      </c>
      <c r="J28" s="60">
        <v>69.06</v>
      </c>
      <c r="K28" s="60">
        <v>69.06</v>
      </c>
      <c r="L28" s="18">
        <f t="shared" si="0"/>
        <v>0</v>
      </c>
      <c r="M28" s="18">
        <f t="shared" si="1"/>
        <v>0</v>
      </c>
      <c r="N28" s="1">
        <v>0</v>
      </c>
    </row>
    <row r="29" spans="1:14" x14ac:dyDescent="0.3">
      <c r="G29" s="43">
        <v>28</v>
      </c>
      <c r="H29" s="17" t="s">
        <v>91</v>
      </c>
      <c r="I29" s="1" t="str">
        <f t="shared" si="2"/>
        <v>0700</v>
      </c>
      <c r="J29" s="60">
        <v>-80</v>
      </c>
      <c r="K29" s="60">
        <v>-80</v>
      </c>
      <c r="L29" s="18">
        <f t="shared" si="0"/>
        <v>0</v>
      </c>
      <c r="M29" s="18">
        <f t="shared" si="1"/>
        <v>0</v>
      </c>
      <c r="N29" s="1">
        <v>0</v>
      </c>
    </row>
    <row r="30" spans="1:14" x14ac:dyDescent="0.3">
      <c r="D30" s="64">
        <f ca="1">充放测算!O4</f>
        <v>62017.54664</v>
      </c>
      <c r="G30" s="43">
        <v>29</v>
      </c>
      <c r="H30" s="17" t="s">
        <v>92</v>
      </c>
      <c r="I30" s="1" t="str">
        <f t="shared" si="2"/>
        <v>0715</v>
      </c>
      <c r="J30" s="60">
        <v>-80</v>
      </c>
      <c r="K30" s="60">
        <v>-80</v>
      </c>
      <c r="L30" s="18">
        <f t="shared" si="0"/>
        <v>0</v>
      </c>
      <c r="M30" s="18">
        <f t="shared" si="1"/>
        <v>0</v>
      </c>
      <c r="N30" s="1">
        <v>0</v>
      </c>
    </row>
    <row r="31" spans="1:14" x14ac:dyDescent="0.3">
      <c r="G31" s="43">
        <v>30</v>
      </c>
      <c r="H31" s="17" t="s">
        <v>93</v>
      </c>
      <c r="I31" s="1" t="str">
        <f t="shared" si="2"/>
        <v>0730</v>
      </c>
      <c r="J31" s="60">
        <v>-80</v>
      </c>
      <c r="K31" s="60">
        <v>-80</v>
      </c>
      <c r="L31" s="18">
        <f t="shared" si="0"/>
        <v>0</v>
      </c>
      <c r="M31" s="18">
        <f t="shared" si="1"/>
        <v>0</v>
      </c>
      <c r="N31" s="1">
        <v>0</v>
      </c>
    </row>
    <row r="32" spans="1:14" x14ac:dyDescent="0.3">
      <c r="G32" s="43">
        <v>31</v>
      </c>
      <c r="H32" s="17" t="s">
        <v>94</v>
      </c>
      <c r="I32" s="1" t="str">
        <f t="shared" si="2"/>
        <v>0745</v>
      </c>
      <c r="J32" s="60">
        <v>-80</v>
      </c>
      <c r="K32" s="60">
        <v>-80</v>
      </c>
      <c r="L32" s="18">
        <f t="shared" si="0"/>
        <v>0</v>
      </c>
      <c r="M32" s="18">
        <f t="shared" si="1"/>
        <v>0</v>
      </c>
      <c r="N32" s="1">
        <v>0</v>
      </c>
    </row>
    <row r="33" spans="1:14" ht="16.2" thickBot="1" x14ac:dyDescent="0.35">
      <c r="G33" s="43">
        <v>32</v>
      </c>
      <c r="H33" s="17" t="s">
        <v>95</v>
      </c>
      <c r="I33" s="1" t="str">
        <f t="shared" si="2"/>
        <v>0800</v>
      </c>
      <c r="J33" s="60">
        <v>-80</v>
      </c>
      <c r="K33" s="60">
        <v>-80</v>
      </c>
      <c r="L33" s="18">
        <f t="shared" si="0"/>
        <v>0</v>
      </c>
      <c r="M33" s="18">
        <f t="shared" si="1"/>
        <v>0</v>
      </c>
      <c r="N33" s="1">
        <v>0</v>
      </c>
    </row>
    <row r="34" spans="1:14" x14ac:dyDescent="0.3">
      <c r="A34" s="68" t="s">
        <v>48</v>
      </c>
      <c r="B34" s="69" t="s">
        <v>49</v>
      </c>
      <c r="C34" s="69" t="s">
        <v>50</v>
      </c>
      <c r="D34" s="69" t="s">
        <v>51</v>
      </c>
      <c r="E34" s="70" t="s">
        <v>180</v>
      </c>
      <c r="G34" s="43">
        <v>33</v>
      </c>
      <c r="H34" s="17" t="s">
        <v>96</v>
      </c>
      <c r="I34" s="1" t="str">
        <f t="shared" si="2"/>
        <v>0815</v>
      </c>
      <c r="J34" s="60">
        <v>-80</v>
      </c>
      <c r="K34" s="60">
        <v>-80</v>
      </c>
      <c r="L34" s="18">
        <f t="shared" si="0"/>
        <v>0</v>
      </c>
      <c r="M34" s="18">
        <f t="shared" si="1"/>
        <v>0</v>
      </c>
      <c r="N34" s="1">
        <v>0</v>
      </c>
    </row>
    <row r="35" spans="1:14" x14ac:dyDescent="0.3">
      <c r="A35" s="75"/>
      <c r="B35" s="71"/>
      <c r="C35" s="71"/>
      <c r="D35" s="71"/>
      <c r="E35" s="76"/>
      <c r="G35" s="43">
        <v>34</v>
      </c>
      <c r="H35" s="17" t="s">
        <v>97</v>
      </c>
      <c r="I35" s="1" t="str">
        <f t="shared" si="2"/>
        <v>0830</v>
      </c>
      <c r="J35" s="60">
        <v>-80</v>
      </c>
      <c r="K35" s="60">
        <v>-80</v>
      </c>
      <c r="L35" s="18">
        <f t="shared" si="0"/>
        <v>0</v>
      </c>
      <c r="M35" s="18">
        <f t="shared" si="1"/>
        <v>0</v>
      </c>
      <c r="N35" s="1">
        <v>0</v>
      </c>
    </row>
    <row r="36" spans="1:14" ht="16.2" thickBot="1" x14ac:dyDescent="0.35">
      <c r="A36" s="77">
        <v>1</v>
      </c>
      <c r="B36" s="72" t="s">
        <v>54</v>
      </c>
      <c r="C36" s="72">
        <v>-100</v>
      </c>
      <c r="D36" s="72">
        <v>-95</v>
      </c>
      <c r="E36" s="72">
        <v>0</v>
      </c>
      <c r="G36" s="43">
        <v>35</v>
      </c>
      <c r="H36" s="17" t="s">
        <v>98</v>
      </c>
      <c r="I36" s="1" t="str">
        <f t="shared" si="2"/>
        <v>0845</v>
      </c>
      <c r="J36" s="60">
        <v>-80</v>
      </c>
      <c r="K36" s="60">
        <v>-80</v>
      </c>
      <c r="L36" s="18">
        <f t="shared" si="0"/>
        <v>0</v>
      </c>
      <c r="M36" s="18">
        <f t="shared" si="1"/>
        <v>0</v>
      </c>
      <c r="N36" s="1">
        <v>0</v>
      </c>
    </row>
    <row r="37" spans="1:14" ht="16.2" thickBot="1" x14ac:dyDescent="0.35">
      <c r="A37" s="78">
        <v>2</v>
      </c>
      <c r="B37" s="73" t="s">
        <v>54</v>
      </c>
      <c r="C37" s="73">
        <v>-95</v>
      </c>
      <c r="D37" s="73">
        <v>0</v>
      </c>
      <c r="E37" s="73">
        <v>150</v>
      </c>
      <c r="G37" s="43">
        <v>36</v>
      </c>
      <c r="H37" s="17" t="s">
        <v>99</v>
      </c>
      <c r="I37" s="1" t="str">
        <f t="shared" si="2"/>
        <v>0900</v>
      </c>
      <c r="J37" s="60">
        <v>-80</v>
      </c>
      <c r="K37" s="60">
        <v>-80</v>
      </c>
      <c r="L37" s="18">
        <f t="shared" si="0"/>
        <v>0</v>
      </c>
      <c r="M37" s="18">
        <f t="shared" si="1"/>
        <v>0</v>
      </c>
      <c r="N37" s="1">
        <v>0</v>
      </c>
    </row>
    <row r="38" spans="1:14" ht="16.2" thickBot="1" x14ac:dyDescent="0.35">
      <c r="A38" s="79">
        <v>3</v>
      </c>
      <c r="B38" s="74" t="s">
        <v>60</v>
      </c>
      <c r="C38" s="74">
        <v>0</v>
      </c>
      <c r="D38" s="74">
        <v>95</v>
      </c>
      <c r="E38" s="74">
        <v>280</v>
      </c>
      <c r="G38" s="43">
        <v>37</v>
      </c>
      <c r="H38" s="17" t="s">
        <v>100</v>
      </c>
      <c r="I38" s="1" t="str">
        <f t="shared" si="2"/>
        <v>0915</v>
      </c>
      <c r="J38" s="60">
        <v>-80</v>
      </c>
      <c r="K38" s="60">
        <v>-80</v>
      </c>
      <c r="L38" s="18">
        <f t="shared" si="0"/>
        <v>0</v>
      </c>
      <c r="M38" s="18">
        <f t="shared" si="1"/>
        <v>0</v>
      </c>
      <c r="N38" s="1">
        <v>0</v>
      </c>
    </row>
    <row r="39" spans="1:14" ht="16.2" thickBot="1" x14ac:dyDescent="0.35">
      <c r="A39" s="80">
        <v>4</v>
      </c>
      <c r="B39" s="81" t="s">
        <v>60</v>
      </c>
      <c r="C39" s="81">
        <v>95</v>
      </c>
      <c r="D39" s="81">
        <v>100</v>
      </c>
      <c r="E39" s="81">
        <v>350</v>
      </c>
      <c r="G39" s="43">
        <v>38</v>
      </c>
      <c r="H39" s="17" t="s">
        <v>101</v>
      </c>
      <c r="I39" s="1" t="str">
        <f t="shared" si="2"/>
        <v>0930</v>
      </c>
      <c r="J39" s="60">
        <v>-80</v>
      </c>
      <c r="K39" s="60">
        <v>-80</v>
      </c>
      <c r="L39" s="18">
        <f t="shared" si="0"/>
        <v>0</v>
      </c>
      <c r="M39" s="18">
        <f t="shared" si="1"/>
        <v>0</v>
      </c>
      <c r="N39" s="1">
        <v>0</v>
      </c>
    </row>
    <row r="40" spans="1:14" x14ac:dyDescent="0.3">
      <c r="G40" s="43">
        <v>39</v>
      </c>
      <c r="H40" s="17" t="s">
        <v>102</v>
      </c>
      <c r="I40" s="1" t="str">
        <f t="shared" si="2"/>
        <v>0945</v>
      </c>
      <c r="J40" s="60">
        <v>-80</v>
      </c>
      <c r="K40" s="60">
        <v>-80</v>
      </c>
      <c r="L40" s="18">
        <f t="shared" si="0"/>
        <v>0</v>
      </c>
      <c r="M40" s="18">
        <f t="shared" si="1"/>
        <v>0</v>
      </c>
      <c r="N40" s="1">
        <v>0</v>
      </c>
    </row>
    <row r="41" spans="1:14" x14ac:dyDescent="0.3">
      <c r="G41" s="43">
        <v>40</v>
      </c>
      <c r="H41" s="17" t="s">
        <v>103</v>
      </c>
      <c r="I41" s="1" t="str">
        <f t="shared" si="2"/>
        <v>1000</v>
      </c>
      <c r="J41" s="60">
        <v>-80</v>
      </c>
      <c r="K41" s="60">
        <v>-80</v>
      </c>
      <c r="L41" s="18">
        <f t="shared" si="0"/>
        <v>0</v>
      </c>
      <c r="M41" s="18">
        <f t="shared" si="1"/>
        <v>0</v>
      </c>
      <c r="N41" s="1">
        <v>0</v>
      </c>
    </row>
    <row r="42" spans="1:14" x14ac:dyDescent="0.3">
      <c r="G42" s="43">
        <v>41</v>
      </c>
      <c r="H42" s="17" t="s">
        <v>104</v>
      </c>
      <c r="I42" s="1" t="str">
        <f t="shared" si="2"/>
        <v>1015</v>
      </c>
      <c r="J42" s="60">
        <v>-80</v>
      </c>
      <c r="K42" s="60">
        <v>-80</v>
      </c>
      <c r="L42" s="18">
        <f t="shared" si="0"/>
        <v>0</v>
      </c>
      <c r="M42" s="18">
        <f t="shared" si="1"/>
        <v>0</v>
      </c>
      <c r="N42" s="1">
        <v>0</v>
      </c>
    </row>
    <row r="43" spans="1:14" x14ac:dyDescent="0.3">
      <c r="G43" s="43">
        <v>42</v>
      </c>
      <c r="H43" s="17" t="s">
        <v>105</v>
      </c>
      <c r="I43" s="1" t="str">
        <f t="shared" si="2"/>
        <v>1030</v>
      </c>
      <c r="J43" s="60">
        <v>-80</v>
      </c>
      <c r="K43" s="60">
        <v>-80</v>
      </c>
      <c r="L43" s="18">
        <f t="shared" si="0"/>
        <v>0</v>
      </c>
      <c r="M43" s="18">
        <f t="shared" si="1"/>
        <v>0</v>
      </c>
      <c r="N43" s="1">
        <v>0</v>
      </c>
    </row>
    <row r="44" spans="1:14" x14ac:dyDescent="0.3">
      <c r="G44" s="43">
        <v>43</v>
      </c>
      <c r="H44" s="17" t="s">
        <v>106</v>
      </c>
      <c r="I44" s="1" t="str">
        <f t="shared" si="2"/>
        <v>1045</v>
      </c>
      <c r="J44" s="60">
        <v>-80</v>
      </c>
      <c r="K44" s="60">
        <v>-80</v>
      </c>
      <c r="L44" s="18">
        <f t="shared" si="0"/>
        <v>0</v>
      </c>
      <c r="M44" s="18">
        <f t="shared" si="1"/>
        <v>0</v>
      </c>
      <c r="N44" s="1">
        <v>0</v>
      </c>
    </row>
    <row r="45" spans="1:14" x14ac:dyDescent="0.3">
      <c r="G45" s="43">
        <v>44</v>
      </c>
      <c r="H45" s="17" t="s">
        <v>107</v>
      </c>
      <c r="I45" s="1" t="str">
        <f t="shared" si="2"/>
        <v>1100</v>
      </c>
      <c r="J45" s="60">
        <v>-80</v>
      </c>
      <c r="K45" s="60">
        <v>-80</v>
      </c>
      <c r="L45" s="18">
        <f t="shared" si="0"/>
        <v>0</v>
      </c>
      <c r="M45" s="18">
        <f t="shared" si="1"/>
        <v>0</v>
      </c>
      <c r="N45" s="1">
        <v>0</v>
      </c>
    </row>
    <row r="46" spans="1:14" x14ac:dyDescent="0.3">
      <c r="G46" s="43">
        <v>45</v>
      </c>
      <c r="H46" s="17" t="s">
        <v>108</v>
      </c>
      <c r="I46" s="1" t="str">
        <f t="shared" si="2"/>
        <v>1115</v>
      </c>
      <c r="J46" s="60">
        <v>-80</v>
      </c>
      <c r="K46" s="60">
        <v>-80</v>
      </c>
      <c r="L46" s="18">
        <f t="shared" si="0"/>
        <v>0</v>
      </c>
      <c r="M46" s="18">
        <f t="shared" si="1"/>
        <v>0</v>
      </c>
      <c r="N46" s="1">
        <v>0</v>
      </c>
    </row>
    <row r="47" spans="1:14" x14ac:dyDescent="0.3">
      <c r="G47" s="43">
        <v>46</v>
      </c>
      <c r="H47" s="17" t="s">
        <v>109</v>
      </c>
      <c r="I47" s="1" t="str">
        <f t="shared" si="2"/>
        <v>1130</v>
      </c>
      <c r="J47" s="60">
        <v>-80</v>
      </c>
      <c r="K47" s="60">
        <v>-80</v>
      </c>
      <c r="L47" s="18">
        <f t="shared" si="0"/>
        <v>0</v>
      </c>
      <c r="M47" s="18">
        <f t="shared" si="1"/>
        <v>0</v>
      </c>
      <c r="N47" s="1">
        <v>0</v>
      </c>
    </row>
    <row r="48" spans="1:14" x14ac:dyDescent="0.3">
      <c r="G48" s="43">
        <v>47</v>
      </c>
      <c r="H48" s="17" t="s">
        <v>110</v>
      </c>
      <c r="I48" s="1" t="str">
        <f t="shared" si="2"/>
        <v>1145</v>
      </c>
      <c r="J48" s="60">
        <v>-80</v>
      </c>
      <c r="K48" s="60">
        <v>-80</v>
      </c>
      <c r="L48" s="18">
        <f t="shared" si="0"/>
        <v>0</v>
      </c>
      <c r="M48" s="18">
        <f t="shared" si="1"/>
        <v>0</v>
      </c>
      <c r="N48" s="1">
        <v>0</v>
      </c>
    </row>
    <row r="49" spans="7:14" x14ac:dyDescent="0.3">
      <c r="G49" s="43">
        <v>48</v>
      </c>
      <c r="H49" s="17" t="s">
        <v>111</v>
      </c>
      <c r="I49" s="1" t="str">
        <f t="shared" si="2"/>
        <v>1200</v>
      </c>
      <c r="J49" s="60">
        <v>-80</v>
      </c>
      <c r="K49" s="60">
        <v>-80</v>
      </c>
      <c r="L49" s="18">
        <f t="shared" si="0"/>
        <v>0</v>
      </c>
      <c r="M49" s="18">
        <f t="shared" si="1"/>
        <v>0</v>
      </c>
      <c r="N49" s="1">
        <v>0</v>
      </c>
    </row>
    <row r="50" spans="7:14" x14ac:dyDescent="0.3">
      <c r="G50" s="43">
        <v>49</v>
      </c>
      <c r="H50" s="17" t="s">
        <v>112</v>
      </c>
      <c r="I50" s="1" t="str">
        <f t="shared" si="2"/>
        <v>1215</v>
      </c>
      <c r="J50" s="60">
        <v>-80</v>
      </c>
      <c r="K50" s="60">
        <v>-80</v>
      </c>
      <c r="L50" s="18">
        <f t="shared" si="0"/>
        <v>-95</v>
      </c>
      <c r="M50" s="18">
        <f t="shared" si="1"/>
        <v>0</v>
      </c>
      <c r="N50" s="1">
        <v>-95</v>
      </c>
    </row>
    <row r="51" spans="7:14" x14ac:dyDescent="0.3">
      <c r="G51" s="43">
        <v>50</v>
      </c>
      <c r="H51" s="17" t="s">
        <v>113</v>
      </c>
      <c r="I51" s="1" t="str">
        <f t="shared" si="2"/>
        <v>1230</v>
      </c>
      <c r="J51" s="60">
        <v>-80</v>
      </c>
      <c r="K51" s="60">
        <v>-80</v>
      </c>
      <c r="L51" s="18">
        <f t="shared" si="0"/>
        <v>-95</v>
      </c>
      <c r="M51" s="18">
        <f t="shared" si="1"/>
        <v>0</v>
      </c>
      <c r="N51" s="1">
        <v>-95</v>
      </c>
    </row>
    <row r="52" spans="7:14" x14ac:dyDescent="0.3">
      <c r="G52" s="43">
        <v>51</v>
      </c>
      <c r="H52" s="17" t="s">
        <v>114</v>
      </c>
      <c r="I52" s="1" t="str">
        <f t="shared" si="2"/>
        <v>1245</v>
      </c>
      <c r="J52" s="60">
        <v>-80</v>
      </c>
      <c r="K52" s="60">
        <v>-80</v>
      </c>
      <c r="L52" s="18">
        <f t="shared" si="0"/>
        <v>-95</v>
      </c>
      <c r="M52" s="18">
        <f t="shared" si="1"/>
        <v>0</v>
      </c>
      <c r="N52" s="1">
        <v>-95</v>
      </c>
    </row>
    <row r="53" spans="7:14" x14ac:dyDescent="0.3">
      <c r="G53" s="43">
        <v>52</v>
      </c>
      <c r="H53" s="17" t="s">
        <v>115</v>
      </c>
      <c r="I53" s="1" t="str">
        <f t="shared" si="2"/>
        <v>1300</v>
      </c>
      <c r="J53" s="60">
        <v>-80</v>
      </c>
      <c r="K53" s="60">
        <v>-80</v>
      </c>
      <c r="L53" s="18">
        <f t="shared" si="0"/>
        <v>-83</v>
      </c>
      <c r="M53" s="18">
        <f t="shared" si="1"/>
        <v>0</v>
      </c>
      <c r="N53" s="1">
        <v>-83</v>
      </c>
    </row>
    <row r="54" spans="7:14" x14ac:dyDescent="0.3">
      <c r="G54" s="43">
        <v>53</v>
      </c>
      <c r="H54" s="17" t="s">
        <v>116</v>
      </c>
      <c r="I54" s="1" t="str">
        <f t="shared" si="2"/>
        <v>1315</v>
      </c>
      <c r="J54" s="60">
        <v>-80</v>
      </c>
      <c r="K54" s="60">
        <v>-80</v>
      </c>
      <c r="L54" s="18">
        <f t="shared" si="0"/>
        <v>-83</v>
      </c>
      <c r="M54" s="18">
        <f t="shared" si="1"/>
        <v>0</v>
      </c>
      <c r="N54" s="1">
        <v>-83</v>
      </c>
    </row>
    <row r="55" spans="7:14" x14ac:dyDescent="0.3">
      <c r="G55" s="43">
        <v>54</v>
      </c>
      <c r="H55" s="17" t="s">
        <v>117</v>
      </c>
      <c r="I55" s="1" t="str">
        <f t="shared" si="2"/>
        <v>1330</v>
      </c>
      <c r="J55" s="60">
        <v>-80</v>
      </c>
      <c r="K55" s="60">
        <v>-80</v>
      </c>
      <c r="L55" s="18">
        <f t="shared" si="0"/>
        <v>-83</v>
      </c>
      <c r="M55" s="18">
        <f t="shared" si="1"/>
        <v>0</v>
      </c>
      <c r="N55" s="1">
        <v>-83</v>
      </c>
    </row>
    <row r="56" spans="7:14" x14ac:dyDescent="0.3">
      <c r="G56" s="43">
        <v>55</v>
      </c>
      <c r="H56" s="17" t="s">
        <v>118</v>
      </c>
      <c r="I56" s="1" t="str">
        <f t="shared" si="2"/>
        <v>1345</v>
      </c>
      <c r="J56" s="60">
        <v>-80</v>
      </c>
      <c r="K56" s="60">
        <v>-80</v>
      </c>
      <c r="L56" s="18">
        <f t="shared" si="0"/>
        <v>-83</v>
      </c>
      <c r="M56" s="18">
        <f t="shared" si="1"/>
        <v>0</v>
      </c>
      <c r="N56" s="1">
        <v>-83</v>
      </c>
    </row>
    <row r="57" spans="7:14" x14ac:dyDescent="0.3">
      <c r="G57" s="43">
        <v>56</v>
      </c>
      <c r="H57" s="17" t="s">
        <v>119</v>
      </c>
      <c r="I57" s="1" t="str">
        <f t="shared" si="2"/>
        <v>1400</v>
      </c>
      <c r="J57" s="60">
        <v>-80</v>
      </c>
      <c r="K57" s="60">
        <v>-80</v>
      </c>
      <c r="L57" s="18">
        <f t="shared" si="0"/>
        <v>0</v>
      </c>
      <c r="M57" s="18">
        <f t="shared" si="1"/>
        <v>0</v>
      </c>
      <c r="N57" s="1">
        <v>0</v>
      </c>
    </row>
    <row r="58" spans="7:14" x14ac:dyDescent="0.3">
      <c r="G58" s="43">
        <v>57</v>
      </c>
      <c r="H58" s="17" t="s">
        <v>120</v>
      </c>
      <c r="I58" s="1" t="str">
        <f t="shared" si="2"/>
        <v>1415</v>
      </c>
      <c r="J58" s="60">
        <v>-80</v>
      </c>
      <c r="K58" s="60">
        <v>-80</v>
      </c>
      <c r="L58" s="18">
        <f t="shared" si="0"/>
        <v>0</v>
      </c>
      <c r="M58" s="18">
        <f t="shared" si="1"/>
        <v>0</v>
      </c>
      <c r="N58" s="1">
        <v>0</v>
      </c>
    </row>
    <row r="59" spans="7:14" x14ac:dyDescent="0.3">
      <c r="G59" s="43">
        <v>58</v>
      </c>
      <c r="H59" s="17" t="s">
        <v>121</v>
      </c>
      <c r="I59" s="1" t="str">
        <f t="shared" si="2"/>
        <v>1430</v>
      </c>
      <c r="J59" s="60">
        <v>-80</v>
      </c>
      <c r="K59" s="60">
        <v>-80</v>
      </c>
      <c r="L59" s="18">
        <f t="shared" si="0"/>
        <v>0</v>
      </c>
      <c r="M59" s="18">
        <f t="shared" si="1"/>
        <v>0</v>
      </c>
      <c r="N59" s="1">
        <v>0</v>
      </c>
    </row>
    <row r="60" spans="7:14" x14ac:dyDescent="0.3">
      <c r="G60" s="43">
        <v>59</v>
      </c>
      <c r="H60" s="17" t="s">
        <v>122</v>
      </c>
      <c r="I60" s="1" t="str">
        <f t="shared" si="2"/>
        <v>1445</v>
      </c>
      <c r="J60" s="60">
        <v>-80</v>
      </c>
      <c r="K60" s="60">
        <v>-80</v>
      </c>
      <c r="L60" s="18">
        <f t="shared" si="0"/>
        <v>0</v>
      </c>
      <c r="M60" s="18">
        <f t="shared" si="1"/>
        <v>0</v>
      </c>
      <c r="N60" s="1">
        <v>0</v>
      </c>
    </row>
    <row r="61" spans="7:14" x14ac:dyDescent="0.3">
      <c r="G61" s="43">
        <v>60</v>
      </c>
      <c r="H61" s="17" t="s">
        <v>123</v>
      </c>
      <c r="I61" s="1" t="str">
        <f t="shared" si="2"/>
        <v>1500</v>
      </c>
      <c r="J61" s="60">
        <v>-80</v>
      </c>
      <c r="K61" s="60">
        <v>-80</v>
      </c>
      <c r="L61" s="18">
        <f t="shared" si="0"/>
        <v>0</v>
      </c>
      <c r="M61" s="18">
        <f t="shared" si="1"/>
        <v>0</v>
      </c>
      <c r="N61" s="1">
        <v>0</v>
      </c>
    </row>
    <row r="62" spans="7:14" x14ac:dyDescent="0.3">
      <c r="G62" s="43">
        <v>61</v>
      </c>
      <c r="H62" s="17" t="s">
        <v>124</v>
      </c>
      <c r="I62" s="1" t="str">
        <f t="shared" si="2"/>
        <v>1515</v>
      </c>
      <c r="J62" s="60">
        <v>-80</v>
      </c>
      <c r="K62" s="60">
        <v>-80</v>
      </c>
      <c r="L62" s="18">
        <f t="shared" si="0"/>
        <v>0</v>
      </c>
      <c r="M62" s="18">
        <f t="shared" si="1"/>
        <v>0</v>
      </c>
      <c r="N62" s="1">
        <v>0</v>
      </c>
    </row>
    <row r="63" spans="7:14" x14ac:dyDescent="0.3">
      <c r="G63" s="43">
        <v>62</v>
      </c>
      <c r="H63" s="17" t="s">
        <v>125</v>
      </c>
      <c r="I63" s="1" t="str">
        <f t="shared" si="2"/>
        <v>1530</v>
      </c>
      <c r="J63" s="60">
        <v>-80</v>
      </c>
      <c r="K63" s="60">
        <v>-80</v>
      </c>
      <c r="L63" s="18">
        <f t="shared" si="0"/>
        <v>0</v>
      </c>
      <c r="M63" s="18">
        <f t="shared" si="1"/>
        <v>0</v>
      </c>
      <c r="N63" s="1">
        <v>0</v>
      </c>
    </row>
    <row r="64" spans="7:14" x14ac:dyDescent="0.3">
      <c r="G64" s="43">
        <v>63</v>
      </c>
      <c r="H64" s="17" t="s">
        <v>126</v>
      </c>
      <c r="I64" s="1" t="str">
        <f t="shared" si="2"/>
        <v>1545</v>
      </c>
      <c r="J64" s="60">
        <v>-80</v>
      </c>
      <c r="K64" s="60">
        <v>-80</v>
      </c>
      <c r="L64" s="18">
        <f t="shared" si="0"/>
        <v>0</v>
      </c>
      <c r="M64" s="18">
        <f t="shared" si="1"/>
        <v>0</v>
      </c>
      <c r="N64" s="1">
        <v>0</v>
      </c>
    </row>
    <row r="65" spans="7:14" x14ac:dyDescent="0.3">
      <c r="G65" s="43">
        <v>64</v>
      </c>
      <c r="H65" s="17" t="s">
        <v>127</v>
      </c>
      <c r="I65" s="1" t="str">
        <f t="shared" si="2"/>
        <v>1600</v>
      </c>
      <c r="J65" s="60">
        <v>-80</v>
      </c>
      <c r="K65" s="60">
        <v>-80</v>
      </c>
      <c r="L65" s="18">
        <f t="shared" si="0"/>
        <v>0</v>
      </c>
      <c r="M65" s="18">
        <f t="shared" si="1"/>
        <v>0</v>
      </c>
      <c r="N65" s="1">
        <v>0</v>
      </c>
    </row>
    <row r="66" spans="7:14" x14ac:dyDescent="0.3">
      <c r="G66" s="43">
        <v>65</v>
      </c>
      <c r="H66" s="17" t="s">
        <v>128</v>
      </c>
      <c r="I66" s="1" t="str">
        <f t="shared" si="2"/>
        <v>1615</v>
      </c>
      <c r="J66" s="60">
        <v>-80</v>
      </c>
      <c r="K66" s="60">
        <v>-80</v>
      </c>
      <c r="L66" s="18">
        <f t="shared" si="0"/>
        <v>0</v>
      </c>
      <c r="M66" s="18">
        <f t="shared" si="1"/>
        <v>0</v>
      </c>
      <c r="N66" s="1">
        <v>0</v>
      </c>
    </row>
    <row r="67" spans="7:14" x14ac:dyDescent="0.3">
      <c r="G67" s="43">
        <v>66</v>
      </c>
      <c r="H67" s="17" t="s">
        <v>129</v>
      </c>
      <c r="I67" s="1" t="str">
        <f t="shared" ref="I67:I97" si="3">RIGHT(H67,4)</f>
        <v>1630</v>
      </c>
      <c r="J67" s="60">
        <v>-80</v>
      </c>
      <c r="K67" s="60">
        <v>-80</v>
      </c>
      <c r="L67" s="18">
        <f t="shared" ref="L67:L97" si="4">IF(N67&lt;=0, N67, 0)</f>
        <v>0</v>
      </c>
      <c r="M67" s="18">
        <f t="shared" ref="M67:M97" si="5">IF(N67&gt;=0, N67, 0)</f>
        <v>0</v>
      </c>
      <c r="N67" s="1">
        <v>0</v>
      </c>
    </row>
    <row r="68" spans="7:14" x14ac:dyDescent="0.3">
      <c r="G68" s="43">
        <v>67</v>
      </c>
      <c r="H68" s="17" t="s">
        <v>130</v>
      </c>
      <c r="I68" s="1" t="str">
        <f t="shared" si="3"/>
        <v>1645</v>
      </c>
      <c r="J68" s="60">
        <v>-80</v>
      </c>
      <c r="K68" s="60">
        <v>-80</v>
      </c>
      <c r="L68" s="18">
        <f t="shared" si="4"/>
        <v>0</v>
      </c>
      <c r="M68" s="18">
        <f t="shared" si="5"/>
        <v>0</v>
      </c>
      <c r="N68" s="1">
        <v>0</v>
      </c>
    </row>
    <row r="69" spans="7:14" x14ac:dyDescent="0.3">
      <c r="G69" s="43">
        <v>68</v>
      </c>
      <c r="H69" s="17" t="s">
        <v>131</v>
      </c>
      <c r="I69" s="1" t="str">
        <f t="shared" si="3"/>
        <v>1700</v>
      </c>
      <c r="J69" s="60">
        <v>-80.81</v>
      </c>
      <c r="K69" s="60">
        <v>-80.81</v>
      </c>
      <c r="L69" s="18">
        <f t="shared" si="4"/>
        <v>-95</v>
      </c>
      <c r="M69" s="18">
        <f t="shared" si="5"/>
        <v>0</v>
      </c>
      <c r="N69" s="1">
        <v>-95</v>
      </c>
    </row>
    <row r="70" spans="7:14" x14ac:dyDescent="0.3">
      <c r="G70" s="43">
        <v>69</v>
      </c>
      <c r="H70" s="17" t="s">
        <v>132</v>
      </c>
      <c r="I70" s="1" t="str">
        <f t="shared" si="3"/>
        <v>1715</v>
      </c>
      <c r="J70" s="60">
        <v>-79.31</v>
      </c>
      <c r="K70" s="60">
        <v>-79.31</v>
      </c>
      <c r="L70" s="18">
        <f t="shared" si="4"/>
        <v>0</v>
      </c>
      <c r="M70" s="18">
        <f t="shared" si="5"/>
        <v>0</v>
      </c>
      <c r="N70" s="1">
        <v>0</v>
      </c>
    </row>
    <row r="71" spans="7:14" x14ac:dyDescent="0.3">
      <c r="G71" s="43">
        <v>70</v>
      </c>
      <c r="H71" s="17" t="s">
        <v>133</v>
      </c>
      <c r="I71" s="1" t="str">
        <f t="shared" si="3"/>
        <v>1730</v>
      </c>
      <c r="J71" s="60">
        <v>249.29</v>
      </c>
      <c r="K71" s="60">
        <v>249.29</v>
      </c>
      <c r="L71" s="18">
        <f t="shared" si="4"/>
        <v>0</v>
      </c>
      <c r="M71" s="18">
        <f t="shared" si="5"/>
        <v>0</v>
      </c>
      <c r="N71" s="1">
        <v>0</v>
      </c>
    </row>
    <row r="72" spans="7:14" x14ac:dyDescent="0.3">
      <c r="G72" s="43">
        <v>71</v>
      </c>
      <c r="H72" s="17" t="s">
        <v>134</v>
      </c>
      <c r="I72" s="1" t="str">
        <f t="shared" si="3"/>
        <v>1745</v>
      </c>
      <c r="J72" s="60">
        <v>326.02999999999997</v>
      </c>
      <c r="K72" s="60">
        <v>326.02999999999997</v>
      </c>
      <c r="L72" s="18">
        <f t="shared" si="4"/>
        <v>0</v>
      </c>
      <c r="M72" s="18">
        <f t="shared" si="5"/>
        <v>0</v>
      </c>
      <c r="N72" s="1">
        <v>0</v>
      </c>
    </row>
    <row r="73" spans="7:14" x14ac:dyDescent="0.3">
      <c r="G73" s="43">
        <v>72</v>
      </c>
      <c r="H73" s="17" t="s">
        <v>135</v>
      </c>
      <c r="I73" s="1" t="str">
        <f t="shared" si="3"/>
        <v>1800</v>
      </c>
      <c r="J73" s="60">
        <v>409.64</v>
      </c>
      <c r="K73" s="60">
        <v>409.64</v>
      </c>
      <c r="L73" s="18">
        <f t="shared" si="4"/>
        <v>0</v>
      </c>
      <c r="M73" s="18">
        <f t="shared" si="5"/>
        <v>0</v>
      </c>
      <c r="N73" s="1">
        <v>0</v>
      </c>
    </row>
    <row r="74" spans="7:14" x14ac:dyDescent="0.3">
      <c r="G74" s="43">
        <v>73</v>
      </c>
      <c r="H74" s="17" t="s">
        <v>136</v>
      </c>
      <c r="I74" s="1" t="str">
        <f t="shared" si="3"/>
        <v>1815</v>
      </c>
      <c r="J74" s="60">
        <v>425.47</v>
      </c>
      <c r="K74" s="60">
        <v>425.47</v>
      </c>
      <c r="L74" s="18">
        <f t="shared" si="4"/>
        <v>0</v>
      </c>
      <c r="M74" s="18">
        <f t="shared" si="5"/>
        <v>0</v>
      </c>
      <c r="N74" s="1">
        <v>0</v>
      </c>
    </row>
    <row r="75" spans="7:14" x14ac:dyDescent="0.3">
      <c r="G75" s="43">
        <v>74</v>
      </c>
      <c r="H75" s="17" t="s">
        <v>137</v>
      </c>
      <c r="I75" s="1" t="str">
        <f t="shared" si="3"/>
        <v>1830</v>
      </c>
      <c r="J75" s="60">
        <v>457.51</v>
      </c>
      <c r="K75" s="60">
        <v>457.51</v>
      </c>
      <c r="L75" s="18">
        <f t="shared" si="4"/>
        <v>0</v>
      </c>
      <c r="M75" s="18">
        <f t="shared" si="5"/>
        <v>0</v>
      </c>
      <c r="N75" s="1">
        <v>0</v>
      </c>
    </row>
    <row r="76" spans="7:14" x14ac:dyDescent="0.3">
      <c r="G76" s="43">
        <v>75</v>
      </c>
      <c r="H76" s="17" t="s">
        <v>138</v>
      </c>
      <c r="I76" s="1" t="str">
        <f t="shared" si="3"/>
        <v>1845</v>
      </c>
      <c r="J76" s="60">
        <v>451.69</v>
      </c>
      <c r="K76" s="60">
        <v>451.69</v>
      </c>
      <c r="L76" s="18">
        <f t="shared" si="4"/>
        <v>0</v>
      </c>
      <c r="M76" s="18">
        <f t="shared" si="5"/>
        <v>54.6</v>
      </c>
      <c r="N76" s="1">
        <v>54.6</v>
      </c>
    </row>
    <row r="77" spans="7:14" x14ac:dyDescent="0.3">
      <c r="G77" s="43">
        <v>76</v>
      </c>
      <c r="H77" s="17" t="s">
        <v>139</v>
      </c>
      <c r="I77" s="1" t="str">
        <f t="shared" si="3"/>
        <v>1900</v>
      </c>
      <c r="J77" s="60">
        <v>418.16</v>
      </c>
      <c r="K77" s="60">
        <v>418.16</v>
      </c>
      <c r="L77" s="18">
        <f t="shared" si="4"/>
        <v>0</v>
      </c>
      <c r="M77" s="18">
        <f t="shared" si="5"/>
        <v>54.6</v>
      </c>
      <c r="N77" s="1">
        <v>54.6</v>
      </c>
    </row>
    <row r="78" spans="7:14" x14ac:dyDescent="0.3">
      <c r="G78" s="43">
        <v>77</v>
      </c>
      <c r="H78" s="17" t="s">
        <v>140</v>
      </c>
      <c r="I78" s="1" t="str">
        <f t="shared" si="3"/>
        <v>1915</v>
      </c>
      <c r="J78" s="60">
        <v>380.63</v>
      </c>
      <c r="K78" s="60">
        <v>380.63</v>
      </c>
      <c r="L78" s="18">
        <f t="shared" si="4"/>
        <v>0</v>
      </c>
      <c r="M78" s="18">
        <f t="shared" si="5"/>
        <v>95</v>
      </c>
      <c r="N78" s="1">
        <v>95</v>
      </c>
    </row>
    <row r="79" spans="7:14" x14ac:dyDescent="0.3">
      <c r="G79" s="43">
        <v>78</v>
      </c>
      <c r="H79" s="17" t="s">
        <v>141</v>
      </c>
      <c r="I79" s="1" t="str">
        <f t="shared" si="3"/>
        <v>1930</v>
      </c>
      <c r="J79" s="60">
        <v>360.81</v>
      </c>
      <c r="K79" s="60">
        <v>360.81</v>
      </c>
      <c r="L79" s="18">
        <f t="shared" si="4"/>
        <v>0</v>
      </c>
      <c r="M79" s="18">
        <f t="shared" si="5"/>
        <v>95</v>
      </c>
      <c r="N79" s="1">
        <v>95</v>
      </c>
    </row>
    <row r="80" spans="7:14" x14ac:dyDescent="0.3">
      <c r="G80" s="43">
        <v>79</v>
      </c>
      <c r="H80" s="17" t="s">
        <v>142</v>
      </c>
      <c r="I80" s="1" t="str">
        <f t="shared" si="3"/>
        <v>1945</v>
      </c>
      <c r="J80" s="60">
        <v>360.81</v>
      </c>
      <c r="K80" s="60">
        <v>360.81</v>
      </c>
      <c r="L80" s="18">
        <f t="shared" si="4"/>
        <v>0</v>
      </c>
      <c r="M80" s="18">
        <f t="shared" si="5"/>
        <v>4.32</v>
      </c>
      <c r="N80" s="1">
        <v>4.32</v>
      </c>
    </row>
    <row r="81" spans="7:14" x14ac:dyDescent="0.3">
      <c r="G81" s="43">
        <v>80</v>
      </c>
      <c r="H81" s="17" t="s">
        <v>143</v>
      </c>
      <c r="I81" s="1" t="str">
        <f t="shared" si="3"/>
        <v>2000</v>
      </c>
      <c r="J81" s="60">
        <v>360.81</v>
      </c>
      <c r="K81" s="60">
        <v>360.81</v>
      </c>
      <c r="L81" s="18">
        <f t="shared" si="4"/>
        <v>0</v>
      </c>
      <c r="M81" s="18">
        <f t="shared" si="5"/>
        <v>0</v>
      </c>
      <c r="N81" s="1">
        <v>0</v>
      </c>
    </row>
    <row r="82" spans="7:14" x14ac:dyDescent="0.3">
      <c r="G82" s="43">
        <v>81</v>
      </c>
      <c r="H82" s="17" t="s">
        <v>144</v>
      </c>
      <c r="I82" s="1" t="str">
        <f t="shared" si="3"/>
        <v>2015</v>
      </c>
      <c r="J82" s="60">
        <v>360.81</v>
      </c>
      <c r="K82" s="60">
        <v>360.81</v>
      </c>
      <c r="L82" s="18">
        <f t="shared" si="4"/>
        <v>0</v>
      </c>
      <c r="M82" s="18">
        <f t="shared" si="5"/>
        <v>0</v>
      </c>
      <c r="N82" s="1">
        <v>0</v>
      </c>
    </row>
    <row r="83" spans="7:14" x14ac:dyDescent="0.3">
      <c r="G83" s="43">
        <v>82</v>
      </c>
      <c r="H83" s="17" t="s">
        <v>145</v>
      </c>
      <c r="I83" s="1" t="str">
        <f t="shared" si="3"/>
        <v>2030</v>
      </c>
      <c r="J83" s="60">
        <v>360.81</v>
      </c>
      <c r="K83" s="60">
        <v>360.81</v>
      </c>
      <c r="L83" s="18">
        <f t="shared" si="4"/>
        <v>0</v>
      </c>
      <c r="M83" s="18">
        <f t="shared" si="5"/>
        <v>0</v>
      </c>
      <c r="N83" s="1">
        <v>0</v>
      </c>
    </row>
    <row r="84" spans="7:14" x14ac:dyDescent="0.3">
      <c r="G84" s="43">
        <v>83</v>
      </c>
      <c r="H84" s="17" t="s">
        <v>146</v>
      </c>
      <c r="I84" s="1" t="str">
        <f t="shared" si="3"/>
        <v>2045</v>
      </c>
      <c r="J84" s="60">
        <v>360.81</v>
      </c>
      <c r="K84" s="60">
        <v>360.81</v>
      </c>
      <c r="L84" s="18">
        <f t="shared" si="4"/>
        <v>0</v>
      </c>
      <c r="M84" s="18">
        <f t="shared" si="5"/>
        <v>0</v>
      </c>
      <c r="N84" s="1">
        <v>0</v>
      </c>
    </row>
    <row r="85" spans="7:14" x14ac:dyDescent="0.3">
      <c r="G85" s="43">
        <v>84</v>
      </c>
      <c r="H85" s="17" t="s">
        <v>147</v>
      </c>
      <c r="I85" s="1" t="str">
        <f t="shared" si="3"/>
        <v>2100</v>
      </c>
      <c r="J85" s="60">
        <v>359.65</v>
      </c>
      <c r="K85" s="60">
        <v>359.65</v>
      </c>
      <c r="L85" s="18">
        <f t="shared" si="4"/>
        <v>0</v>
      </c>
      <c r="M85" s="18">
        <f t="shared" si="5"/>
        <v>0</v>
      </c>
      <c r="N85" s="1">
        <v>0</v>
      </c>
    </row>
    <row r="86" spans="7:14" x14ac:dyDescent="0.3">
      <c r="G86" s="43">
        <v>85</v>
      </c>
      <c r="H86" s="17" t="s">
        <v>148</v>
      </c>
      <c r="I86" s="1" t="str">
        <f t="shared" si="3"/>
        <v>2115</v>
      </c>
      <c r="J86" s="60">
        <v>358.24</v>
      </c>
      <c r="K86" s="60">
        <v>358.24</v>
      </c>
      <c r="L86" s="18">
        <f t="shared" si="4"/>
        <v>0</v>
      </c>
      <c r="M86" s="18">
        <f t="shared" si="5"/>
        <v>0</v>
      </c>
      <c r="N86" s="1">
        <v>0</v>
      </c>
    </row>
    <row r="87" spans="7:14" x14ac:dyDescent="0.3">
      <c r="G87" s="43">
        <v>86</v>
      </c>
      <c r="H87" s="17" t="s">
        <v>149</v>
      </c>
      <c r="I87" s="1" t="str">
        <f t="shared" si="3"/>
        <v>2130</v>
      </c>
      <c r="J87" s="60">
        <v>353.99</v>
      </c>
      <c r="K87" s="60">
        <v>353.99</v>
      </c>
      <c r="L87" s="18">
        <f t="shared" si="4"/>
        <v>0</v>
      </c>
      <c r="M87" s="18">
        <f t="shared" si="5"/>
        <v>0</v>
      </c>
      <c r="N87" s="1">
        <v>0</v>
      </c>
    </row>
    <row r="88" spans="7:14" x14ac:dyDescent="0.3">
      <c r="G88" s="43">
        <v>87</v>
      </c>
      <c r="H88" s="17" t="s">
        <v>150</v>
      </c>
      <c r="I88" s="1" t="str">
        <f t="shared" si="3"/>
        <v>2145</v>
      </c>
      <c r="J88" s="60">
        <v>354.28</v>
      </c>
      <c r="K88" s="60">
        <v>354.28</v>
      </c>
      <c r="L88" s="18">
        <f t="shared" si="4"/>
        <v>0</v>
      </c>
      <c r="M88" s="18">
        <f t="shared" si="5"/>
        <v>0</v>
      </c>
      <c r="N88" s="1">
        <v>0</v>
      </c>
    </row>
    <row r="89" spans="7:14" x14ac:dyDescent="0.3">
      <c r="G89" s="43">
        <v>88</v>
      </c>
      <c r="H89" s="17" t="s">
        <v>151</v>
      </c>
      <c r="I89" s="1" t="str">
        <f t="shared" si="3"/>
        <v>2200</v>
      </c>
      <c r="J89" s="60">
        <v>352.14</v>
      </c>
      <c r="K89" s="60">
        <v>352.14</v>
      </c>
      <c r="L89" s="18">
        <f t="shared" si="4"/>
        <v>0</v>
      </c>
      <c r="M89" s="18">
        <f t="shared" si="5"/>
        <v>0</v>
      </c>
      <c r="N89" s="1">
        <v>0</v>
      </c>
    </row>
    <row r="90" spans="7:14" x14ac:dyDescent="0.3">
      <c r="G90" s="43">
        <v>89</v>
      </c>
      <c r="H90" s="17" t="s">
        <v>152</v>
      </c>
      <c r="I90" s="1" t="str">
        <f t="shared" si="3"/>
        <v>2215</v>
      </c>
      <c r="J90" s="60">
        <v>354.28</v>
      </c>
      <c r="K90" s="60">
        <v>354.28</v>
      </c>
      <c r="L90" s="18">
        <f t="shared" si="4"/>
        <v>0</v>
      </c>
      <c r="M90" s="18">
        <f t="shared" si="5"/>
        <v>0</v>
      </c>
      <c r="N90" s="1">
        <v>0</v>
      </c>
    </row>
    <row r="91" spans="7:14" x14ac:dyDescent="0.3">
      <c r="G91" s="43">
        <v>90</v>
      </c>
      <c r="H91" s="17" t="s">
        <v>153</v>
      </c>
      <c r="I91" s="1" t="str">
        <f t="shared" si="3"/>
        <v>2230</v>
      </c>
      <c r="J91" s="60">
        <v>354.28</v>
      </c>
      <c r="K91" s="60">
        <v>354.28</v>
      </c>
      <c r="L91" s="18">
        <f t="shared" si="4"/>
        <v>0</v>
      </c>
      <c r="M91" s="18">
        <f t="shared" si="5"/>
        <v>0</v>
      </c>
      <c r="N91" s="1">
        <v>0</v>
      </c>
    </row>
    <row r="92" spans="7:14" x14ac:dyDescent="0.3">
      <c r="G92" s="43">
        <v>91</v>
      </c>
      <c r="H92" s="17" t="s">
        <v>154</v>
      </c>
      <c r="I92" s="1" t="str">
        <f t="shared" si="3"/>
        <v>2245</v>
      </c>
      <c r="J92" s="60">
        <v>354.28</v>
      </c>
      <c r="K92" s="60">
        <v>354.28</v>
      </c>
      <c r="L92" s="18">
        <f t="shared" si="4"/>
        <v>0</v>
      </c>
      <c r="M92" s="18">
        <f t="shared" si="5"/>
        <v>0</v>
      </c>
      <c r="N92" s="1">
        <v>0</v>
      </c>
    </row>
    <row r="93" spans="7:14" x14ac:dyDescent="0.3">
      <c r="G93" s="43">
        <v>92</v>
      </c>
      <c r="H93" s="17" t="s">
        <v>155</v>
      </c>
      <c r="I93" s="1" t="str">
        <f t="shared" si="3"/>
        <v>2300</v>
      </c>
      <c r="J93" s="60">
        <v>355.44</v>
      </c>
      <c r="K93" s="60">
        <v>355.44</v>
      </c>
      <c r="L93" s="18">
        <f t="shared" si="4"/>
        <v>0</v>
      </c>
      <c r="M93" s="18">
        <f t="shared" si="5"/>
        <v>0</v>
      </c>
      <c r="N93" s="1">
        <v>0</v>
      </c>
    </row>
    <row r="94" spans="7:14" x14ac:dyDescent="0.3">
      <c r="G94" s="43">
        <v>93</v>
      </c>
      <c r="H94" s="17" t="s">
        <v>156</v>
      </c>
      <c r="I94" s="1" t="str">
        <f t="shared" si="3"/>
        <v>2315</v>
      </c>
      <c r="J94" s="60">
        <v>360.98</v>
      </c>
      <c r="K94" s="60">
        <v>360.98</v>
      </c>
      <c r="L94" s="18">
        <f t="shared" si="4"/>
        <v>0</v>
      </c>
      <c r="M94" s="18">
        <f t="shared" si="5"/>
        <v>95</v>
      </c>
      <c r="N94" s="1">
        <v>95</v>
      </c>
    </row>
    <row r="95" spans="7:14" x14ac:dyDescent="0.3">
      <c r="G95" s="43">
        <v>94</v>
      </c>
      <c r="H95" s="17" t="s">
        <v>157</v>
      </c>
      <c r="I95" s="1" t="str">
        <f t="shared" si="3"/>
        <v>2330</v>
      </c>
      <c r="J95" s="60">
        <v>360.98</v>
      </c>
      <c r="K95" s="60">
        <v>360.98</v>
      </c>
      <c r="L95" s="18">
        <f t="shared" si="4"/>
        <v>0</v>
      </c>
      <c r="M95" s="18">
        <f t="shared" si="5"/>
        <v>95</v>
      </c>
      <c r="N95" s="1">
        <v>95</v>
      </c>
    </row>
    <row r="96" spans="7:14" x14ac:dyDescent="0.3">
      <c r="G96" s="43">
        <v>95</v>
      </c>
      <c r="H96" s="17" t="s">
        <v>158</v>
      </c>
      <c r="I96" s="1" t="str">
        <f t="shared" si="3"/>
        <v>2345</v>
      </c>
      <c r="J96" s="60">
        <v>360.95</v>
      </c>
      <c r="K96" s="60">
        <v>360.95</v>
      </c>
      <c r="L96" s="18">
        <f t="shared" si="4"/>
        <v>0</v>
      </c>
      <c r="M96" s="18">
        <f t="shared" si="5"/>
        <v>95</v>
      </c>
      <c r="N96" s="1">
        <v>95</v>
      </c>
    </row>
    <row r="97" spans="7:14" x14ac:dyDescent="0.3">
      <c r="G97" s="43">
        <v>96</v>
      </c>
      <c r="H97" s="17" t="s">
        <v>159</v>
      </c>
      <c r="I97" s="1" t="str">
        <f t="shared" si="3"/>
        <v>2400</v>
      </c>
      <c r="J97" s="60">
        <v>360.94</v>
      </c>
      <c r="K97" s="60">
        <v>360.94</v>
      </c>
      <c r="L97" s="18">
        <f t="shared" si="4"/>
        <v>0</v>
      </c>
      <c r="M97" s="18">
        <f t="shared" si="5"/>
        <v>95</v>
      </c>
      <c r="N97" s="1">
        <v>95</v>
      </c>
    </row>
    <row r="98" spans="7:14" x14ac:dyDescent="0.3">
      <c r="J98" s="60"/>
      <c r="K98" s="60"/>
      <c r="N98" s="1">
        <v>0</v>
      </c>
    </row>
    <row r="99" spans="7:14" x14ac:dyDescent="0.3">
      <c r="N99" s="1">
        <v>0</v>
      </c>
    </row>
    <row r="100" spans="7:14" x14ac:dyDescent="0.3">
      <c r="N100" s="1">
        <v>0</v>
      </c>
    </row>
  </sheetData>
  <phoneticPr fontId="10" type="noConversion"/>
  <pageMargins left="0.75" right="0.75" top="1" bottom="1" header="0.5" footer="0.5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03"/>
  <sheetViews>
    <sheetView tabSelected="1" zoomScale="130" zoomScaleNormal="130" workbookViewId="0">
      <selection activeCell="E5" sqref="E5"/>
    </sheetView>
  </sheetViews>
  <sheetFormatPr defaultColWidth="10.6640625" defaultRowHeight="15" customHeight="1" x14ac:dyDescent="0.25"/>
  <cols>
    <col min="1" max="1" width="15.21875" style="84" customWidth="1"/>
    <col min="2" max="5" width="15.21875" style="2" customWidth="1"/>
    <col min="6" max="17" width="7.44140625" style="2" customWidth="1"/>
    <col min="18" max="18" width="10.6640625" style="2" customWidth="1"/>
    <col min="19" max="16384" width="10.6640625" style="2"/>
  </cols>
  <sheetData>
    <row r="1" spans="1:17" ht="15" customHeight="1" x14ac:dyDescent="0.25">
      <c r="A1" s="3" t="s">
        <v>160</v>
      </c>
      <c r="B1" s="4"/>
      <c r="C1" s="5">
        <v>70.5</v>
      </c>
    </row>
    <row r="2" spans="1:17" ht="15" customHeight="1" x14ac:dyDescent="0.25">
      <c r="A2" s="2"/>
      <c r="J2" s="84"/>
      <c r="K2" s="84"/>
      <c r="L2" s="84"/>
    </row>
    <row r="3" spans="1:17" ht="15" customHeight="1" x14ac:dyDescent="0.25">
      <c r="A3" s="6" t="s">
        <v>161</v>
      </c>
      <c r="B3" s="7"/>
      <c r="C3" s="8">
        <f t="array" aca="1" ref="C3" ca="1">SUMPRODUCT(C8:C103,D8:D103)/SUM(C8:C103)</f>
        <v>1.125</v>
      </c>
      <c r="E3" s="6" t="s">
        <v>162</v>
      </c>
      <c r="F3" s="7"/>
      <c r="G3" s="8">
        <f t="array" aca="1" ref="G3" ca="1">SUMPRODUCT(D8:D103,E8:E103)/SUM(E8:E103)</f>
        <v>1.1334269662921348</v>
      </c>
      <c r="H3" s="84"/>
      <c r="J3" s="84"/>
      <c r="K3" s="84"/>
      <c r="L3" s="84"/>
    </row>
    <row r="4" spans="1:17" ht="15" customHeight="1" x14ac:dyDescent="0.25">
      <c r="A4" s="2"/>
      <c r="F4" s="11"/>
      <c r="G4" s="11"/>
      <c r="H4" s="84"/>
      <c r="J4" s="84"/>
      <c r="K4" s="84"/>
      <c r="L4" s="84"/>
    </row>
    <row r="5" spans="1:17" ht="15" customHeight="1" x14ac:dyDescent="0.25">
      <c r="A5" s="2"/>
      <c r="F5" s="11"/>
      <c r="G5" s="11"/>
      <c r="H5" s="84"/>
      <c r="J5" s="84"/>
      <c r="K5" s="84"/>
      <c r="L5" s="84"/>
    </row>
    <row r="6" spans="1:17" ht="15" customHeight="1" x14ac:dyDescent="0.25">
      <c r="A6" s="91" t="s">
        <v>39</v>
      </c>
      <c r="B6" s="91" t="s">
        <v>163</v>
      </c>
      <c r="C6" s="91" t="s">
        <v>164</v>
      </c>
      <c r="D6" s="82" t="s">
        <v>165</v>
      </c>
      <c r="E6" s="91" t="s">
        <v>166</v>
      </c>
      <c r="F6" s="93" t="s">
        <v>181</v>
      </c>
      <c r="G6" s="94"/>
      <c r="H6" s="94"/>
      <c r="I6" s="94"/>
      <c r="J6" s="94"/>
      <c r="K6" s="94"/>
      <c r="L6" s="94"/>
      <c r="M6" s="94"/>
      <c r="N6" s="94"/>
      <c r="O6" s="94"/>
      <c r="P6" s="94"/>
      <c r="Q6" s="95"/>
    </row>
    <row r="7" spans="1:17" ht="15" customHeight="1" x14ac:dyDescent="0.25">
      <c r="A7" s="92"/>
      <c r="B7" s="92"/>
      <c r="C7" s="92"/>
      <c r="D7" s="63" t="s">
        <v>182</v>
      </c>
      <c r="E7" s="92"/>
      <c r="F7" s="12" t="s">
        <v>168</v>
      </c>
      <c r="G7" s="83" t="s">
        <v>169</v>
      </c>
      <c r="H7" s="83" t="s">
        <v>170</v>
      </c>
      <c r="I7" s="83" t="s">
        <v>171</v>
      </c>
      <c r="J7" s="83" t="s">
        <v>172</v>
      </c>
      <c r="K7" s="83" t="s">
        <v>173</v>
      </c>
      <c r="L7" s="83" t="s">
        <v>167</v>
      </c>
      <c r="M7" s="83" t="s">
        <v>174</v>
      </c>
      <c r="N7" s="83" t="s">
        <v>175</v>
      </c>
      <c r="O7" s="83" t="s">
        <v>176</v>
      </c>
      <c r="P7" s="83" t="s">
        <v>177</v>
      </c>
      <c r="Q7" s="14" t="s">
        <v>178</v>
      </c>
    </row>
    <row r="8" spans="1:17" ht="15" customHeight="1" x14ac:dyDescent="0.25">
      <c r="A8" s="90">
        <v>1</v>
      </c>
      <c r="B8" s="83">
        <v>1</v>
      </c>
      <c r="C8" s="85">
        <f>IF(E8&lt;0,1,0)</f>
        <v>0</v>
      </c>
      <c r="D8" s="10">
        <f t="array" aca="1" ref="D8" ca="1">INDIRECT(ADDRESS(B8+ROW($D$7),MATCH($D$7,$F$7:$Q$7,0)+5))</f>
        <v>1</v>
      </c>
      <c r="E8" s="13">
        <f>报价及预中标!L2/4</f>
        <v>0</v>
      </c>
      <c r="F8" s="12">
        <v>1</v>
      </c>
      <c r="G8" s="12">
        <v>1</v>
      </c>
      <c r="H8" s="83">
        <v>1</v>
      </c>
      <c r="I8" s="83">
        <v>1</v>
      </c>
      <c r="J8" s="83">
        <v>1</v>
      </c>
      <c r="K8" s="83">
        <v>1</v>
      </c>
      <c r="L8" s="83">
        <v>0.3</v>
      </c>
      <c r="M8" s="83">
        <v>0.3</v>
      </c>
      <c r="N8" s="83">
        <v>1</v>
      </c>
      <c r="O8" s="83">
        <v>1</v>
      </c>
      <c r="P8" s="83">
        <v>1</v>
      </c>
      <c r="Q8" s="12">
        <v>1</v>
      </c>
    </row>
    <row r="9" spans="1:17" ht="15" customHeight="1" x14ac:dyDescent="0.25">
      <c r="A9" s="90"/>
      <c r="B9" s="83">
        <v>2</v>
      </c>
      <c r="C9" s="85">
        <f t="shared" ref="C9:C72" si="0">IF(E9&lt;0,1,0)</f>
        <v>0</v>
      </c>
      <c r="D9" s="83">
        <f t="array" aca="1" ref="D9" ca="1">INDIRECT(ADDRESS(B9+ROW($D$7),MATCH($D$7,$F$7:$Q$7,0)+5))</f>
        <v>1</v>
      </c>
      <c r="E9" s="13">
        <f>报价及预中标!L3/4</f>
        <v>0</v>
      </c>
      <c r="F9" s="12">
        <v>1</v>
      </c>
      <c r="G9" s="12">
        <v>1</v>
      </c>
      <c r="H9" s="83">
        <v>1</v>
      </c>
      <c r="I9" s="83">
        <v>1</v>
      </c>
      <c r="J9" s="83">
        <v>1</v>
      </c>
      <c r="K9" s="83">
        <v>1</v>
      </c>
      <c r="L9" s="83">
        <v>0.3</v>
      </c>
      <c r="M9" s="83">
        <v>0.3</v>
      </c>
      <c r="N9" s="83">
        <v>1</v>
      </c>
      <c r="O9" s="83">
        <v>1</v>
      </c>
      <c r="P9" s="83">
        <v>1</v>
      </c>
      <c r="Q9" s="12">
        <v>1</v>
      </c>
    </row>
    <row r="10" spans="1:17" ht="15" customHeight="1" x14ac:dyDescent="0.25">
      <c r="A10" s="90"/>
      <c r="B10" s="83">
        <v>3</v>
      </c>
      <c r="C10" s="85">
        <f t="shared" si="0"/>
        <v>0</v>
      </c>
      <c r="D10" s="83">
        <f t="array" aca="1" ref="D10" ca="1">INDIRECT(ADDRESS(B10+ROW($D$7),MATCH($D$7,$F$7:$Q$7,0)+5))</f>
        <v>1</v>
      </c>
      <c r="E10" s="13">
        <f>报价及预中标!L4/4</f>
        <v>0</v>
      </c>
      <c r="F10" s="12">
        <v>1</v>
      </c>
      <c r="G10" s="12">
        <v>1</v>
      </c>
      <c r="H10" s="83">
        <v>1</v>
      </c>
      <c r="I10" s="83">
        <v>1</v>
      </c>
      <c r="J10" s="83">
        <v>1</v>
      </c>
      <c r="K10" s="83">
        <v>1</v>
      </c>
      <c r="L10" s="83">
        <v>0.3</v>
      </c>
      <c r="M10" s="83">
        <v>0.3</v>
      </c>
      <c r="N10" s="83">
        <v>1</v>
      </c>
      <c r="O10" s="83">
        <v>1</v>
      </c>
      <c r="P10" s="83">
        <v>1</v>
      </c>
      <c r="Q10" s="12">
        <v>1</v>
      </c>
    </row>
    <row r="11" spans="1:17" ht="15" customHeight="1" x14ac:dyDescent="0.25">
      <c r="A11" s="90"/>
      <c r="B11" s="83">
        <v>4</v>
      </c>
      <c r="C11" s="85">
        <f t="shared" si="0"/>
        <v>0</v>
      </c>
      <c r="D11" s="83">
        <f t="array" aca="1" ref="D11" ca="1">INDIRECT(ADDRESS(B11+ROW($D$7),MATCH($D$7,$F$7:$Q$7,0)+5))</f>
        <v>1</v>
      </c>
      <c r="E11" s="13">
        <f>报价及预中标!L5/4</f>
        <v>0</v>
      </c>
      <c r="F11" s="12">
        <v>1</v>
      </c>
      <c r="G11" s="12">
        <v>1</v>
      </c>
      <c r="H11" s="83">
        <v>1</v>
      </c>
      <c r="I11" s="83">
        <v>1</v>
      </c>
      <c r="J11" s="83">
        <v>1</v>
      </c>
      <c r="K11" s="83">
        <v>1</v>
      </c>
      <c r="L11" s="83">
        <v>0.3</v>
      </c>
      <c r="M11" s="83">
        <v>0.3</v>
      </c>
      <c r="N11" s="83">
        <v>1</v>
      </c>
      <c r="O11" s="83">
        <v>1</v>
      </c>
      <c r="P11" s="83">
        <v>1</v>
      </c>
      <c r="Q11" s="12">
        <v>1</v>
      </c>
    </row>
    <row r="12" spans="1:17" ht="15" customHeight="1" x14ac:dyDescent="0.25">
      <c r="A12" s="90">
        <v>2</v>
      </c>
      <c r="B12" s="83">
        <v>5</v>
      </c>
      <c r="C12" s="85">
        <f t="shared" si="0"/>
        <v>0</v>
      </c>
      <c r="D12" s="83">
        <f t="array" aca="1" ref="D12" ca="1">INDIRECT(ADDRESS(B12+ROW($D$7),MATCH($D$7,$F$7:$Q$7,0)+5))</f>
        <v>1</v>
      </c>
      <c r="E12" s="13">
        <f>报价及预中标!L6/4</f>
        <v>0</v>
      </c>
      <c r="F12" s="12">
        <v>0.3</v>
      </c>
      <c r="G12" s="12">
        <v>0.3</v>
      </c>
      <c r="H12" s="83">
        <v>1</v>
      </c>
      <c r="I12" s="83">
        <v>1</v>
      </c>
      <c r="J12" s="83">
        <v>1</v>
      </c>
      <c r="K12" s="83">
        <v>1</v>
      </c>
      <c r="L12" s="83">
        <v>0.3</v>
      </c>
      <c r="M12" s="83">
        <v>0.3</v>
      </c>
      <c r="N12" s="83">
        <v>1</v>
      </c>
      <c r="O12" s="83">
        <v>1</v>
      </c>
      <c r="P12" s="83">
        <v>1</v>
      </c>
      <c r="Q12" s="12">
        <v>0.3</v>
      </c>
    </row>
    <row r="13" spans="1:17" ht="15" customHeight="1" x14ac:dyDescent="0.25">
      <c r="A13" s="90"/>
      <c r="B13" s="83">
        <v>6</v>
      </c>
      <c r="C13" s="85">
        <f t="shared" si="0"/>
        <v>0</v>
      </c>
      <c r="D13" s="83">
        <f t="array" aca="1" ref="D13" ca="1">INDIRECT(ADDRESS(B13+ROW($D$7),MATCH($D$7,$F$7:$Q$7,0)+5))</f>
        <v>1</v>
      </c>
      <c r="E13" s="13">
        <f>报价及预中标!L7/4</f>
        <v>0</v>
      </c>
      <c r="F13" s="12">
        <v>0.3</v>
      </c>
      <c r="G13" s="12">
        <v>0.3</v>
      </c>
      <c r="H13" s="83">
        <v>1</v>
      </c>
      <c r="I13" s="83">
        <v>1</v>
      </c>
      <c r="J13" s="83">
        <v>1</v>
      </c>
      <c r="K13" s="83">
        <v>1</v>
      </c>
      <c r="L13" s="83">
        <v>0.3</v>
      </c>
      <c r="M13" s="83">
        <v>0.3</v>
      </c>
      <c r="N13" s="83">
        <v>1</v>
      </c>
      <c r="O13" s="83">
        <v>1</v>
      </c>
      <c r="P13" s="83">
        <v>1</v>
      </c>
      <c r="Q13" s="12">
        <v>0.3</v>
      </c>
    </row>
    <row r="14" spans="1:17" ht="15" customHeight="1" x14ac:dyDescent="0.25">
      <c r="A14" s="90"/>
      <c r="B14" s="83">
        <v>7</v>
      </c>
      <c r="C14" s="85">
        <f t="shared" si="0"/>
        <v>0</v>
      </c>
      <c r="D14" s="83">
        <f t="array" aca="1" ref="D14" ca="1">INDIRECT(ADDRESS(B14+ROW($D$7),MATCH($D$7,$F$7:$Q$7,0)+5))</f>
        <v>1</v>
      </c>
      <c r="E14" s="13">
        <f>报价及预中标!L8/4</f>
        <v>0</v>
      </c>
      <c r="F14" s="12">
        <v>0.3</v>
      </c>
      <c r="G14" s="12">
        <v>0.3</v>
      </c>
      <c r="H14" s="83">
        <v>1</v>
      </c>
      <c r="I14" s="83">
        <v>1</v>
      </c>
      <c r="J14" s="83">
        <v>1</v>
      </c>
      <c r="K14" s="83">
        <v>1</v>
      </c>
      <c r="L14" s="83">
        <v>0.3</v>
      </c>
      <c r="M14" s="83">
        <v>0.3</v>
      </c>
      <c r="N14" s="83">
        <v>1</v>
      </c>
      <c r="O14" s="83">
        <v>1</v>
      </c>
      <c r="P14" s="83">
        <v>1</v>
      </c>
      <c r="Q14" s="12">
        <v>0.3</v>
      </c>
    </row>
    <row r="15" spans="1:17" ht="15" customHeight="1" x14ac:dyDescent="0.25">
      <c r="A15" s="90"/>
      <c r="B15" s="83">
        <v>8</v>
      </c>
      <c r="C15" s="85">
        <f t="shared" si="0"/>
        <v>0</v>
      </c>
      <c r="D15" s="83">
        <f t="array" aca="1" ref="D15" ca="1">INDIRECT(ADDRESS(B15+ROW($D$7),MATCH($D$7,$F$7:$Q$7,0)+5))</f>
        <v>1</v>
      </c>
      <c r="E15" s="13">
        <f>报价及预中标!L9/4</f>
        <v>0</v>
      </c>
      <c r="F15" s="12">
        <v>0.3</v>
      </c>
      <c r="G15" s="12">
        <v>0.3</v>
      </c>
      <c r="H15" s="83">
        <v>1</v>
      </c>
      <c r="I15" s="83">
        <v>1</v>
      </c>
      <c r="J15" s="83">
        <v>1</v>
      </c>
      <c r="K15" s="83">
        <v>1</v>
      </c>
      <c r="L15" s="83">
        <v>0.3</v>
      </c>
      <c r="M15" s="83">
        <v>0.3</v>
      </c>
      <c r="N15" s="83">
        <v>1</v>
      </c>
      <c r="O15" s="83">
        <v>1</v>
      </c>
      <c r="P15" s="83">
        <v>1</v>
      </c>
      <c r="Q15" s="12">
        <v>0.3</v>
      </c>
    </row>
    <row r="16" spans="1:17" ht="15" customHeight="1" x14ac:dyDescent="0.25">
      <c r="A16" s="90">
        <v>3</v>
      </c>
      <c r="B16" s="83">
        <v>9</v>
      </c>
      <c r="C16" s="85">
        <f t="shared" si="0"/>
        <v>0</v>
      </c>
      <c r="D16" s="83">
        <f t="array" aca="1" ref="D16" ca="1">INDIRECT(ADDRESS(B16+ROW($D$7),MATCH($D$7,$F$7:$Q$7,0)+5))</f>
        <v>1</v>
      </c>
      <c r="E16" s="13">
        <f>报价及预中标!L10/4</f>
        <v>0</v>
      </c>
      <c r="F16" s="12">
        <v>0.3</v>
      </c>
      <c r="G16" s="12">
        <v>0.3</v>
      </c>
      <c r="H16" s="83">
        <v>1</v>
      </c>
      <c r="I16" s="83">
        <v>1</v>
      </c>
      <c r="J16" s="83">
        <v>1</v>
      </c>
      <c r="K16" s="83">
        <v>1</v>
      </c>
      <c r="L16" s="83">
        <v>0.3</v>
      </c>
      <c r="M16" s="83">
        <v>0.3</v>
      </c>
      <c r="N16" s="83">
        <v>1</v>
      </c>
      <c r="O16" s="83">
        <v>1</v>
      </c>
      <c r="P16" s="83">
        <v>1</v>
      </c>
      <c r="Q16" s="12">
        <v>0.3</v>
      </c>
    </row>
    <row r="17" spans="1:17" ht="15" customHeight="1" x14ac:dyDescent="0.25">
      <c r="A17" s="90"/>
      <c r="B17" s="83">
        <v>10</v>
      </c>
      <c r="C17" s="85">
        <f t="shared" si="0"/>
        <v>0</v>
      </c>
      <c r="D17" s="83">
        <f t="array" aca="1" ref="D17" ca="1">INDIRECT(ADDRESS(B17+ROW($D$7),MATCH($D$7,$F$7:$Q$7,0)+5))</f>
        <v>1</v>
      </c>
      <c r="E17" s="13">
        <f>报价及预中标!L11/4</f>
        <v>0</v>
      </c>
      <c r="F17" s="12">
        <v>0.3</v>
      </c>
      <c r="G17" s="12">
        <v>0.3</v>
      </c>
      <c r="H17" s="83">
        <v>1</v>
      </c>
      <c r="I17" s="83">
        <v>1</v>
      </c>
      <c r="J17" s="83">
        <v>1</v>
      </c>
      <c r="K17" s="83">
        <v>1</v>
      </c>
      <c r="L17" s="83">
        <v>0.3</v>
      </c>
      <c r="M17" s="83">
        <v>0.3</v>
      </c>
      <c r="N17" s="83">
        <v>1</v>
      </c>
      <c r="O17" s="83">
        <v>1</v>
      </c>
      <c r="P17" s="83">
        <v>1</v>
      </c>
      <c r="Q17" s="12">
        <v>0.3</v>
      </c>
    </row>
    <row r="18" spans="1:17" ht="15" customHeight="1" x14ac:dyDescent="0.25">
      <c r="A18" s="90"/>
      <c r="B18" s="83">
        <v>11</v>
      </c>
      <c r="C18" s="85">
        <f t="shared" si="0"/>
        <v>0</v>
      </c>
      <c r="D18" s="83">
        <f t="array" aca="1" ref="D18" ca="1">INDIRECT(ADDRESS(B18+ROW($D$7),MATCH($D$7,$F$7:$Q$7,0)+5))</f>
        <v>1</v>
      </c>
      <c r="E18" s="13">
        <f>报价及预中标!L12/4</f>
        <v>0</v>
      </c>
      <c r="F18" s="12">
        <v>0.3</v>
      </c>
      <c r="G18" s="12">
        <v>0.3</v>
      </c>
      <c r="H18" s="83">
        <v>1</v>
      </c>
      <c r="I18" s="83">
        <v>1</v>
      </c>
      <c r="J18" s="83">
        <v>1</v>
      </c>
      <c r="K18" s="83">
        <v>1</v>
      </c>
      <c r="L18" s="83">
        <v>0.3</v>
      </c>
      <c r="M18" s="83">
        <v>0.3</v>
      </c>
      <c r="N18" s="83">
        <v>1</v>
      </c>
      <c r="O18" s="83">
        <v>1</v>
      </c>
      <c r="P18" s="83">
        <v>1</v>
      </c>
      <c r="Q18" s="12">
        <v>0.3</v>
      </c>
    </row>
    <row r="19" spans="1:17" ht="15" customHeight="1" x14ac:dyDescent="0.25">
      <c r="A19" s="90"/>
      <c r="B19" s="83">
        <v>12</v>
      </c>
      <c r="C19" s="85">
        <f t="shared" si="0"/>
        <v>0</v>
      </c>
      <c r="D19" s="83">
        <f t="array" aca="1" ref="D19" ca="1">INDIRECT(ADDRESS(B19+ROW($D$7),MATCH($D$7,$F$7:$Q$7,0)+5))</f>
        <v>1</v>
      </c>
      <c r="E19" s="13">
        <f>报价及预中标!L13/4</f>
        <v>0</v>
      </c>
      <c r="F19" s="12">
        <v>0.3</v>
      </c>
      <c r="G19" s="12">
        <v>0.3</v>
      </c>
      <c r="H19" s="83">
        <v>1</v>
      </c>
      <c r="I19" s="83">
        <v>1</v>
      </c>
      <c r="J19" s="83">
        <v>1</v>
      </c>
      <c r="K19" s="83">
        <v>1</v>
      </c>
      <c r="L19" s="83">
        <v>0.3</v>
      </c>
      <c r="M19" s="83">
        <v>0.3</v>
      </c>
      <c r="N19" s="83">
        <v>1</v>
      </c>
      <c r="O19" s="83">
        <v>1</v>
      </c>
      <c r="P19" s="83">
        <v>1</v>
      </c>
      <c r="Q19" s="12">
        <v>0.3</v>
      </c>
    </row>
    <row r="20" spans="1:17" ht="15" customHeight="1" x14ac:dyDescent="0.25">
      <c r="A20" s="90">
        <v>4</v>
      </c>
      <c r="B20" s="83">
        <v>13</v>
      </c>
      <c r="C20" s="85">
        <f t="shared" si="0"/>
        <v>0</v>
      </c>
      <c r="D20" s="83">
        <f t="array" aca="1" ref="D20" ca="1">INDIRECT(ADDRESS(B20+ROW($D$7),MATCH($D$7,$F$7:$Q$7,0)+5))</f>
        <v>1</v>
      </c>
      <c r="E20" s="13">
        <f>报价及预中标!L14/4</f>
        <v>0</v>
      </c>
      <c r="F20" s="12">
        <v>0.3</v>
      </c>
      <c r="G20" s="12">
        <v>0.3</v>
      </c>
      <c r="H20" s="83">
        <v>1</v>
      </c>
      <c r="I20" s="83">
        <v>1</v>
      </c>
      <c r="J20" s="83">
        <v>1</v>
      </c>
      <c r="K20" s="83">
        <v>1</v>
      </c>
      <c r="L20" s="83">
        <v>0.3</v>
      </c>
      <c r="M20" s="83">
        <v>0.3</v>
      </c>
      <c r="N20" s="83">
        <v>1</v>
      </c>
      <c r="O20" s="83">
        <v>1</v>
      </c>
      <c r="P20" s="83">
        <v>1</v>
      </c>
      <c r="Q20" s="12">
        <v>0.3</v>
      </c>
    </row>
    <row r="21" spans="1:17" ht="15" customHeight="1" x14ac:dyDescent="0.25">
      <c r="A21" s="90"/>
      <c r="B21" s="83">
        <v>14</v>
      </c>
      <c r="C21" s="85">
        <f t="shared" si="0"/>
        <v>0</v>
      </c>
      <c r="D21" s="83">
        <f t="array" aca="1" ref="D21" ca="1">INDIRECT(ADDRESS(B21+ROW($D$7),MATCH($D$7,$F$7:$Q$7,0)+5))</f>
        <v>1</v>
      </c>
      <c r="E21" s="13">
        <f>报价及预中标!L15/4</f>
        <v>0</v>
      </c>
      <c r="F21" s="12">
        <v>0.3</v>
      </c>
      <c r="G21" s="12">
        <v>0.3</v>
      </c>
      <c r="H21" s="83">
        <v>1</v>
      </c>
      <c r="I21" s="83">
        <v>1</v>
      </c>
      <c r="J21" s="83">
        <v>1</v>
      </c>
      <c r="K21" s="83">
        <v>1</v>
      </c>
      <c r="L21" s="83">
        <v>0.3</v>
      </c>
      <c r="M21" s="83">
        <v>0.3</v>
      </c>
      <c r="N21" s="83">
        <v>1</v>
      </c>
      <c r="O21" s="83">
        <v>1</v>
      </c>
      <c r="P21" s="83">
        <v>1</v>
      </c>
      <c r="Q21" s="12">
        <v>0.3</v>
      </c>
    </row>
    <row r="22" spans="1:17" ht="15" customHeight="1" x14ac:dyDescent="0.25">
      <c r="A22" s="90"/>
      <c r="B22" s="83">
        <v>15</v>
      </c>
      <c r="C22" s="85">
        <f t="shared" si="0"/>
        <v>0</v>
      </c>
      <c r="D22" s="83">
        <f t="array" aca="1" ref="D22" ca="1">INDIRECT(ADDRESS(B22+ROW($D$7),MATCH($D$7,$F$7:$Q$7,0)+5))</f>
        <v>1</v>
      </c>
      <c r="E22" s="13">
        <f>报价及预中标!L16/4</f>
        <v>0</v>
      </c>
      <c r="F22" s="12">
        <v>0.3</v>
      </c>
      <c r="G22" s="12">
        <v>0.3</v>
      </c>
      <c r="H22" s="83">
        <v>1</v>
      </c>
      <c r="I22" s="83">
        <v>1</v>
      </c>
      <c r="J22" s="83">
        <v>1</v>
      </c>
      <c r="K22" s="83">
        <v>1</v>
      </c>
      <c r="L22" s="83">
        <v>0.3</v>
      </c>
      <c r="M22" s="83">
        <v>0.3</v>
      </c>
      <c r="N22" s="83">
        <v>1</v>
      </c>
      <c r="O22" s="83">
        <v>1</v>
      </c>
      <c r="P22" s="83">
        <v>1</v>
      </c>
      <c r="Q22" s="12">
        <v>0.3</v>
      </c>
    </row>
    <row r="23" spans="1:17" ht="15" customHeight="1" x14ac:dyDescent="0.25">
      <c r="A23" s="90"/>
      <c r="B23" s="83">
        <v>16</v>
      </c>
      <c r="C23" s="85">
        <f t="shared" si="0"/>
        <v>0</v>
      </c>
      <c r="D23" s="83">
        <f t="array" aca="1" ref="D23" ca="1">INDIRECT(ADDRESS(B23+ROW($D$7),MATCH($D$7,$F$7:$Q$7,0)+5))</f>
        <v>1</v>
      </c>
      <c r="E23" s="13">
        <f>报价及预中标!L17/4</f>
        <v>0</v>
      </c>
      <c r="F23" s="12">
        <v>0.3</v>
      </c>
      <c r="G23" s="12">
        <v>0.3</v>
      </c>
      <c r="H23" s="83">
        <v>1</v>
      </c>
      <c r="I23" s="83">
        <v>1</v>
      </c>
      <c r="J23" s="83">
        <v>1</v>
      </c>
      <c r="K23" s="83">
        <v>1</v>
      </c>
      <c r="L23" s="83">
        <v>0.3</v>
      </c>
      <c r="M23" s="83">
        <v>0.3</v>
      </c>
      <c r="N23" s="83">
        <v>1</v>
      </c>
      <c r="O23" s="83">
        <v>1</v>
      </c>
      <c r="P23" s="83">
        <v>1</v>
      </c>
      <c r="Q23" s="12">
        <v>0.3</v>
      </c>
    </row>
    <row r="24" spans="1:17" ht="15" customHeight="1" x14ac:dyDescent="0.25">
      <c r="A24" s="90">
        <v>5</v>
      </c>
      <c r="B24" s="83">
        <v>17</v>
      </c>
      <c r="C24" s="85">
        <f t="shared" si="0"/>
        <v>0</v>
      </c>
      <c r="D24" s="83">
        <f t="array" aca="1" ref="D24" ca="1">INDIRECT(ADDRESS(B24+ROW($D$7),MATCH($D$7,$F$7:$Q$7,0)+5))</f>
        <v>1</v>
      </c>
      <c r="E24" s="13">
        <f>报价及预中标!L18/4</f>
        <v>0</v>
      </c>
      <c r="F24" s="12">
        <v>0.3</v>
      </c>
      <c r="G24" s="12">
        <v>0.3</v>
      </c>
      <c r="H24" s="83">
        <v>1</v>
      </c>
      <c r="I24" s="83">
        <v>1</v>
      </c>
      <c r="J24" s="83">
        <v>1</v>
      </c>
      <c r="K24" s="83">
        <v>1</v>
      </c>
      <c r="L24" s="83">
        <v>0.3</v>
      </c>
      <c r="M24" s="83">
        <v>0.3</v>
      </c>
      <c r="N24" s="83">
        <v>1</v>
      </c>
      <c r="O24" s="83">
        <v>1</v>
      </c>
      <c r="P24" s="83">
        <v>1</v>
      </c>
      <c r="Q24" s="12">
        <v>0.3</v>
      </c>
    </row>
    <row r="25" spans="1:17" ht="15" customHeight="1" x14ac:dyDescent="0.25">
      <c r="A25" s="90"/>
      <c r="B25" s="83">
        <v>18</v>
      </c>
      <c r="C25" s="85">
        <f t="shared" si="0"/>
        <v>0</v>
      </c>
      <c r="D25" s="83">
        <f t="array" aca="1" ref="D25" ca="1">INDIRECT(ADDRESS(B25+ROW($D$7),MATCH($D$7,$F$7:$Q$7,0)+5))</f>
        <v>1</v>
      </c>
      <c r="E25" s="13">
        <f>报价及预中标!L19/4</f>
        <v>0</v>
      </c>
      <c r="F25" s="12">
        <v>0.3</v>
      </c>
      <c r="G25" s="12">
        <v>0.3</v>
      </c>
      <c r="H25" s="83">
        <v>1</v>
      </c>
      <c r="I25" s="83">
        <v>1</v>
      </c>
      <c r="J25" s="83">
        <v>1</v>
      </c>
      <c r="K25" s="83">
        <v>1</v>
      </c>
      <c r="L25" s="83">
        <v>0.3</v>
      </c>
      <c r="M25" s="83">
        <v>0.3</v>
      </c>
      <c r="N25" s="83">
        <v>1</v>
      </c>
      <c r="O25" s="83">
        <v>1</v>
      </c>
      <c r="P25" s="83">
        <v>1</v>
      </c>
      <c r="Q25" s="12">
        <v>0.3</v>
      </c>
    </row>
    <row r="26" spans="1:17" ht="15" customHeight="1" x14ac:dyDescent="0.25">
      <c r="A26" s="90"/>
      <c r="B26" s="83">
        <v>19</v>
      </c>
      <c r="C26" s="85">
        <f t="shared" si="0"/>
        <v>0</v>
      </c>
      <c r="D26" s="83">
        <f t="array" aca="1" ref="D26" ca="1">INDIRECT(ADDRESS(B26+ROW($D$7),MATCH($D$7,$F$7:$Q$7,0)+5))</f>
        <v>1</v>
      </c>
      <c r="E26" s="13">
        <f>报价及预中标!L20/4</f>
        <v>0</v>
      </c>
      <c r="F26" s="12">
        <v>0.3</v>
      </c>
      <c r="G26" s="12">
        <v>0.3</v>
      </c>
      <c r="H26" s="83">
        <v>1</v>
      </c>
      <c r="I26" s="83">
        <v>1</v>
      </c>
      <c r="J26" s="83">
        <v>1</v>
      </c>
      <c r="K26" s="83">
        <v>1</v>
      </c>
      <c r="L26" s="83">
        <v>0.3</v>
      </c>
      <c r="M26" s="83">
        <v>0.3</v>
      </c>
      <c r="N26" s="83">
        <v>1</v>
      </c>
      <c r="O26" s="83">
        <v>1</v>
      </c>
      <c r="P26" s="83">
        <v>1</v>
      </c>
      <c r="Q26" s="12">
        <v>0.3</v>
      </c>
    </row>
    <row r="27" spans="1:17" ht="15" customHeight="1" x14ac:dyDescent="0.25">
      <c r="A27" s="90"/>
      <c r="B27" s="83">
        <v>20</v>
      </c>
      <c r="C27" s="85">
        <f t="shared" si="0"/>
        <v>0</v>
      </c>
      <c r="D27" s="83">
        <f t="array" aca="1" ref="D27" ca="1">INDIRECT(ADDRESS(B27+ROW($D$7),MATCH($D$7,$F$7:$Q$7,0)+5))</f>
        <v>1</v>
      </c>
      <c r="E27" s="13">
        <f>报价及预中标!L21/4</f>
        <v>0</v>
      </c>
      <c r="F27" s="12">
        <v>0.3</v>
      </c>
      <c r="G27" s="12">
        <v>0.3</v>
      </c>
      <c r="H27" s="83">
        <v>1</v>
      </c>
      <c r="I27" s="83">
        <v>1</v>
      </c>
      <c r="J27" s="83">
        <v>1</v>
      </c>
      <c r="K27" s="83">
        <v>1</v>
      </c>
      <c r="L27" s="83">
        <v>0.3</v>
      </c>
      <c r="M27" s="83">
        <v>0.3</v>
      </c>
      <c r="N27" s="83">
        <v>1</v>
      </c>
      <c r="O27" s="83">
        <v>1</v>
      </c>
      <c r="P27" s="83">
        <v>1</v>
      </c>
      <c r="Q27" s="12">
        <v>0.3</v>
      </c>
    </row>
    <row r="28" spans="1:17" ht="15" customHeight="1" x14ac:dyDescent="0.25">
      <c r="A28" s="90">
        <v>6</v>
      </c>
      <c r="B28" s="83">
        <v>21</v>
      </c>
      <c r="C28" s="85">
        <f t="shared" si="0"/>
        <v>0</v>
      </c>
      <c r="D28" s="83">
        <f t="array" aca="1" ref="D28" ca="1">INDIRECT(ADDRESS(B28+ROW($D$7),MATCH($D$7,$F$7:$Q$7,0)+5))</f>
        <v>1</v>
      </c>
      <c r="E28" s="13">
        <f>报价及预中标!L22/4</f>
        <v>0</v>
      </c>
      <c r="F28" s="12">
        <v>0.3</v>
      </c>
      <c r="G28" s="12">
        <v>0.3</v>
      </c>
      <c r="H28" s="83">
        <v>1</v>
      </c>
      <c r="I28" s="83">
        <v>1</v>
      </c>
      <c r="J28" s="83">
        <v>1</v>
      </c>
      <c r="K28" s="83">
        <v>1</v>
      </c>
      <c r="L28" s="83">
        <v>0.3</v>
      </c>
      <c r="M28" s="83">
        <v>0.3</v>
      </c>
      <c r="N28" s="83">
        <v>1</v>
      </c>
      <c r="O28" s="83">
        <v>1</v>
      </c>
      <c r="P28" s="83">
        <v>1</v>
      </c>
      <c r="Q28" s="12">
        <v>0.3</v>
      </c>
    </row>
    <row r="29" spans="1:17" ht="15" customHeight="1" x14ac:dyDescent="0.25">
      <c r="A29" s="90"/>
      <c r="B29" s="83">
        <v>22</v>
      </c>
      <c r="C29" s="85">
        <f t="shared" si="0"/>
        <v>0</v>
      </c>
      <c r="D29" s="83">
        <f t="array" aca="1" ref="D29" ca="1">INDIRECT(ADDRESS(B29+ROW($D$7),MATCH($D$7,$F$7:$Q$7,0)+5))</f>
        <v>1</v>
      </c>
      <c r="E29" s="13">
        <f>报价及预中标!L23/4</f>
        <v>0</v>
      </c>
      <c r="F29" s="12">
        <v>0.3</v>
      </c>
      <c r="G29" s="12">
        <v>0.3</v>
      </c>
      <c r="H29" s="83">
        <v>1</v>
      </c>
      <c r="I29" s="83">
        <v>1</v>
      </c>
      <c r="J29" s="83">
        <v>1</v>
      </c>
      <c r="K29" s="83">
        <v>1</v>
      </c>
      <c r="L29" s="83">
        <v>0.3</v>
      </c>
      <c r="M29" s="83">
        <v>0.3</v>
      </c>
      <c r="N29" s="83">
        <v>1</v>
      </c>
      <c r="O29" s="83">
        <v>1</v>
      </c>
      <c r="P29" s="83">
        <v>1</v>
      </c>
      <c r="Q29" s="12">
        <v>0.3</v>
      </c>
    </row>
    <row r="30" spans="1:17" ht="15" customHeight="1" x14ac:dyDescent="0.25">
      <c r="A30" s="90"/>
      <c r="B30" s="83">
        <v>23</v>
      </c>
      <c r="C30" s="85">
        <f t="shared" si="0"/>
        <v>0</v>
      </c>
      <c r="D30" s="83">
        <f t="array" aca="1" ref="D30" ca="1">INDIRECT(ADDRESS(B30+ROW($D$7),MATCH($D$7,$F$7:$Q$7,0)+5))</f>
        <v>1</v>
      </c>
      <c r="E30" s="13">
        <f>报价及预中标!L24/4</f>
        <v>0</v>
      </c>
      <c r="F30" s="12">
        <v>0.3</v>
      </c>
      <c r="G30" s="12">
        <v>0.3</v>
      </c>
      <c r="H30" s="83">
        <v>1</v>
      </c>
      <c r="I30" s="83">
        <v>1</v>
      </c>
      <c r="J30" s="83">
        <v>1</v>
      </c>
      <c r="K30" s="83">
        <v>1</v>
      </c>
      <c r="L30" s="83">
        <v>0.3</v>
      </c>
      <c r="M30" s="83">
        <v>0.3</v>
      </c>
      <c r="N30" s="83">
        <v>1</v>
      </c>
      <c r="O30" s="83">
        <v>1</v>
      </c>
      <c r="P30" s="83">
        <v>1</v>
      </c>
      <c r="Q30" s="12">
        <v>0.3</v>
      </c>
    </row>
    <row r="31" spans="1:17" ht="15" customHeight="1" x14ac:dyDescent="0.25">
      <c r="A31" s="90"/>
      <c r="B31" s="83">
        <v>24</v>
      </c>
      <c r="C31" s="85">
        <f t="shared" si="0"/>
        <v>0</v>
      </c>
      <c r="D31" s="83">
        <f t="array" aca="1" ref="D31" ca="1">INDIRECT(ADDRESS(B31+ROW($D$7),MATCH($D$7,$F$7:$Q$7,0)+5))</f>
        <v>1</v>
      </c>
      <c r="E31" s="13">
        <f>报价及预中标!L25/4</f>
        <v>0</v>
      </c>
      <c r="F31" s="12">
        <v>0.3</v>
      </c>
      <c r="G31" s="12">
        <v>0.3</v>
      </c>
      <c r="H31" s="83">
        <v>1</v>
      </c>
      <c r="I31" s="83">
        <v>1</v>
      </c>
      <c r="J31" s="83">
        <v>1</v>
      </c>
      <c r="K31" s="83">
        <v>1</v>
      </c>
      <c r="L31" s="83">
        <v>0.3</v>
      </c>
      <c r="M31" s="83">
        <v>0.3</v>
      </c>
      <c r="N31" s="83">
        <v>1</v>
      </c>
      <c r="O31" s="83">
        <v>1</v>
      </c>
      <c r="P31" s="83">
        <v>1</v>
      </c>
      <c r="Q31" s="12">
        <v>0.3</v>
      </c>
    </row>
    <row r="32" spans="1:17" ht="15" customHeight="1" x14ac:dyDescent="0.25">
      <c r="A32" s="90">
        <v>7</v>
      </c>
      <c r="B32" s="83">
        <v>25</v>
      </c>
      <c r="C32" s="85">
        <f t="shared" si="0"/>
        <v>0</v>
      </c>
      <c r="D32" s="83">
        <f t="array" aca="1" ref="D32" ca="1">INDIRECT(ADDRESS(B32+ROW($D$7),MATCH($D$7,$F$7:$Q$7,0)+5))</f>
        <v>0.3</v>
      </c>
      <c r="E32" s="13">
        <f>报价及预中标!L26/4</f>
        <v>0</v>
      </c>
      <c r="F32" s="12">
        <v>1.7</v>
      </c>
      <c r="G32" s="12">
        <v>1.7</v>
      </c>
      <c r="H32" s="83">
        <v>1</v>
      </c>
      <c r="I32" s="83">
        <v>1</v>
      </c>
      <c r="J32" s="83">
        <v>1</v>
      </c>
      <c r="K32" s="83">
        <v>0.3</v>
      </c>
      <c r="L32" s="83">
        <v>1</v>
      </c>
      <c r="M32" s="83">
        <v>1</v>
      </c>
      <c r="N32" s="83">
        <v>1</v>
      </c>
      <c r="O32" s="83">
        <v>1</v>
      </c>
      <c r="P32" s="83">
        <v>1</v>
      </c>
      <c r="Q32" s="12">
        <v>1.7</v>
      </c>
    </row>
    <row r="33" spans="1:17" ht="15" customHeight="1" x14ac:dyDescent="0.25">
      <c r="A33" s="90"/>
      <c r="B33" s="83">
        <v>26</v>
      </c>
      <c r="C33" s="85">
        <f t="shared" si="0"/>
        <v>0</v>
      </c>
      <c r="D33" s="83">
        <f t="array" aca="1" ref="D33" ca="1">INDIRECT(ADDRESS(B33+ROW($D$7),MATCH($D$7,$F$7:$Q$7,0)+5))</f>
        <v>0.3</v>
      </c>
      <c r="E33" s="13">
        <f>报价及预中标!L27/4</f>
        <v>0</v>
      </c>
      <c r="F33" s="12">
        <v>1.7</v>
      </c>
      <c r="G33" s="12">
        <v>1.7</v>
      </c>
      <c r="H33" s="83">
        <v>1</v>
      </c>
      <c r="I33" s="83">
        <v>1</v>
      </c>
      <c r="J33" s="83">
        <v>1</v>
      </c>
      <c r="K33" s="83">
        <v>0.3</v>
      </c>
      <c r="L33" s="83">
        <v>1</v>
      </c>
      <c r="M33" s="83">
        <v>1</v>
      </c>
      <c r="N33" s="83">
        <v>1</v>
      </c>
      <c r="O33" s="83">
        <v>1</v>
      </c>
      <c r="P33" s="83">
        <v>1</v>
      </c>
      <c r="Q33" s="12">
        <v>1.7</v>
      </c>
    </row>
    <row r="34" spans="1:17" ht="15" customHeight="1" x14ac:dyDescent="0.25">
      <c r="A34" s="90"/>
      <c r="B34" s="83">
        <v>27</v>
      </c>
      <c r="C34" s="85">
        <f t="shared" si="0"/>
        <v>0</v>
      </c>
      <c r="D34" s="83">
        <f t="array" aca="1" ref="D34" ca="1">INDIRECT(ADDRESS(B34+ROW($D$7),MATCH($D$7,$F$7:$Q$7,0)+5))</f>
        <v>0.3</v>
      </c>
      <c r="E34" s="13">
        <f>报价及预中标!L28/4</f>
        <v>0</v>
      </c>
      <c r="F34" s="12">
        <v>1.7</v>
      </c>
      <c r="G34" s="12">
        <v>1.7</v>
      </c>
      <c r="H34" s="83">
        <v>1</v>
      </c>
      <c r="I34" s="83">
        <v>1</v>
      </c>
      <c r="J34" s="83">
        <v>1</v>
      </c>
      <c r="K34" s="83">
        <v>0.3</v>
      </c>
      <c r="L34" s="83">
        <v>1</v>
      </c>
      <c r="M34" s="83">
        <v>1</v>
      </c>
      <c r="N34" s="83">
        <v>1</v>
      </c>
      <c r="O34" s="83">
        <v>1</v>
      </c>
      <c r="P34" s="83">
        <v>1</v>
      </c>
      <c r="Q34" s="12">
        <v>1.7</v>
      </c>
    </row>
    <row r="35" spans="1:17" ht="15" customHeight="1" x14ac:dyDescent="0.25">
      <c r="A35" s="90"/>
      <c r="B35" s="83">
        <v>28</v>
      </c>
      <c r="C35" s="85">
        <f t="shared" si="0"/>
        <v>0</v>
      </c>
      <c r="D35" s="83">
        <f t="array" aca="1" ref="D35" ca="1">INDIRECT(ADDRESS(B35+ROW($D$7),MATCH($D$7,$F$7:$Q$7,0)+5))</f>
        <v>0.3</v>
      </c>
      <c r="E35" s="13">
        <f>报价及预中标!L29/4</f>
        <v>0</v>
      </c>
      <c r="F35" s="12">
        <v>1.7</v>
      </c>
      <c r="G35" s="12">
        <v>1.7</v>
      </c>
      <c r="H35" s="83">
        <v>1</v>
      </c>
      <c r="I35" s="83">
        <v>1</v>
      </c>
      <c r="J35" s="83">
        <v>1</v>
      </c>
      <c r="K35" s="83">
        <v>0.3</v>
      </c>
      <c r="L35" s="83">
        <v>1</v>
      </c>
      <c r="M35" s="83">
        <v>1</v>
      </c>
      <c r="N35" s="83">
        <v>1</v>
      </c>
      <c r="O35" s="83">
        <v>1</v>
      </c>
      <c r="P35" s="83">
        <v>1</v>
      </c>
      <c r="Q35" s="12">
        <v>1.7</v>
      </c>
    </row>
    <row r="36" spans="1:17" ht="15" customHeight="1" x14ac:dyDescent="0.25">
      <c r="A36" s="90">
        <v>8</v>
      </c>
      <c r="B36" s="83">
        <v>29</v>
      </c>
      <c r="C36" s="85">
        <f t="shared" si="0"/>
        <v>0</v>
      </c>
      <c r="D36" s="83">
        <f t="array" aca="1" ref="D36" ca="1">INDIRECT(ADDRESS(B36+ROW($D$7),MATCH($D$7,$F$7:$Q$7,0)+5))</f>
        <v>0.3</v>
      </c>
      <c r="E36" s="13">
        <f>报价及预中标!L30/4</f>
        <v>0</v>
      </c>
      <c r="F36" s="12">
        <v>1.7</v>
      </c>
      <c r="G36" s="12">
        <v>1.7</v>
      </c>
      <c r="H36" s="83">
        <v>1</v>
      </c>
      <c r="I36" s="83">
        <v>1</v>
      </c>
      <c r="J36" s="83">
        <v>1</v>
      </c>
      <c r="K36" s="83">
        <v>0.3</v>
      </c>
      <c r="L36" s="83">
        <v>1</v>
      </c>
      <c r="M36" s="83">
        <v>1</v>
      </c>
      <c r="N36" s="83">
        <v>1</v>
      </c>
      <c r="O36" s="83">
        <v>1</v>
      </c>
      <c r="P36" s="83">
        <v>1</v>
      </c>
      <c r="Q36" s="12">
        <v>1.7</v>
      </c>
    </row>
    <row r="37" spans="1:17" ht="15" customHeight="1" x14ac:dyDescent="0.25">
      <c r="A37" s="90"/>
      <c r="B37" s="83">
        <v>30</v>
      </c>
      <c r="C37" s="85">
        <f t="shared" si="0"/>
        <v>0</v>
      </c>
      <c r="D37" s="83">
        <f t="array" aca="1" ref="D37" ca="1">INDIRECT(ADDRESS(B37+ROW($D$7),MATCH($D$7,$F$7:$Q$7,0)+5))</f>
        <v>0.3</v>
      </c>
      <c r="E37" s="13">
        <f>报价及预中标!L31/4</f>
        <v>0</v>
      </c>
      <c r="F37" s="12">
        <v>1.7</v>
      </c>
      <c r="G37" s="12">
        <v>1.7</v>
      </c>
      <c r="H37" s="83">
        <v>1</v>
      </c>
      <c r="I37" s="83">
        <v>1</v>
      </c>
      <c r="J37" s="83">
        <v>1</v>
      </c>
      <c r="K37" s="83">
        <v>0.3</v>
      </c>
      <c r="L37" s="83">
        <v>1</v>
      </c>
      <c r="M37" s="83">
        <v>1</v>
      </c>
      <c r="N37" s="83">
        <v>1</v>
      </c>
      <c r="O37" s="83">
        <v>1</v>
      </c>
      <c r="P37" s="83">
        <v>1</v>
      </c>
      <c r="Q37" s="12">
        <v>1.7</v>
      </c>
    </row>
    <row r="38" spans="1:17" ht="15" customHeight="1" x14ac:dyDescent="0.25">
      <c r="A38" s="90"/>
      <c r="B38" s="83">
        <v>31</v>
      </c>
      <c r="C38" s="85">
        <f t="shared" si="0"/>
        <v>0</v>
      </c>
      <c r="D38" s="83">
        <f t="array" aca="1" ref="D38" ca="1">INDIRECT(ADDRESS(B38+ROW($D$7),MATCH($D$7,$F$7:$Q$7,0)+5))</f>
        <v>0.3</v>
      </c>
      <c r="E38" s="13">
        <f>报价及预中标!L32/4</f>
        <v>0</v>
      </c>
      <c r="F38" s="12">
        <v>1.7</v>
      </c>
      <c r="G38" s="12">
        <v>1.7</v>
      </c>
      <c r="H38" s="83">
        <v>1</v>
      </c>
      <c r="I38" s="83">
        <v>1</v>
      </c>
      <c r="J38" s="83">
        <v>1</v>
      </c>
      <c r="K38" s="83">
        <v>0.3</v>
      </c>
      <c r="L38" s="83">
        <v>1</v>
      </c>
      <c r="M38" s="83">
        <v>1</v>
      </c>
      <c r="N38" s="83">
        <v>1</v>
      </c>
      <c r="O38" s="83">
        <v>1</v>
      </c>
      <c r="P38" s="83">
        <v>1</v>
      </c>
      <c r="Q38" s="12">
        <v>1.7</v>
      </c>
    </row>
    <row r="39" spans="1:17" ht="15" customHeight="1" x14ac:dyDescent="0.25">
      <c r="A39" s="90"/>
      <c r="B39" s="83">
        <v>32</v>
      </c>
      <c r="C39" s="85">
        <f t="shared" si="0"/>
        <v>0</v>
      </c>
      <c r="D39" s="83">
        <f t="array" aca="1" ref="D39" ca="1">INDIRECT(ADDRESS(B39+ROW($D$7),MATCH($D$7,$F$7:$Q$7,0)+5))</f>
        <v>0.3</v>
      </c>
      <c r="E39" s="13">
        <f>报价及预中标!L33/4</f>
        <v>0</v>
      </c>
      <c r="F39" s="12">
        <v>1.7</v>
      </c>
      <c r="G39" s="12">
        <v>1.7</v>
      </c>
      <c r="H39" s="83">
        <v>1</v>
      </c>
      <c r="I39" s="83">
        <v>1</v>
      </c>
      <c r="J39" s="83">
        <v>1</v>
      </c>
      <c r="K39" s="83">
        <v>0.3</v>
      </c>
      <c r="L39" s="83">
        <v>1</v>
      </c>
      <c r="M39" s="83">
        <v>1</v>
      </c>
      <c r="N39" s="83">
        <v>1</v>
      </c>
      <c r="O39" s="83">
        <v>1</v>
      </c>
      <c r="P39" s="83">
        <v>1</v>
      </c>
      <c r="Q39" s="12">
        <v>1.7</v>
      </c>
    </row>
    <row r="40" spans="1:17" ht="15" customHeight="1" x14ac:dyDescent="0.25">
      <c r="A40" s="90">
        <v>9</v>
      </c>
      <c r="B40" s="83">
        <v>33</v>
      </c>
      <c r="C40" s="85">
        <f t="shared" si="0"/>
        <v>0</v>
      </c>
      <c r="D40" s="83">
        <f t="array" aca="1" ref="D40" ca="1">INDIRECT(ADDRESS(B40+ROW($D$7),MATCH($D$7,$F$7:$Q$7,0)+5))</f>
        <v>0.3</v>
      </c>
      <c r="E40" s="13">
        <f>报价及预中标!L34/4</f>
        <v>0</v>
      </c>
      <c r="F40" s="12">
        <v>1.7</v>
      </c>
      <c r="G40" s="12">
        <v>1.7</v>
      </c>
      <c r="H40" s="83">
        <v>1</v>
      </c>
      <c r="I40" s="83">
        <v>1</v>
      </c>
      <c r="J40" s="83">
        <v>1</v>
      </c>
      <c r="K40" s="83">
        <v>0.3</v>
      </c>
      <c r="L40" s="83">
        <v>1</v>
      </c>
      <c r="M40" s="83">
        <v>1</v>
      </c>
      <c r="N40" s="83">
        <v>1</v>
      </c>
      <c r="O40" s="83">
        <v>1</v>
      </c>
      <c r="P40" s="83">
        <v>1</v>
      </c>
      <c r="Q40" s="12">
        <v>1.7</v>
      </c>
    </row>
    <row r="41" spans="1:17" ht="15" customHeight="1" x14ac:dyDescent="0.25">
      <c r="A41" s="90"/>
      <c r="B41" s="83">
        <v>34</v>
      </c>
      <c r="C41" s="85">
        <f t="shared" si="0"/>
        <v>0</v>
      </c>
      <c r="D41" s="83">
        <f t="array" aca="1" ref="D41" ca="1">INDIRECT(ADDRESS(B41+ROW($D$7),MATCH($D$7,$F$7:$Q$7,0)+5))</f>
        <v>0.3</v>
      </c>
      <c r="E41" s="13">
        <f>报价及预中标!L35/4</f>
        <v>0</v>
      </c>
      <c r="F41" s="12">
        <v>1.7</v>
      </c>
      <c r="G41" s="12">
        <v>1.7</v>
      </c>
      <c r="H41" s="83">
        <v>1</v>
      </c>
      <c r="I41" s="83">
        <v>1</v>
      </c>
      <c r="J41" s="83">
        <v>1</v>
      </c>
      <c r="K41" s="83">
        <v>0.3</v>
      </c>
      <c r="L41" s="83">
        <v>1</v>
      </c>
      <c r="M41" s="83">
        <v>1</v>
      </c>
      <c r="N41" s="83">
        <v>1</v>
      </c>
      <c r="O41" s="83">
        <v>1</v>
      </c>
      <c r="P41" s="83">
        <v>1</v>
      </c>
      <c r="Q41" s="12">
        <v>1.7</v>
      </c>
    </row>
    <row r="42" spans="1:17" ht="15" customHeight="1" x14ac:dyDescent="0.25">
      <c r="A42" s="90"/>
      <c r="B42" s="83">
        <v>35</v>
      </c>
      <c r="C42" s="85">
        <f t="shared" si="0"/>
        <v>0</v>
      </c>
      <c r="D42" s="83">
        <f t="array" aca="1" ref="D42" ca="1">INDIRECT(ADDRESS(B42+ROW($D$7),MATCH($D$7,$F$7:$Q$7,0)+5))</f>
        <v>0.3</v>
      </c>
      <c r="E42" s="13">
        <f>报价及预中标!L36/4</f>
        <v>0</v>
      </c>
      <c r="F42" s="12">
        <v>1.7</v>
      </c>
      <c r="G42" s="12">
        <v>1.7</v>
      </c>
      <c r="H42" s="83">
        <v>1</v>
      </c>
      <c r="I42" s="83">
        <v>1</v>
      </c>
      <c r="J42" s="83">
        <v>1</v>
      </c>
      <c r="K42" s="83">
        <v>0.3</v>
      </c>
      <c r="L42" s="83">
        <v>1</v>
      </c>
      <c r="M42" s="83">
        <v>1</v>
      </c>
      <c r="N42" s="83">
        <v>1</v>
      </c>
      <c r="O42" s="83">
        <v>1</v>
      </c>
      <c r="P42" s="83">
        <v>1</v>
      </c>
      <c r="Q42" s="12">
        <v>1.7</v>
      </c>
    </row>
    <row r="43" spans="1:17" ht="15" customHeight="1" x14ac:dyDescent="0.25">
      <c r="A43" s="90"/>
      <c r="B43" s="83">
        <v>36</v>
      </c>
      <c r="C43" s="85">
        <f t="shared" si="0"/>
        <v>0</v>
      </c>
      <c r="D43" s="83">
        <f t="array" aca="1" ref="D43" ca="1">INDIRECT(ADDRESS(B43+ROW($D$7),MATCH($D$7,$F$7:$Q$7,0)+5))</f>
        <v>0.3</v>
      </c>
      <c r="E43" s="13">
        <f>报价及预中标!L37/4</f>
        <v>0</v>
      </c>
      <c r="F43" s="12">
        <v>1.7</v>
      </c>
      <c r="G43" s="12">
        <v>1.7</v>
      </c>
      <c r="H43" s="83">
        <v>1</v>
      </c>
      <c r="I43" s="83">
        <v>1</v>
      </c>
      <c r="J43" s="83">
        <v>1</v>
      </c>
      <c r="K43" s="83">
        <v>0.3</v>
      </c>
      <c r="L43" s="83">
        <v>1</v>
      </c>
      <c r="M43" s="83">
        <v>1</v>
      </c>
      <c r="N43" s="83">
        <v>1</v>
      </c>
      <c r="O43" s="83">
        <v>1</v>
      </c>
      <c r="P43" s="83">
        <v>1</v>
      </c>
      <c r="Q43" s="12">
        <v>1.7</v>
      </c>
    </row>
    <row r="44" spans="1:17" ht="15" customHeight="1" x14ac:dyDescent="0.25">
      <c r="A44" s="90">
        <v>10</v>
      </c>
      <c r="B44" s="83">
        <v>37</v>
      </c>
      <c r="C44" s="85">
        <f t="shared" si="0"/>
        <v>0</v>
      </c>
      <c r="D44" s="83">
        <f t="array" aca="1" ref="D44" ca="1">INDIRECT(ADDRESS(B44+ROW($D$7),MATCH($D$7,$F$7:$Q$7,0)+5))</f>
        <v>0.3</v>
      </c>
      <c r="E44" s="13">
        <f>报价及预中标!L38/4</f>
        <v>0</v>
      </c>
      <c r="F44" s="12">
        <v>0.3</v>
      </c>
      <c r="G44" s="12">
        <v>0.3</v>
      </c>
      <c r="H44" s="83">
        <v>0.3</v>
      </c>
      <c r="I44" s="83">
        <v>0.3</v>
      </c>
      <c r="J44" s="83">
        <v>0.3</v>
      </c>
      <c r="K44" s="83">
        <v>0.3</v>
      </c>
      <c r="L44" s="83">
        <v>1</v>
      </c>
      <c r="M44" s="83">
        <v>1</v>
      </c>
      <c r="N44" s="83">
        <v>0.3</v>
      </c>
      <c r="O44" s="83">
        <v>0.3</v>
      </c>
      <c r="P44" s="83">
        <v>0.3</v>
      </c>
      <c r="Q44" s="12">
        <v>0.3</v>
      </c>
    </row>
    <row r="45" spans="1:17" ht="15" customHeight="1" x14ac:dyDescent="0.25">
      <c r="A45" s="90"/>
      <c r="B45" s="83">
        <v>38</v>
      </c>
      <c r="C45" s="85">
        <f t="shared" si="0"/>
        <v>0</v>
      </c>
      <c r="D45" s="83">
        <f t="array" aca="1" ref="D45" ca="1">INDIRECT(ADDRESS(B45+ROW($D$7),MATCH($D$7,$F$7:$Q$7,0)+5))</f>
        <v>0.3</v>
      </c>
      <c r="E45" s="13">
        <f>报价及预中标!L39/4</f>
        <v>0</v>
      </c>
      <c r="F45" s="12">
        <v>0.3</v>
      </c>
      <c r="G45" s="12">
        <v>0.3</v>
      </c>
      <c r="H45" s="83">
        <v>0.3</v>
      </c>
      <c r="I45" s="83">
        <v>0.3</v>
      </c>
      <c r="J45" s="83">
        <v>0.3</v>
      </c>
      <c r="K45" s="83">
        <v>0.3</v>
      </c>
      <c r="L45" s="83">
        <v>1</v>
      </c>
      <c r="M45" s="83">
        <v>1</v>
      </c>
      <c r="N45" s="83">
        <v>0.3</v>
      </c>
      <c r="O45" s="83">
        <v>0.3</v>
      </c>
      <c r="P45" s="83">
        <v>0.3</v>
      </c>
      <c r="Q45" s="12">
        <v>0.3</v>
      </c>
    </row>
    <row r="46" spans="1:17" ht="15" customHeight="1" x14ac:dyDescent="0.25">
      <c r="A46" s="90"/>
      <c r="B46" s="83">
        <v>39</v>
      </c>
      <c r="C46" s="85">
        <f t="shared" si="0"/>
        <v>0</v>
      </c>
      <c r="D46" s="83">
        <f t="array" aca="1" ref="D46" ca="1">INDIRECT(ADDRESS(B46+ROW($D$7),MATCH($D$7,$F$7:$Q$7,0)+5))</f>
        <v>0.3</v>
      </c>
      <c r="E46" s="13">
        <f>报价及预中标!L40/4</f>
        <v>0</v>
      </c>
      <c r="F46" s="12">
        <v>0.3</v>
      </c>
      <c r="G46" s="12">
        <v>0.3</v>
      </c>
      <c r="H46" s="83">
        <v>0.3</v>
      </c>
      <c r="I46" s="83">
        <v>0.3</v>
      </c>
      <c r="J46" s="83">
        <v>0.3</v>
      </c>
      <c r="K46" s="83">
        <v>0.3</v>
      </c>
      <c r="L46" s="83">
        <v>1</v>
      </c>
      <c r="M46" s="83">
        <v>1</v>
      </c>
      <c r="N46" s="83">
        <v>0.3</v>
      </c>
      <c r="O46" s="83">
        <v>0.3</v>
      </c>
      <c r="P46" s="83">
        <v>0.3</v>
      </c>
      <c r="Q46" s="12">
        <v>0.3</v>
      </c>
    </row>
    <row r="47" spans="1:17" ht="15" customHeight="1" x14ac:dyDescent="0.25">
      <c r="A47" s="90"/>
      <c r="B47" s="83">
        <v>40</v>
      </c>
      <c r="C47" s="85">
        <f t="shared" si="0"/>
        <v>0</v>
      </c>
      <c r="D47" s="83">
        <f t="array" aca="1" ref="D47" ca="1">INDIRECT(ADDRESS(B47+ROW($D$7),MATCH($D$7,$F$7:$Q$7,0)+5))</f>
        <v>0.3</v>
      </c>
      <c r="E47" s="13">
        <f>报价及预中标!L41/4</f>
        <v>0</v>
      </c>
      <c r="F47" s="12">
        <v>0.3</v>
      </c>
      <c r="G47" s="12">
        <v>0.3</v>
      </c>
      <c r="H47" s="83">
        <v>0.3</v>
      </c>
      <c r="I47" s="83">
        <v>0.3</v>
      </c>
      <c r="J47" s="83">
        <v>0.3</v>
      </c>
      <c r="K47" s="83">
        <v>0.3</v>
      </c>
      <c r="L47" s="83">
        <v>1</v>
      </c>
      <c r="M47" s="83">
        <v>1</v>
      </c>
      <c r="N47" s="83">
        <v>0.3</v>
      </c>
      <c r="O47" s="83">
        <v>0.3</v>
      </c>
      <c r="P47" s="83">
        <v>0.3</v>
      </c>
      <c r="Q47" s="12">
        <v>0.3</v>
      </c>
    </row>
    <row r="48" spans="1:17" ht="15" customHeight="1" x14ac:dyDescent="0.25">
      <c r="A48" s="90">
        <v>11</v>
      </c>
      <c r="B48" s="83">
        <v>41</v>
      </c>
      <c r="C48" s="85">
        <f t="shared" si="0"/>
        <v>0</v>
      </c>
      <c r="D48" s="83">
        <f t="array" aca="1" ref="D48" ca="1">INDIRECT(ADDRESS(B48+ROW($D$7),MATCH($D$7,$F$7:$Q$7,0)+5))</f>
        <v>0.3</v>
      </c>
      <c r="E48" s="13">
        <f>报价及预中标!L42/4</f>
        <v>0</v>
      </c>
      <c r="F48" s="12">
        <v>0.1</v>
      </c>
      <c r="G48" s="12">
        <v>0.1</v>
      </c>
      <c r="H48" s="83">
        <v>0.1</v>
      </c>
      <c r="I48" s="83">
        <v>0.1</v>
      </c>
      <c r="J48" s="83">
        <v>0.1</v>
      </c>
      <c r="K48" s="83">
        <v>0.3</v>
      </c>
      <c r="L48" s="83">
        <v>1</v>
      </c>
      <c r="M48" s="83">
        <v>1</v>
      </c>
      <c r="N48" s="83">
        <v>0.1</v>
      </c>
      <c r="O48" s="83">
        <v>0.1</v>
      </c>
      <c r="P48" s="83">
        <v>0.1</v>
      </c>
      <c r="Q48" s="12">
        <v>0.1</v>
      </c>
    </row>
    <row r="49" spans="1:17" ht="15" customHeight="1" x14ac:dyDescent="0.25">
      <c r="A49" s="90"/>
      <c r="B49" s="83">
        <v>42</v>
      </c>
      <c r="C49" s="85">
        <f t="shared" si="0"/>
        <v>0</v>
      </c>
      <c r="D49" s="83">
        <f t="array" aca="1" ref="D49" ca="1">INDIRECT(ADDRESS(B49+ROW($D$7),MATCH($D$7,$F$7:$Q$7,0)+5))</f>
        <v>0.3</v>
      </c>
      <c r="E49" s="13">
        <f>报价及预中标!L43/4</f>
        <v>0</v>
      </c>
      <c r="F49" s="12">
        <v>0.1</v>
      </c>
      <c r="G49" s="12">
        <v>0.1</v>
      </c>
      <c r="H49" s="83">
        <v>0.1</v>
      </c>
      <c r="I49" s="83">
        <v>0.1</v>
      </c>
      <c r="J49" s="83">
        <v>0.1</v>
      </c>
      <c r="K49" s="83">
        <v>0.3</v>
      </c>
      <c r="L49" s="83">
        <v>1</v>
      </c>
      <c r="M49" s="83">
        <v>1</v>
      </c>
      <c r="N49" s="83">
        <v>0.1</v>
      </c>
      <c r="O49" s="83">
        <v>0.1</v>
      </c>
      <c r="P49" s="83">
        <v>0.1</v>
      </c>
      <c r="Q49" s="12">
        <v>0.1</v>
      </c>
    </row>
    <row r="50" spans="1:17" ht="15" customHeight="1" x14ac:dyDescent="0.25">
      <c r="A50" s="90"/>
      <c r="B50" s="83">
        <v>43</v>
      </c>
      <c r="C50" s="85">
        <f t="shared" si="0"/>
        <v>0</v>
      </c>
      <c r="D50" s="83">
        <f t="array" aca="1" ref="D50" ca="1">INDIRECT(ADDRESS(B50+ROW($D$7),MATCH($D$7,$F$7:$Q$7,0)+5))</f>
        <v>0.3</v>
      </c>
      <c r="E50" s="13">
        <f>报价及预中标!L44/4</f>
        <v>0</v>
      </c>
      <c r="F50" s="12">
        <v>0.1</v>
      </c>
      <c r="G50" s="12">
        <v>0.1</v>
      </c>
      <c r="H50" s="83">
        <v>0.1</v>
      </c>
      <c r="I50" s="83">
        <v>0.1</v>
      </c>
      <c r="J50" s="83">
        <v>0.1</v>
      </c>
      <c r="K50" s="83">
        <v>0.3</v>
      </c>
      <c r="L50" s="83">
        <v>1</v>
      </c>
      <c r="M50" s="83">
        <v>1</v>
      </c>
      <c r="N50" s="83">
        <v>0.1</v>
      </c>
      <c r="O50" s="83">
        <v>0.1</v>
      </c>
      <c r="P50" s="83">
        <v>0.1</v>
      </c>
      <c r="Q50" s="12">
        <v>0.1</v>
      </c>
    </row>
    <row r="51" spans="1:17" ht="15" customHeight="1" x14ac:dyDescent="0.25">
      <c r="A51" s="90"/>
      <c r="B51" s="83">
        <v>44</v>
      </c>
      <c r="C51" s="85">
        <f t="shared" si="0"/>
        <v>0</v>
      </c>
      <c r="D51" s="83">
        <f t="array" aca="1" ref="D51" ca="1">INDIRECT(ADDRESS(B51+ROW($D$7),MATCH($D$7,$F$7:$Q$7,0)+5))</f>
        <v>0.3</v>
      </c>
      <c r="E51" s="13">
        <f>报价及预中标!L45/4</f>
        <v>0</v>
      </c>
      <c r="F51" s="12">
        <v>0.1</v>
      </c>
      <c r="G51" s="12">
        <v>0.1</v>
      </c>
      <c r="H51" s="83">
        <v>0.1</v>
      </c>
      <c r="I51" s="83">
        <v>0.1</v>
      </c>
      <c r="J51" s="83">
        <v>0.1</v>
      </c>
      <c r="K51" s="83">
        <v>0.3</v>
      </c>
      <c r="L51" s="83">
        <v>1</v>
      </c>
      <c r="M51" s="83">
        <v>1</v>
      </c>
      <c r="N51" s="83">
        <v>0.1</v>
      </c>
      <c r="O51" s="83">
        <v>0.1</v>
      </c>
      <c r="P51" s="83">
        <v>0.1</v>
      </c>
      <c r="Q51" s="12">
        <v>0.1</v>
      </c>
    </row>
    <row r="52" spans="1:17" ht="15" customHeight="1" x14ac:dyDescent="0.25">
      <c r="A52" s="90">
        <v>12</v>
      </c>
      <c r="B52" s="83">
        <v>45</v>
      </c>
      <c r="C52" s="85">
        <f t="shared" si="0"/>
        <v>0</v>
      </c>
      <c r="D52" s="83">
        <f t="array" aca="1" ref="D52" ca="1">INDIRECT(ADDRESS(B52+ROW($D$7),MATCH($D$7,$F$7:$Q$7,0)+5))</f>
        <v>0.3</v>
      </c>
      <c r="E52" s="13">
        <f>报价及预中标!L46/4</f>
        <v>0</v>
      </c>
      <c r="F52" s="12">
        <v>0.1</v>
      </c>
      <c r="G52" s="12">
        <v>0.1</v>
      </c>
      <c r="H52" s="83">
        <v>0.1</v>
      </c>
      <c r="I52" s="83">
        <v>0.1</v>
      </c>
      <c r="J52" s="83">
        <v>0.1</v>
      </c>
      <c r="K52" s="83">
        <v>0.3</v>
      </c>
      <c r="L52" s="83">
        <v>1</v>
      </c>
      <c r="M52" s="83">
        <v>1</v>
      </c>
      <c r="N52" s="83">
        <v>0.1</v>
      </c>
      <c r="O52" s="83">
        <v>0.1</v>
      </c>
      <c r="P52" s="83">
        <v>0.1</v>
      </c>
      <c r="Q52" s="12">
        <v>0.1</v>
      </c>
    </row>
    <row r="53" spans="1:17" ht="15" customHeight="1" x14ac:dyDescent="0.25">
      <c r="A53" s="90"/>
      <c r="B53" s="83">
        <v>46</v>
      </c>
      <c r="C53" s="85">
        <f t="shared" si="0"/>
        <v>0</v>
      </c>
      <c r="D53" s="83">
        <f t="array" aca="1" ref="D53" ca="1">INDIRECT(ADDRESS(B53+ROW($D$7),MATCH($D$7,$F$7:$Q$7,0)+5))</f>
        <v>0.3</v>
      </c>
      <c r="E53" s="13">
        <f>报价及预中标!L47/4</f>
        <v>0</v>
      </c>
      <c r="F53" s="12">
        <v>0.1</v>
      </c>
      <c r="G53" s="12">
        <v>0.1</v>
      </c>
      <c r="H53" s="83">
        <v>0.1</v>
      </c>
      <c r="I53" s="83">
        <v>0.1</v>
      </c>
      <c r="J53" s="83">
        <v>0.1</v>
      </c>
      <c r="K53" s="83">
        <v>0.3</v>
      </c>
      <c r="L53" s="83">
        <v>1</v>
      </c>
      <c r="M53" s="83">
        <v>1</v>
      </c>
      <c r="N53" s="83">
        <v>0.1</v>
      </c>
      <c r="O53" s="83">
        <v>0.1</v>
      </c>
      <c r="P53" s="83">
        <v>0.1</v>
      </c>
      <c r="Q53" s="12">
        <v>0.1</v>
      </c>
    </row>
    <row r="54" spans="1:17" ht="15" customHeight="1" x14ac:dyDescent="0.25">
      <c r="A54" s="90"/>
      <c r="B54" s="83">
        <v>47</v>
      </c>
      <c r="C54" s="85">
        <f t="shared" si="0"/>
        <v>0</v>
      </c>
      <c r="D54" s="83">
        <f t="array" aca="1" ref="D54" ca="1">INDIRECT(ADDRESS(B54+ROW($D$7),MATCH($D$7,$F$7:$Q$7,0)+5))</f>
        <v>0.3</v>
      </c>
      <c r="E54" s="13">
        <f>报价及预中标!L48/4</f>
        <v>0</v>
      </c>
      <c r="F54" s="12">
        <v>0.1</v>
      </c>
      <c r="G54" s="12">
        <v>0.1</v>
      </c>
      <c r="H54" s="83">
        <v>0.1</v>
      </c>
      <c r="I54" s="83">
        <v>0.1</v>
      </c>
      <c r="J54" s="83">
        <v>0.1</v>
      </c>
      <c r="K54" s="83">
        <v>0.3</v>
      </c>
      <c r="L54" s="83">
        <v>1</v>
      </c>
      <c r="M54" s="83">
        <v>1</v>
      </c>
      <c r="N54" s="83">
        <v>0.1</v>
      </c>
      <c r="O54" s="83">
        <v>0.1</v>
      </c>
      <c r="P54" s="83">
        <v>0.1</v>
      </c>
      <c r="Q54" s="12">
        <v>0.1</v>
      </c>
    </row>
    <row r="55" spans="1:17" ht="15" customHeight="1" x14ac:dyDescent="0.25">
      <c r="A55" s="90"/>
      <c r="B55" s="83">
        <v>48</v>
      </c>
      <c r="C55" s="85">
        <f t="shared" si="0"/>
        <v>0</v>
      </c>
      <c r="D55" s="83">
        <f t="array" aca="1" ref="D55" ca="1">INDIRECT(ADDRESS(B55+ROW($D$7),MATCH($D$7,$F$7:$Q$7,0)+5))</f>
        <v>0.3</v>
      </c>
      <c r="E55" s="13">
        <f>报价及预中标!L49/4</f>
        <v>0</v>
      </c>
      <c r="F55" s="12">
        <v>0.1</v>
      </c>
      <c r="G55" s="12">
        <v>0.1</v>
      </c>
      <c r="H55" s="83">
        <v>0.1</v>
      </c>
      <c r="I55" s="83">
        <v>0.1</v>
      </c>
      <c r="J55" s="83">
        <v>0.1</v>
      </c>
      <c r="K55" s="83">
        <v>0.3</v>
      </c>
      <c r="L55" s="83">
        <v>1</v>
      </c>
      <c r="M55" s="83">
        <v>1</v>
      </c>
      <c r="N55" s="83">
        <v>0.1</v>
      </c>
      <c r="O55" s="83">
        <v>0.1</v>
      </c>
      <c r="P55" s="83">
        <v>0.1</v>
      </c>
      <c r="Q55" s="12">
        <v>0.1</v>
      </c>
    </row>
    <row r="56" spans="1:17" ht="15" customHeight="1" x14ac:dyDescent="0.25">
      <c r="A56" s="90">
        <v>13</v>
      </c>
      <c r="B56" s="83">
        <v>49</v>
      </c>
      <c r="C56" s="85">
        <f t="shared" si="0"/>
        <v>1</v>
      </c>
      <c r="D56" s="83">
        <f t="array" aca="1" ref="D56" ca="1">INDIRECT(ADDRESS(B56+ROW($D$7),MATCH($D$7,$F$7:$Q$7,0)+5))</f>
        <v>1</v>
      </c>
      <c r="E56" s="13">
        <f>报价及预中标!L50/4</f>
        <v>-23.75</v>
      </c>
      <c r="F56" s="12">
        <v>0.1</v>
      </c>
      <c r="G56" s="12">
        <v>0.1</v>
      </c>
      <c r="H56" s="83">
        <v>0.1</v>
      </c>
      <c r="I56" s="83">
        <v>0.1</v>
      </c>
      <c r="J56" s="83">
        <v>0.1</v>
      </c>
      <c r="K56" s="83">
        <v>1</v>
      </c>
      <c r="L56" s="83">
        <v>1</v>
      </c>
      <c r="M56" s="83">
        <v>1</v>
      </c>
      <c r="N56" s="83">
        <v>0.1</v>
      </c>
      <c r="O56" s="83">
        <v>0.1</v>
      </c>
      <c r="P56" s="83">
        <v>0.1</v>
      </c>
      <c r="Q56" s="12">
        <v>0.1</v>
      </c>
    </row>
    <row r="57" spans="1:17" ht="15" customHeight="1" x14ac:dyDescent="0.25">
      <c r="A57" s="90"/>
      <c r="B57" s="83">
        <v>50</v>
      </c>
      <c r="C57" s="85">
        <f t="shared" si="0"/>
        <v>1</v>
      </c>
      <c r="D57" s="83">
        <f t="array" aca="1" ref="D57" ca="1">INDIRECT(ADDRESS(B57+ROW($D$7),MATCH($D$7,$F$7:$Q$7,0)+5))</f>
        <v>1</v>
      </c>
      <c r="E57" s="13">
        <f>报价及预中标!L51/4</f>
        <v>-23.75</v>
      </c>
      <c r="F57" s="12">
        <v>0.1</v>
      </c>
      <c r="G57" s="12">
        <v>0.1</v>
      </c>
      <c r="H57" s="83">
        <v>0.1</v>
      </c>
      <c r="I57" s="83">
        <v>0.1</v>
      </c>
      <c r="J57" s="83">
        <v>0.1</v>
      </c>
      <c r="K57" s="83">
        <v>1</v>
      </c>
      <c r="L57" s="83">
        <v>1</v>
      </c>
      <c r="M57" s="83">
        <v>1</v>
      </c>
      <c r="N57" s="83">
        <v>0.1</v>
      </c>
      <c r="O57" s="83">
        <v>0.1</v>
      </c>
      <c r="P57" s="83">
        <v>0.1</v>
      </c>
      <c r="Q57" s="12">
        <v>0.1</v>
      </c>
    </row>
    <row r="58" spans="1:17" ht="15" customHeight="1" x14ac:dyDescent="0.25">
      <c r="A58" s="90"/>
      <c r="B58" s="83">
        <v>51</v>
      </c>
      <c r="C58" s="85">
        <f t="shared" si="0"/>
        <v>1</v>
      </c>
      <c r="D58" s="83">
        <f t="array" aca="1" ref="D58" ca="1">INDIRECT(ADDRESS(B58+ROW($D$7),MATCH($D$7,$F$7:$Q$7,0)+5))</f>
        <v>1</v>
      </c>
      <c r="E58" s="13">
        <f>报价及预中标!L52/4</f>
        <v>-23.75</v>
      </c>
      <c r="F58" s="12">
        <v>0.1</v>
      </c>
      <c r="G58" s="12">
        <v>0.1</v>
      </c>
      <c r="H58" s="83">
        <v>0.1</v>
      </c>
      <c r="I58" s="83">
        <v>0.1</v>
      </c>
      <c r="J58" s="83">
        <v>0.1</v>
      </c>
      <c r="K58" s="83">
        <v>1</v>
      </c>
      <c r="L58" s="83">
        <v>1</v>
      </c>
      <c r="M58" s="83">
        <v>1</v>
      </c>
      <c r="N58" s="83">
        <v>0.1</v>
      </c>
      <c r="O58" s="83">
        <v>0.1</v>
      </c>
      <c r="P58" s="83">
        <v>0.1</v>
      </c>
      <c r="Q58" s="12">
        <v>0.1</v>
      </c>
    </row>
    <row r="59" spans="1:17" ht="15" customHeight="1" x14ac:dyDescent="0.25">
      <c r="A59" s="90"/>
      <c r="B59" s="83">
        <v>52</v>
      </c>
      <c r="C59" s="85">
        <f t="shared" si="0"/>
        <v>1</v>
      </c>
      <c r="D59" s="83">
        <f t="array" aca="1" ref="D59" ca="1">INDIRECT(ADDRESS(B59+ROW($D$7),MATCH($D$7,$F$7:$Q$7,0)+5))</f>
        <v>1</v>
      </c>
      <c r="E59" s="13">
        <f>报价及预中标!L53/4</f>
        <v>-20.75</v>
      </c>
      <c r="F59" s="12">
        <v>0.1</v>
      </c>
      <c r="G59" s="12">
        <v>0.1</v>
      </c>
      <c r="H59" s="83">
        <v>0.1</v>
      </c>
      <c r="I59" s="83">
        <v>0.1</v>
      </c>
      <c r="J59" s="83">
        <v>0.1</v>
      </c>
      <c r="K59" s="83">
        <v>1</v>
      </c>
      <c r="L59" s="83">
        <v>1</v>
      </c>
      <c r="M59" s="83">
        <v>1</v>
      </c>
      <c r="N59" s="83">
        <v>0.1</v>
      </c>
      <c r="O59" s="83">
        <v>0.1</v>
      </c>
      <c r="P59" s="83">
        <v>0.1</v>
      </c>
      <c r="Q59" s="12">
        <v>0.1</v>
      </c>
    </row>
    <row r="60" spans="1:17" ht="15" customHeight="1" x14ac:dyDescent="0.25">
      <c r="A60" s="90">
        <v>14</v>
      </c>
      <c r="B60" s="83">
        <v>53</v>
      </c>
      <c r="C60" s="85">
        <f t="shared" si="0"/>
        <v>1</v>
      </c>
      <c r="D60" s="83">
        <f t="array" aca="1" ref="D60" ca="1">INDIRECT(ADDRESS(B60+ROW($D$7),MATCH($D$7,$F$7:$Q$7,0)+5))</f>
        <v>1</v>
      </c>
      <c r="E60" s="13">
        <f>报价及预中标!L54/4</f>
        <v>-20.75</v>
      </c>
      <c r="F60" s="12">
        <v>0.1</v>
      </c>
      <c r="G60" s="12">
        <v>0.1</v>
      </c>
      <c r="H60" s="83">
        <v>0.1</v>
      </c>
      <c r="I60" s="83">
        <v>0.1</v>
      </c>
      <c r="J60" s="83">
        <v>0.1</v>
      </c>
      <c r="K60" s="83">
        <v>1</v>
      </c>
      <c r="L60" s="83">
        <v>1</v>
      </c>
      <c r="M60" s="83">
        <v>1</v>
      </c>
      <c r="N60" s="83">
        <v>0.1</v>
      </c>
      <c r="O60" s="83">
        <v>0.1</v>
      </c>
      <c r="P60" s="83">
        <v>0.1</v>
      </c>
      <c r="Q60" s="12">
        <v>0.1</v>
      </c>
    </row>
    <row r="61" spans="1:17" ht="15" customHeight="1" x14ac:dyDescent="0.25">
      <c r="A61" s="90"/>
      <c r="B61" s="83">
        <v>54</v>
      </c>
      <c r="C61" s="85">
        <f t="shared" si="0"/>
        <v>1</v>
      </c>
      <c r="D61" s="83">
        <f t="array" aca="1" ref="D61" ca="1">INDIRECT(ADDRESS(B61+ROW($D$7),MATCH($D$7,$F$7:$Q$7,0)+5))</f>
        <v>1</v>
      </c>
      <c r="E61" s="13">
        <f>报价及预中标!L55/4</f>
        <v>-20.75</v>
      </c>
      <c r="F61" s="12">
        <v>0.1</v>
      </c>
      <c r="G61" s="12">
        <v>0.1</v>
      </c>
      <c r="H61" s="83">
        <v>0.1</v>
      </c>
      <c r="I61" s="83">
        <v>0.1</v>
      </c>
      <c r="J61" s="83">
        <v>0.1</v>
      </c>
      <c r="K61" s="83">
        <v>1</v>
      </c>
      <c r="L61" s="83">
        <v>1</v>
      </c>
      <c r="M61" s="83">
        <v>1</v>
      </c>
      <c r="N61" s="83">
        <v>0.1</v>
      </c>
      <c r="O61" s="83">
        <v>0.1</v>
      </c>
      <c r="P61" s="83">
        <v>0.1</v>
      </c>
      <c r="Q61" s="12">
        <v>0.1</v>
      </c>
    </row>
    <row r="62" spans="1:17" ht="15" customHeight="1" x14ac:dyDescent="0.25">
      <c r="A62" s="90"/>
      <c r="B62" s="83">
        <v>55</v>
      </c>
      <c r="C62" s="85">
        <f t="shared" si="0"/>
        <v>1</v>
      </c>
      <c r="D62" s="83">
        <f t="array" aca="1" ref="D62" ca="1">INDIRECT(ADDRESS(B62+ROW($D$7),MATCH($D$7,$F$7:$Q$7,0)+5))</f>
        <v>1</v>
      </c>
      <c r="E62" s="13">
        <f>报价及预中标!L56/4</f>
        <v>-20.75</v>
      </c>
      <c r="F62" s="12">
        <v>0.1</v>
      </c>
      <c r="G62" s="12">
        <v>0.1</v>
      </c>
      <c r="H62" s="83">
        <v>0.1</v>
      </c>
      <c r="I62" s="83">
        <v>0.1</v>
      </c>
      <c r="J62" s="83">
        <v>0.1</v>
      </c>
      <c r="K62" s="83">
        <v>1</v>
      </c>
      <c r="L62" s="83">
        <v>1</v>
      </c>
      <c r="M62" s="83">
        <v>1</v>
      </c>
      <c r="N62" s="83">
        <v>0.1</v>
      </c>
      <c r="O62" s="83">
        <v>0.1</v>
      </c>
      <c r="P62" s="83">
        <v>0.1</v>
      </c>
      <c r="Q62" s="12">
        <v>0.1</v>
      </c>
    </row>
    <row r="63" spans="1:17" ht="15" customHeight="1" x14ac:dyDescent="0.25">
      <c r="A63" s="90"/>
      <c r="B63" s="83">
        <v>56</v>
      </c>
      <c r="C63" s="85">
        <f t="shared" si="0"/>
        <v>0</v>
      </c>
      <c r="D63" s="83">
        <f t="array" aca="1" ref="D63" ca="1">INDIRECT(ADDRESS(B63+ROW($D$7),MATCH($D$7,$F$7:$Q$7,0)+5))</f>
        <v>1</v>
      </c>
      <c r="E63" s="13">
        <f>报价及预中标!L57/4</f>
        <v>0</v>
      </c>
      <c r="F63" s="12">
        <v>0.1</v>
      </c>
      <c r="G63" s="12">
        <v>0.1</v>
      </c>
      <c r="H63" s="83">
        <v>0.1</v>
      </c>
      <c r="I63" s="83">
        <v>0.1</v>
      </c>
      <c r="J63" s="83">
        <v>0.1</v>
      </c>
      <c r="K63" s="83">
        <v>1</v>
      </c>
      <c r="L63" s="83">
        <v>1</v>
      </c>
      <c r="M63" s="83">
        <v>1</v>
      </c>
      <c r="N63" s="83">
        <v>0.1</v>
      </c>
      <c r="O63" s="83">
        <v>0.1</v>
      </c>
      <c r="P63" s="83">
        <v>0.1</v>
      </c>
      <c r="Q63" s="12">
        <v>0.1</v>
      </c>
    </row>
    <row r="64" spans="1:17" ht="15" customHeight="1" x14ac:dyDescent="0.25">
      <c r="A64" s="90">
        <v>15</v>
      </c>
      <c r="B64" s="83">
        <v>57</v>
      </c>
      <c r="C64" s="85">
        <f t="shared" si="0"/>
        <v>0</v>
      </c>
      <c r="D64" s="83">
        <f t="array" aca="1" ref="D64" ca="1">INDIRECT(ADDRESS(B64+ROW($D$7),MATCH($D$7,$F$7:$Q$7,0)+5))</f>
        <v>1</v>
      </c>
      <c r="E64" s="13">
        <f>报价及预中标!L58/4</f>
        <v>0</v>
      </c>
      <c r="F64" s="12">
        <v>0.3</v>
      </c>
      <c r="G64" s="12">
        <v>0.3</v>
      </c>
      <c r="H64" s="83">
        <v>0.3</v>
      </c>
      <c r="I64" s="83">
        <v>0.3</v>
      </c>
      <c r="J64" s="83">
        <v>0.3</v>
      </c>
      <c r="K64" s="83">
        <v>1</v>
      </c>
      <c r="L64" s="83">
        <v>1</v>
      </c>
      <c r="M64" s="83">
        <v>1</v>
      </c>
      <c r="N64" s="83">
        <v>0.3</v>
      </c>
      <c r="O64" s="83">
        <v>0.3</v>
      </c>
      <c r="P64" s="83">
        <v>0.3</v>
      </c>
      <c r="Q64" s="12">
        <v>0.3</v>
      </c>
    </row>
    <row r="65" spans="1:17" ht="15" customHeight="1" x14ac:dyDescent="0.25">
      <c r="A65" s="90"/>
      <c r="B65" s="83">
        <v>58</v>
      </c>
      <c r="C65" s="85">
        <f t="shared" si="0"/>
        <v>0</v>
      </c>
      <c r="D65" s="83">
        <f t="array" aca="1" ref="D65" ca="1">INDIRECT(ADDRESS(B65+ROW($D$7),MATCH($D$7,$F$7:$Q$7,0)+5))</f>
        <v>1</v>
      </c>
      <c r="E65" s="13">
        <f>报价及预中标!L59/4</f>
        <v>0</v>
      </c>
      <c r="F65" s="12">
        <v>0.3</v>
      </c>
      <c r="G65" s="12">
        <v>0.3</v>
      </c>
      <c r="H65" s="83">
        <v>0.3</v>
      </c>
      <c r="I65" s="83">
        <v>0.3</v>
      </c>
      <c r="J65" s="83">
        <v>0.3</v>
      </c>
      <c r="K65" s="83">
        <v>1</v>
      </c>
      <c r="L65" s="83">
        <v>1</v>
      </c>
      <c r="M65" s="83">
        <v>1</v>
      </c>
      <c r="N65" s="83">
        <v>0.3</v>
      </c>
      <c r="O65" s="83">
        <v>0.3</v>
      </c>
      <c r="P65" s="83">
        <v>0.3</v>
      </c>
      <c r="Q65" s="12">
        <v>0.3</v>
      </c>
    </row>
    <row r="66" spans="1:17" ht="15" customHeight="1" x14ac:dyDescent="0.25">
      <c r="A66" s="90"/>
      <c r="B66" s="83">
        <v>59</v>
      </c>
      <c r="C66" s="85">
        <f t="shared" si="0"/>
        <v>0</v>
      </c>
      <c r="D66" s="83">
        <f t="array" aca="1" ref="D66" ca="1">INDIRECT(ADDRESS(B66+ROW($D$7),MATCH($D$7,$F$7:$Q$7,0)+5))</f>
        <v>1</v>
      </c>
      <c r="E66" s="13">
        <f>报价及预中标!L60/4</f>
        <v>0</v>
      </c>
      <c r="F66" s="12">
        <v>0.3</v>
      </c>
      <c r="G66" s="12">
        <v>0.3</v>
      </c>
      <c r="H66" s="83">
        <v>0.3</v>
      </c>
      <c r="I66" s="83">
        <v>0.3</v>
      </c>
      <c r="J66" s="83">
        <v>0.3</v>
      </c>
      <c r="K66" s="83">
        <v>1</v>
      </c>
      <c r="L66" s="83">
        <v>1</v>
      </c>
      <c r="M66" s="83">
        <v>1</v>
      </c>
      <c r="N66" s="83">
        <v>0.3</v>
      </c>
      <c r="O66" s="83">
        <v>0.3</v>
      </c>
      <c r="P66" s="83">
        <v>0.3</v>
      </c>
      <c r="Q66" s="12">
        <v>0.3</v>
      </c>
    </row>
    <row r="67" spans="1:17" ht="15" customHeight="1" x14ac:dyDescent="0.25">
      <c r="A67" s="90"/>
      <c r="B67" s="83">
        <v>60</v>
      </c>
      <c r="C67" s="85">
        <f t="shared" si="0"/>
        <v>0</v>
      </c>
      <c r="D67" s="83">
        <f t="array" aca="1" ref="D67" ca="1">INDIRECT(ADDRESS(B67+ROW($D$7),MATCH($D$7,$F$7:$Q$7,0)+5))</f>
        <v>1</v>
      </c>
      <c r="E67" s="13">
        <f>报价及预中标!L61/4</f>
        <v>0</v>
      </c>
      <c r="F67" s="12">
        <v>0.3</v>
      </c>
      <c r="G67" s="12">
        <v>0.3</v>
      </c>
      <c r="H67" s="83">
        <v>0.3</v>
      </c>
      <c r="I67" s="83">
        <v>0.3</v>
      </c>
      <c r="J67" s="83">
        <v>0.3</v>
      </c>
      <c r="K67" s="83">
        <v>1</v>
      </c>
      <c r="L67" s="83">
        <v>1</v>
      </c>
      <c r="M67" s="83">
        <v>1</v>
      </c>
      <c r="N67" s="83">
        <v>0.3</v>
      </c>
      <c r="O67" s="83">
        <v>0.3</v>
      </c>
      <c r="P67" s="83">
        <v>0.3</v>
      </c>
      <c r="Q67" s="12">
        <v>0.3</v>
      </c>
    </row>
    <row r="68" spans="1:17" ht="15" customHeight="1" x14ac:dyDescent="0.25">
      <c r="A68" s="90">
        <v>16</v>
      </c>
      <c r="B68" s="83">
        <v>61</v>
      </c>
      <c r="C68" s="85">
        <f t="shared" si="0"/>
        <v>0</v>
      </c>
      <c r="D68" s="83">
        <f t="array" aca="1" ref="D68" ca="1">INDIRECT(ADDRESS(B68+ROW($D$7),MATCH($D$7,$F$7:$Q$7,0)+5))</f>
        <v>1.7</v>
      </c>
      <c r="E68" s="13">
        <f>报价及预中标!L62/4</f>
        <v>0</v>
      </c>
      <c r="F68" s="12">
        <v>2</v>
      </c>
      <c r="G68" s="12">
        <v>2</v>
      </c>
      <c r="H68" s="83">
        <v>1</v>
      </c>
      <c r="I68" s="83">
        <v>1</v>
      </c>
      <c r="J68" s="83">
        <v>1</v>
      </c>
      <c r="K68" s="83">
        <v>1.7</v>
      </c>
      <c r="L68" s="83">
        <v>1.7</v>
      </c>
      <c r="M68" s="83">
        <v>1.7</v>
      </c>
      <c r="N68" s="83">
        <v>1.7</v>
      </c>
      <c r="O68" s="83">
        <v>1.7</v>
      </c>
      <c r="P68" s="83">
        <v>1.7</v>
      </c>
      <c r="Q68" s="12">
        <v>2</v>
      </c>
    </row>
    <row r="69" spans="1:17" ht="15" customHeight="1" x14ac:dyDescent="0.25">
      <c r="A69" s="90"/>
      <c r="B69" s="83">
        <v>62</v>
      </c>
      <c r="C69" s="85">
        <f t="shared" si="0"/>
        <v>0</v>
      </c>
      <c r="D69" s="83">
        <f t="array" aca="1" ref="D69" ca="1">INDIRECT(ADDRESS(B69+ROW($D$7),MATCH($D$7,$F$7:$Q$7,0)+5))</f>
        <v>1.7</v>
      </c>
      <c r="E69" s="13">
        <f>报价及预中标!L63/4</f>
        <v>0</v>
      </c>
      <c r="F69" s="12">
        <v>2</v>
      </c>
      <c r="G69" s="12">
        <v>2</v>
      </c>
      <c r="H69" s="83">
        <v>1</v>
      </c>
      <c r="I69" s="83">
        <v>1</v>
      </c>
      <c r="J69" s="83">
        <v>1</v>
      </c>
      <c r="K69" s="83">
        <v>1.7</v>
      </c>
      <c r="L69" s="83">
        <v>1.7</v>
      </c>
      <c r="M69" s="83">
        <v>1.7</v>
      </c>
      <c r="N69" s="83">
        <v>1.7</v>
      </c>
      <c r="O69" s="83">
        <v>1.7</v>
      </c>
      <c r="P69" s="83">
        <v>1.7</v>
      </c>
      <c r="Q69" s="12">
        <v>2</v>
      </c>
    </row>
    <row r="70" spans="1:17" ht="15" customHeight="1" x14ac:dyDescent="0.25">
      <c r="A70" s="90"/>
      <c r="B70" s="83">
        <v>63</v>
      </c>
      <c r="C70" s="85">
        <f t="shared" si="0"/>
        <v>0</v>
      </c>
      <c r="D70" s="83">
        <f t="array" aca="1" ref="D70" ca="1">INDIRECT(ADDRESS(B70+ROW($D$7),MATCH($D$7,$F$7:$Q$7,0)+5))</f>
        <v>1.7</v>
      </c>
      <c r="E70" s="13">
        <f>报价及预中标!L64/4</f>
        <v>0</v>
      </c>
      <c r="F70" s="12">
        <v>2</v>
      </c>
      <c r="G70" s="12">
        <v>2</v>
      </c>
      <c r="H70" s="83">
        <v>1</v>
      </c>
      <c r="I70" s="83">
        <v>1</v>
      </c>
      <c r="J70" s="83">
        <v>1</v>
      </c>
      <c r="K70" s="83">
        <v>1.7</v>
      </c>
      <c r="L70" s="83">
        <v>1.7</v>
      </c>
      <c r="M70" s="83">
        <v>1.7</v>
      </c>
      <c r="N70" s="83">
        <v>1.7</v>
      </c>
      <c r="O70" s="83">
        <v>1.7</v>
      </c>
      <c r="P70" s="83">
        <v>1.7</v>
      </c>
      <c r="Q70" s="12">
        <v>2</v>
      </c>
    </row>
    <row r="71" spans="1:17" ht="15" customHeight="1" x14ac:dyDescent="0.25">
      <c r="A71" s="90"/>
      <c r="B71" s="83">
        <v>64</v>
      </c>
      <c r="C71" s="85">
        <f t="shared" si="0"/>
        <v>0</v>
      </c>
      <c r="D71" s="83">
        <f t="array" aca="1" ref="D71" ca="1">INDIRECT(ADDRESS(B71+ROW($D$7),MATCH($D$7,$F$7:$Q$7,0)+5))</f>
        <v>1.7</v>
      </c>
      <c r="E71" s="13">
        <f>报价及预中标!L65/4</f>
        <v>0</v>
      </c>
      <c r="F71" s="12">
        <v>2</v>
      </c>
      <c r="G71" s="12">
        <v>2</v>
      </c>
      <c r="H71" s="83">
        <v>1</v>
      </c>
      <c r="I71" s="83">
        <v>1</v>
      </c>
      <c r="J71" s="83">
        <v>1</v>
      </c>
      <c r="K71" s="83">
        <v>1.7</v>
      </c>
      <c r="L71" s="83">
        <v>1.7</v>
      </c>
      <c r="M71" s="83">
        <v>1.7</v>
      </c>
      <c r="N71" s="83">
        <v>1.7</v>
      </c>
      <c r="O71" s="83">
        <v>1.7</v>
      </c>
      <c r="P71" s="83">
        <v>1.7</v>
      </c>
      <c r="Q71" s="12">
        <v>2</v>
      </c>
    </row>
    <row r="72" spans="1:17" ht="15" customHeight="1" x14ac:dyDescent="0.25">
      <c r="A72" s="90">
        <v>17</v>
      </c>
      <c r="B72" s="83">
        <v>65</v>
      </c>
      <c r="C72" s="85">
        <f t="shared" si="0"/>
        <v>0</v>
      </c>
      <c r="D72" s="83">
        <f t="array" aca="1" ref="D72" ca="1">INDIRECT(ADDRESS(B72+ROW($D$7),MATCH($D$7,$F$7:$Q$7,0)+5))</f>
        <v>2</v>
      </c>
      <c r="E72" s="13">
        <f>报价及预中标!L66/4</f>
        <v>0</v>
      </c>
      <c r="F72" s="12">
        <v>2</v>
      </c>
      <c r="G72" s="12">
        <v>2</v>
      </c>
      <c r="H72" s="83">
        <v>2</v>
      </c>
      <c r="I72" s="83">
        <v>2</v>
      </c>
      <c r="J72" s="83">
        <v>2</v>
      </c>
      <c r="K72" s="83">
        <v>2</v>
      </c>
      <c r="L72" s="83">
        <v>2</v>
      </c>
      <c r="M72" s="83">
        <v>2</v>
      </c>
      <c r="N72" s="83">
        <v>2</v>
      </c>
      <c r="O72" s="83">
        <v>2</v>
      </c>
      <c r="P72" s="83">
        <v>2</v>
      </c>
      <c r="Q72" s="12">
        <v>2</v>
      </c>
    </row>
    <row r="73" spans="1:17" ht="15" customHeight="1" x14ac:dyDescent="0.25">
      <c r="A73" s="90"/>
      <c r="B73" s="83">
        <v>66</v>
      </c>
      <c r="C73" s="85">
        <f t="shared" ref="C73:C103" si="1">IF(E73&lt;0,1,0)</f>
        <v>0</v>
      </c>
      <c r="D73" s="83">
        <f t="array" aca="1" ref="D73" ca="1">INDIRECT(ADDRESS(B73+ROW($D$7),MATCH($D$7,$F$7:$Q$7,0)+5))</f>
        <v>2</v>
      </c>
      <c r="E73" s="13">
        <f>报价及预中标!L67/4</f>
        <v>0</v>
      </c>
      <c r="F73" s="12">
        <v>2</v>
      </c>
      <c r="G73" s="12">
        <v>2</v>
      </c>
      <c r="H73" s="83">
        <v>2</v>
      </c>
      <c r="I73" s="83">
        <v>2</v>
      </c>
      <c r="J73" s="83">
        <v>2</v>
      </c>
      <c r="K73" s="83">
        <v>2</v>
      </c>
      <c r="L73" s="83">
        <v>2</v>
      </c>
      <c r="M73" s="83">
        <v>2</v>
      </c>
      <c r="N73" s="83">
        <v>2</v>
      </c>
      <c r="O73" s="83">
        <v>2</v>
      </c>
      <c r="P73" s="83">
        <v>2</v>
      </c>
      <c r="Q73" s="12">
        <v>2</v>
      </c>
    </row>
    <row r="74" spans="1:17" ht="15" customHeight="1" x14ac:dyDescent="0.25">
      <c r="A74" s="90"/>
      <c r="B74" s="83">
        <v>67</v>
      </c>
      <c r="C74" s="85">
        <f t="shared" si="1"/>
        <v>0</v>
      </c>
      <c r="D74" s="83">
        <f t="array" aca="1" ref="D74" ca="1">INDIRECT(ADDRESS(B74+ROW($D$7),MATCH($D$7,$F$7:$Q$7,0)+5))</f>
        <v>2</v>
      </c>
      <c r="E74" s="13">
        <f>报价及预中标!L68/4</f>
        <v>0</v>
      </c>
      <c r="F74" s="12">
        <v>2</v>
      </c>
      <c r="G74" s="12">
        <v>2</v>
      </c>
      <c r="H74" s="83">
        <v>2</v>
      </c>
      <c r="I74" s="83">
        <v>2</v>
      </c>
      <c r="J74" s="83">
        <v>2</v>
      </c>
      <c r="K74" s="83">
        <v>2</v>
      </c>
      <c r="L74" s="83">
        <v>2</v>
      </c>
      <c r="M74" s="83">
        <v>2</v>
      </c>
      <c r="N74" s="83">
        <v>2</v>
      </c>
      <c r="O74" s="83">
        <v>2</v>
      </c>
      <c r="P74" s="83">
        <v>2</v>
      </c>
      <c r="Q74" s="12">
        <v>2</v>
      </c>
    </row>
    <row r="75" spans="1:17" ht="15" customHeight="1" x14ac:dyDescent="0.25">
      <c r="A75" s="90"/>
      <c r="B75" s="83">
        <v>68</v>
      </c>
      <c r="C75" s="85">
        <f t="shared" si="1"/>
        <v>1</v>
      </c>
      <c r="D75" s="83">
        <f t="array" aca="1" ref="D75" ca="1">INDIRECT(ADDRESS(B75+ROW($D$7),MATCH($D$7,$F$7:$Q$7,0)+5))</f>
        <v>2</v>
      </c>
      <c r="E75" s="13">
        <f>报价及预中标!L69/4</f>
        <v>-23.75</v>
      </c>
      <c r="F75" s="12">
        <v>2</v>
      </c>
      <c r="G75" s="12">
        <v>2</v>
      </c>
      <c r="H75" s="83">
        <v>2</v>
      </c>
      <c r="I75" s="83">
        <v>2</v>
      </c>
      <c r="J75" s="83">
        <v>2</v>
      </c>
      <c r="K75" s="83">
        <v>2</v>
      </c>
      <c r="L75" s="83">
        <v>2</v>
      </c>
      <c r="M75" s="83">
        <v>2</v>
      </c>
      <c r="N75" s="83">
        <v>2</v>
      </c>
      <c r="O75" s="83">
        <v>2</v>
      </c>
      <c r="P75" s="83">
        <v>2</v>
      </c>
      <c r="Q75" s="12">
        <v>2</v>
      </c>
    </row>
    <row r="76" spans="1:17" ht="15" customHeight="1" x14ac:dyDescent="0.25">
      <c r="A76" s="90">
        <v>18</v>
      </c>
      <c r="B76" s="83">
        <v>69</v>
      </c>
      <c r="C76" s="85">
        <f t="shared" si="1"/>
        <v>0</v>
      </c>
      <c r="D76" s="83">
        <f t="array" aca="1" ref="D76" ca="1">INDIRECT(ADDRESS(B76+ROW($D$7),MATCH($D$7,$F$7:$Q$7,0)+5))</f>
        <v>2</v>
      </c>
      <c r="E76" s="13">
        <f>报价及预中标!L70/4</f>
        <v>0</v>
      </c>
      <c r="F76" s="12">
        <v>2</v>
      </c>
      <c r="G76" s="12">
        <v>2</v>
      </c>
      <c r="H76" s="83">
        <v>2</v>
      </c>
      <c r="I76" s="83">
        <v>2</v>
      </c>
      <c r="J76" s="83">
        <v>2</v>
      </c>
      <c r="K76" s="83">
        <v>2</v>
      </c>
      <c r="L76" s="83">
        <v>2</v>
      </c>
      <c r="M76" s="83">
        <v>2</v>
      </c>
      <c r="N76" s="83">
        <v>2</v>
      </c>
      <c r="O76" s="83">
        <v>2</v>
      </c>
      <c r="P76" s="83">
        <v>2</v>
      </c>
      <c r="Q76" s="12">
        <v>2</v>
      </c>
    </row>
    <row r="77" spans="1:17" ht="15" customHeight="1" x14ac:dyDescent="0.25">
      <c r="A77" s="90"/>
      <c r="B77" s="83">
        <v>70</v>
      </c>
      <c r="C77" s="85">
        <f t="shared" si="1"/>
        <v>0</v>
      </c>
      <c r="D77" s="83">
        <f t="array" aca="1" ref="D77" ca="1">INDIRECT(ADDRESS(B77+ROW($D$7),MATCH($D$7,$F$7:$Q$7,0)+5))</f>
        <v>2</v>
      </c>
      <c r="E77" s="13">
        <f>报价及预中标!L71/4</f>
        <v>0</v>
      </c>
      <c r="F77" s="12">
        <v>2</v>
      </c>
      <c r="G77" s="12">
        <v>2</v>
      </c>
      <c r="H77" s="83">
        <v>2</v>
      </c>
      <c r="I77" s="83">
        <v>2</v>
      </c>
      <c r="J77" s="83">
        <v>2</v>
      </c>
      <c r="K77" s="83">
        <v>2</v>
      </c>
      <c r="L77" s="83">
        <v>2</v>
      </c>
      <c r="M77" s="83">
        <v>2</v>
      </c>
      <c r="N77" s="83">
        <v>2</v>
      </c>
      <c r="O77" s="83">
        <v>2</v>
      </c>
      <c r="P77" s="83">
        <v>2</v>
      </c>
      <c r="Q77" s="12">
        <v>2</v>
      </c>
    </row>
    <row r="78" spans="1:17" ht="15" customHeight="1" x14ac:dyDescent="0.25">
      <c r="A78" s="90"/>
      <c r="B78" s="83">
        <v>71</v>
      </c>
      <c r="C78" s="85">
        <f t="shared" si="1"/>
        <v>0</v>
      </c>
      <c r="D78" s="83">
        <f t="array" aca="1" ref="D78" ca="1">INDIRECT(ADDRESS(B78+ROW($D$7),MATCH($D$7,$F$7:$Q$7,0)+5))</f>
        <v>2</v>
      </c>
      <c r="E78" s="13">
        <f>报价及预中标!L72/4</f>
        <v>0</v>
      </c>
      <c r="F78" s="12">
        <v>2</v>
      </c>
      <c r="G78" s="12">
        <v>2</v>
      </c>
      <c r="H78" s="83">
        <v>2</v>
      </c>
      <c r="I78" s="83">
        <v>2</v>
      </c>
      <c r="J78" s="83">
        <v>2</v>
      </c>
      <c r="K78" s="83">
        <v>2</v>
      </c>
      <c r="L78" s="83">
        <v>2</v>
      </c>
      <c r="M78" s="83">
        <v>2</v>
      </c>
      <c r="N78" s="83">
        <v>2</v>
      </c>
      <c r="O78" s="83">
        <v>2</v>
      </c>
      <c r="P78" s="83">
        <v>2</v>
      </c>
      <c r="Q78" s="12">
        <v>2</v>
      </c>
    </row>
    <row r="79" spans="1:17" ht="15" customHeight="1" x14ac:dyDescent="0.25">
      <c r="A79" s="90"/>
      <c r="B79" s="83">
        <v>72</v>
      </c>
      <c r="C79" s="85">
        <f t="shared" si="1"/>
        <v>0</v>
      </c>
      <c r="D79" s="83">
        <f t="array" aca="1" ref="D79" ca="1">INDIRECT(ADDRESS(B79+ROW($D$7),MATCH($D$7,$F$7:$Q$7,0)+5))</f>
        <v>2</v>
      </c>
      <c r="E79" s="13">
        <f>报价及预中标!L73/4</f>
        <v>0</v>
      </c>
      <c r="F79" s="12">
        <v>2</v>
      </c>
      <c r="G79" s="12">
        <v>2</v>
      </c>
      <c r="H79" s="83">
        <v>2</v>
      </c>
      <c r="I79" s="83">
        <v>2</v>
      </c>
      <c r="J79" s="83">
        <v>2</v>
      </c>
      <c r="K79" s="83">
        <v>2</v>
      </c>
      <c r="L79" s="83">
        <v>2</v>
      </c>
      <c r="M79" s="83">
        <v>2</v>
      </c>
      <c r="N79" s="83">
        <v>2</v>
      </c>
      <c r="O79" s="83">
        <v>2</v>
      </c>
      <c r="P79" s="83">
        <v>2</v>
      </c>
      <c r="Q79" s="12">
        <v>2</v>
      </c>
    </row>
    <row r="80" spans="1:17" ht="15" customHeight="1" x14ac:dyDescent="0.25">
      <c r="A80" s="90">
        <v>19</v>
      </c>
      <c r="B80" s="83">
        <v>73</v>
      </c>
      <c r="C80" s="85">
        <f t="shared" si="1"/>
        <v>0</v>
      </c>
      <c r="D80" s="83">
        <f t="array" aca="1" ref="D80" ca="1">INDIRECT(ADDRESS(B80+ROW($D$7),MATCH($D$7,$F$7:$Q$7,0)+5))</f>
        <v>2</v>
      </c>
      <c r="E80" s="13">
        <f>报价及预中标!L74/4</f>
        <v>0</v>
      </c>
      <c r="F80" s="12">
        <v>2</v>
      </c>
      <c r="G80" s="12">
        <v>2</v>
      </c>
      <c r="H80" s="83">
        <v>2</v>
      </c>
      <c r="I80" s="83">
        <v>2</v>
      </c>
      <c r="J80" s="83">
        <v>2</v>
      </c>
      <c r="K80" s="83">
        <v>2</v>
      </c>
      <c r="L80" s="83">
        <v>2</v>
      </c>
      <c r="M80" s="83">
        <v>2</v>
      </c>
      <c r="N80" s="83">
        <v>2</v>
      </c>
      <c r="O80" s="83">
        <v>2</v>
      </c>
      <c r="P80" s="83">
        <v>2</v>
      </c>
      <c r="Q80" s="12">
        <v>2</v>
      </c>
    </row>
    <row r="81" spans="1:17" ht="15" customHeight="1" x14ac:dyDescent="0.25">
      <c r="A81" s="90"/>
      <c r="B81" s="83">
        <v>74</v>
      </c>
      <c r="C81" s="85">
        <f t="shared" si="1"/>
        <v>0</v>
      </c>
      <c r="D81" s="83">
        <f t="array" aca="1" ref="D81" ca="1">INDIRECT(ADDRESS(B81+ROW($D$7),MATCH($D$7,$F$7:$Q$7,0)+5))</f>
        <v>2</v>
      </c>
      <c r="E81" s="13">
        <f>报价及预中标!L75/4</f>
        <v>0</v>
      </c>
      <c r="F81" s="12">
        <v>2</v>
      </c>
      <c r="G81" s="12">
        <v>2</v>
      </c>
      <c r="H81" s="83">
        <v>2</v>
      </c>
      <c r="I81" s="83">
        <v>2</v>
      </c>
      <c r="J81" s="83">
        <v>2</v>
      </c>
      <c r="K81" s="83">
        <v>2</v>
      </c>
      <c r="L81" s="83">
        <v>2</v>
      </c>
      <c r="M81" s="83">
        <v>2</v>
      </c>
      <c r="N81" s="83">
        <v>2</v>
      </c>
      <c r="O81" s="83">
        <v>2</v>
      </c>
      <c r="P81" s="83">
        <v>2</v>
      </c>
      <c r="Q81" s="12">
        <v>2</v>
      </c>
    </row>
    <row r="82" spans="1:17" ht="15" customHeight="1" x14ac:dyDescent="0.25">
      <c r="A82" s="90"/>
      <c r="B82" s="83">
        <v>75</v>
      </c>
      <c r="C82" s="85">
        <f t="shared" si="1"/>
        <v>0</v>
      </c>
      <c r="D82" s="83">
        <f t="array" aca="1" ref="D82" ca="1">INDIRECT(ADDRESS(B82+ROW($D$7),MATCH($D$7,$F$7:$Q$7,0)+5))</f>
        <v>2</v>
      </c>
      <c r="E82" s="13">
        <f>报价及预中标!L76/4</f>
        <v>0</v>
      </c>
      <c r="F82" s="12">
        <v>2</v>
      </c>
      <c r="G82" s="12">
        <v>2</v>
      </c>
      <c r="H82" s="83">
        <v>2</v>
      </c>
      <c r="I82" s="83">
        <v>2</v>
      </c>
      <c r="J82" s="83">
        <v>2</v>
      </c>
      <c r="K82" s="83">
        <v>2</v>
      </c>
      <c r="L82" s="83">
        <v>2</v>
      </c>
      <c r="M82" s="83">
        <v>2</v>
      </c>
      <c r="N82" s="83">
        <v>2</v>
      </c>
      <c r="O82" s="83">
        <v>2</v>
      </c>
      <c r="P82" s="83">
        <v>2</v>
      </c>
      <c r="Q82" s="12">
        <v>2</v>
      </c>
    </row>
    <row r="83" spans="1:17" ht="15" customHeight="1" x14ac:dyDescent="0.25">
      <c r="A83" s="90"/>
      <c r="B83" s="83">
        <v>76</v>
      </c>
      <c r="C83" s="85">
        <f t="shared" si="1"/>
        <v>0</v>
      </c>
      <c r="D83" s="83">
        <f t="array" aca="1" ref="D83" ca="1">INDIRECT(ADDRESS(B83+ROW($D$7),MATCH($D$7,$F$7:$Q$7,0)+5))</f>
        <v>2</v>
      </c>
      <c r="E83" s="13">
        <f>报价及预中标!L77/4</f>
        <v>0</v>
      </c>
      <c r="F83" s="12">
        <v>2</v>
      </c>
      <c r="G83" s="12">
        <v>2</v>
      </c>
      <c r="H83" s="83">
        <v>2</v>
      </c>
      <c r="I83" s="83">
        <v>2</v>
      </c>
      <c r="J83" s="83">
        <v>2</v>
      </c>
      <c r="K83" s="83">
        <v>2</v>
      </c>
      <c r="L83" s="83">
        <v>2</v>
      </c>
      <c r="M83" s="83">
        <v>2</v>
      </c>
      <c r="N83" s="83">
        <v>2</v>
      </c>
      <c r="O83" s="83">
        <v>2</v>
      </c>
      <c r="P83" s="83">
        <v>2</v>
      </c>
      <c r="Q83" s="12">
        <v>2</v>
      </c>
    </row>
    <row r="84" spans="1:17" ht="15" customHeight="1" x14ac:dyDescent="0.25">
      <c r="A84" s="90">
        <v>20</v>
      </c>
      <c r="B84" s="83">
        <v>77</v>
      </c>
      <c r="C84" s="85">
        <f t="shared" si="1"/>
        <v>0</v>
      </c>
      <c r="D84" s="83">
        <f t="array" aca="1" ref="D84" ca="1">INDIRECT(ADDRESS(B84+ROW($D$7),MATCH($D$7,$F$7:$Q$7,0)+5))</f>
        <v>2</v>
      </c>
      <c r="E84" s="13">
        <f>报价及预中标!L78/4</f>
        <v>0</v>
      </c>
      <c r="F84" s="12">
        <v>1.7</v>
      </c>
      <c r="G84" s="12">
        <v>1.7</v>
      </c>
      <c r="H84" s="83">
        <v>2</v>
      </c>
      <c r="I84" s="83">
        <v>2</v>
      </c>
      <c r="J84" s="83">
        <v>2</v>
      </c>
      <c r="K84" s="83">
        <v>2</v>
      </c>
      <c r="L84" s="83">
        <v>2</v>
      </c>
      <c r="M84" s="83">
        <v>2</v>
      </c>
      <c r="N84" s="83">
        <v>1.7</v>
      </c>
      <c r="O84" s="83">
        <v>1.7</v>
      </c>
      <c r="P84" s="83">
        <v>1.7</v>
      </c>
      <c r="Q84" s="12">
        <v>1.7</v>
      </c>
    </row>
    <row r="85" spans="1:17" ht="15" customHeight="1" x14ac:dyDescent="0.25">
      <c r="A85" s="90"/>
      <c r="B85" s="83">
        <v>78</v>
      </c>
      <c r="C85" s="85">
        <f t="shared" si="1"/>
        <v>0</v>
      </c>
      <c r="D85" s="83">
        <f t="array" aca="1" ref="D85" ca="1">INDIRECT(ADDRESS(B85+ROW($D$7),MATCH($D$7,$F$7:$Q$7,0)+5))</f>
        <v>2</v>
      </c>
      <c r="E85" s="13">
        <f>报价及预中标!L79/4</f>
        <v>0</v>
      </c>
      <c r="F85" s="12">
        <v>1.7</v>
      </c>
      <c r="G85" s="12">
        <v>1.7</v>
      </c>
      <c r="H85" s="83">
        <v>2</v>
      </c>
      <c r="I85" s="83">
        <v>2</v>
      </c>
      <c r="J85" s="83">
        <v>2</v>
      </c>
      <c r="K85" s="83">
        <v>2</v>
      </c>
      <c r="L85" s="83">
        <v>2</v>
      </c>
      <c r="M85" s="83">
        <v>2</v>
      </c>
      <c r="N85" s="83">
        <v>1.7</v>
      </c>
      <c r="O85" s="83">
        <v>1.7</v>
      </c>
      <c r="P85" s="83">
        <v>1.7</v>
      </c>
      <c r="Q85" s="12">
        <v>1.7</v>
      </c>
    </row>
    <row r="86" spans="1:17" ht="15" customHeight="1" x14ac:dyDescent="0.25">
      <c r="A86" s="90"/>
      <c r="B86" s="83">
        <v>79</v>
      </c>
      <c r="C86" s="85">
        <f t="shared" si="1"/>
        <v>0</v>
      </c>
      <c r="D86" s="83">
        <f t="array" aca="1" ref="D86" ca="1">INDIRECT(ADDRESS(B86+ROW($D$7),MATCH($D$7,$F$7:$Q$7,0)+5))</f>
        <v>2</v>
      </c>
      <c r="E86" s="13">
        <f>报价及预中标!L80/4</f>
        <v>0</v>
      </c>
      <c r="F86" s="12">
        <v>1.7</v>
      </c>
      <c r="G86" s="12">
        <v>1.7</v>
      </c>
      <c r="H86" s="83">
        <v>2</v>
      </c>
      <c r="I86" s="83">
        <v>2</v>
      </c>
      <c r="J86" s="83">
        <v>2</v>
      </c>
      <c r="K86" s="83">
        <v>2</v>
      </c>
      <c r="L86" s="83">
        <v>2</v>
      </c>
      <c r="M86" s="83">
        <v>2</v>
      </c>
      <c r="N86" s="83">
        <v>1.7</v>
      </c>
      <c r="O86" s="83">
        <v>1.7</v>
      </c>
      <c r="P86" s="83">
        <v>1.7</v>
      </c>
      <c r="Q86" s="12">
        <v>1.7</v>
      </c>
    </row>
    <row r="87" spans="1:17" ht="15" customHeight="1" x14ac:dyDescent="0.25">
      <c r="A87" s="90"/>
      <c r="B87" s="83">
        <v>80</v>
      </c>
      <c r="C87" s="85">
        <f t="shared" si="1"/>
        <v>0</v>
      </c>
      <c r="D87" s="83">
        <f t="array" aca="1" ref="D87" ca="1">INDIRECT(ADDRESS(B87+ROW($D$7),MATCH($D$7,$F$7:$Q$7,0)+5))</f>
        <v>2</v>
      </c>
      <c r="E87" s="13">
        <f>报价及预中标!L81/4</f>
        <v>0</v>
      </c>
      <c r="F87" s="12">
        <v>1.7</v>
      </c>
      <c r="G87" s="12">
        <v>1.7</v>
      </c>
      <c r="H87" s="83">
        <v>2</v>
      </c>
      <c r="I87" s="83">
        <v>2</v>
      </c>
      <c r="J87" s="83">
        <v>2</v>
      </c>
      <c r="K87" s="83">
        <v>2</v>
      </c>
      <c r="L87" s="83">
        <v>2</v>
      </c>
      <c r="M87" s="83">
        <v>2</v>
      </c>
      <c r="N87" s="83">
        <v>1.7</v>
      </c>
      <c r="O87" s="83">
        <v>1.7</v>
      </c>
      <c r="P87" s="83">
        <v>1.7</v>
      </c>
      <c r="Q87" s="12">
        <v>1.7</v>
      </c>
    </row>
    <row r="88" spans="1:17" ht="15" customHeight="1" x14ac:dyDescent="0.25">
      <c r="A88" s="90">
        <v>21</v>
      </c>
      <c r="B88" s="83">
        <v>81</v>
      </c>
      <c r="C88" s="85">
        <f t="shared" si="1"/>
        <v>0</v>
      </c>
      <c r="D88" s="83">
        <f t="array" aca="1" ref="D88" ca="1">INDIRECT(ADDRESS(B88+ROW($D$7),MATCH($D$7,$F$7:$Q$7,0)+5))</f>
        <v>2</v>
      </c>
      <c r="E88" s="13">
        <f>报价及预中标!L82/4</f>
        <v>0</v>
      </c>
      <c r="F88" s="12">
        <v>1.7</v>
      </c>
      <c r="G88" s="12">
        <v>1.7</v>
      </c>
      <c r="H88" s="83">
        <v>1.7</v>
      </c>
      <c r="I88" s="83">
        <v>1.7</v>
      </c>
      <c r="J88" s="83">
        <v>1.7</v>
      </c>
      <c r="K88" s="83">
        <v>2</v>
      </c>
      <c r="L88" s="83">
        <v>2</v>
      </c>
      <c r="M88" s="83">
        <v>2</v>
      </c>
      <c r="N88" s="83">
        <v>1.7</v>
      </c>
      <c r="O88" s="83">
        <v>1.7</v>
      </c>
      <c r="P88" s="83">
        <v>1.7</v>
      </c>
      <c r="Q88" s="12">
        <v>1.7</v>
      </c>
    </row>
    <row r="89" spans="1:17" ht="15" customHeight="1" x14ac:dyDescent="0.25">
      <c r="A89" s="90"/>
      <c r="B89" s="83">
        <v>82</v>
      </c>
      <c r="C89" s="85">
        <f t="shared" si="1"/>
        <v>0</v>
      </c>
      <c r="D89" s="83">
        <f t="array" aca="1" ref="D89" ca="1">INDIRECT(ADDRESS(B89+ROW($D$7),MATCH($D$7,$F$7:$Q$7,0)+5))</f>
        <v>2</v>
      </c>
      <c r="E89" s="13">
        <f>报价及预中标!L83/4</f>
        <v>0</v>
      </c>
      <c r="F89" s="12">
        <v>1.7</v>
      </c>
      <c r="G89" s="12">
        <v>1.7</v>
      </c>
      <c r="H89" s="83">
        <v>1.7</v>
      </c>
      <c r="I89" s="83">
        <v>1.7</v>
      </c>
      <c r="J89" s="83">
        <v>1.7</v>
      </c>
      <c r="K89" s="83">
        <v>2</v>
      </c>
      <c r="L89" s="83">
        <v>2</v>
      </c>
      <c r="M89" s="83">
        <v>2</v>
      </c>
      <c r="N89" s="83">
        <v>1.7</v>
      </c>
      <c r="O89" s="83">
        <v>1.7</v>
      </c>
      <c r="P89" s="83">
        <v>1.7</v>
      </c>
      <c r="Q89" s="12">
        <v>1.7</v>
      </c>
    </row>
    <row r="90" spans="1:17" ht="15" customHeight="1" x14ac:dyDescent="0.25">
      <c r="A90" s="90"/>
      <c r="B90" s="83">
        <v>83</v>
      </c>
      <c r="C90" s="85">
        <f t="shared" si="1"/>
        <v>0</v>
      </c>
      <c r="D90" s="83">
        <f t="array" aca="1" ref="D90" ca="1">INDIRECT(ADDRESS(B90+ROW($D$7),MATCH($D$7,$F$7:$Q$7,0)+5))</f>
        <v>2</v>
      </c>
      <c r="E90" s="13">
        <f>报价及预中标!L84/4</f>
        <v>0</v>
      </c>
      <c r="F90" s="12">
        <v>1.7</v>
      </c>
      <c r="G90" s="12">
        <v>1.7</v>
      </c>
      <c r="H90" s="83">
        <v>1.7</v>
      </c>
      <c r="I90" s="83">
        <v>1.7</v>
      </c>
      <c r="J90" s="83">
        <v>1.7</v>
      </c>
      <c r="K90" s="83">
        <v>2</v>
      </c>
      <c r="L90" s="83">
        <v>2</v>
      </c>
      <c r="M90" s="83">
        <v>2</v>
      </c>
      <c r="N90" s="83">
        <v>1.7</v>
      </c>
      <c r="O90" s="83">
        <v>1.7</v>
      </c>
      <c r="P90" s="83">
        <v>1.7</v>
      </c>
      <c r="Q90" s="12">
        <v>1.7</v>
      </c>
    </row>
    <row r="91" spans="1:17" ht="15" customHeight="1" x14ac:dyDescent="0.25">
      <c r="A91" s="90"/>
      <c r="B91" s="83">
        <v>84</v>
      </c>
      <c r="C91" s="85">
        <f t="shared" si="1"/>
        <v>0</v>
      </c>
      <c r="D91" s="83">
        <f t="array" aca="1" ref="D91" ca="1">INDIRECT(ADDRESS(B91+ROW($D$7),MATCH($D$7,$F$7:$Q$7,0)+5))</f>
        <v>2</v>
      </c>
      <c r="E91" s="13">
        <f>报价及预中标!L85/4</f>
        <v>0</v>
      </c>
      <c r="F91" s="12">
        <v>1.7</v>
      </c>
      <c r="G91" s="12">
        <v>1.7</v>
      </c>
      <c r="H91" s="83">
        <v>1.7</v>
      </c>
      <c r="I91" s="83">
        <v>1.7</v>
      </c>
      <c r="J91" s="83">
        <v>1.7</v>
      </c>
      <c r="K91" s="83">
        <v>2</v>
      </c>
      <c r="L91" s="83">
        <v>2</v>
      </c>
      <c r="M91" s="83">
        <v>2</v>
      </c>
      <c r="N91" s="83">
        <v>1.7</v>
      </c>
      <c r="O91" s="83">
        <v>1.7</v>
      </c>
      <c r="P91" s="83">
        <v>1.7</v>
      </c>
      <c r="Q91" s="12">
        <v>1.7</v>
      </c>
    </row>
    <row r="92" spans="1:17" ht="15" customHeight="1" x14ac:dyDescent="0.25">
      <c r="A92" s="90">
        <v>22</v>
      </c>
      <c r="B92" s="83">
        <v>85</v>
      </c>
      <c r="C92" s="85">
        <f t="shared" si="1"/>
        <v>0</v>
      </c>
      <c r="D92" s="83">
        <f t="array" aca="1" ref="D92" ca="1">INDIRECT(ADDRESS(B92+ROW($D$7),MATCH($D$7,$F$7:$Q$7,0)+5))</f>
        <v>2</v>
      </c>
      <c r="E92" s="13">
        <f>报价及预中标!L86/4</f>
        <v>0</v>
      </c>
      <c r="F92" s="12">
        <v>1</v>
      </c>
      <c r="G92" s="12">
        <v>1</v>
      </c>
      <c r="H92" s="83">
        <v>1.7</v>
      </c>
      <c r="I92" s="83">
        <v>1.7</v>
      </c>
      <c r="J92" s="83">
        <v>1.7</v>
      </c>
      <c r="K92" s="83">
        <v>2</v>
      </c>
      <c r="L92" s="83">
        <v>2</v>
      </c>
      <c r="M92" s="83">
        <v>2</v>
      </c>
      <c r="N92" s="83">
        <v>1</v>
      </c>
      <c r="O92" s="83">
        <v>1</v>
      </c>
      <c r="P92" s="83">
        <v>1</v>
      </c>
      <c r="Q92" s="12">
        <v>1</v>
      </c>
    </row>
    <row r="93" spans="1:17" ht="15" customHeight="1" x14ac:dyDescent="0.25">
      <c r="A93" s="90"/>
      <c r="B93" s="83">
        <v>86</v>
      </c>
      <c r="C93" s="85">
        <f t="shared" si="1"/>
        <v>0</v>
      </c>
      <c r="D93" s="83">
        <f t="array" aca="1" ref="D93" ca="1">INDIRECT(ADDRESS(B93+ROW($D$7),MATCH($D$7,$F$7:$Q$7,0)+5))</f>
        <v>2</v>
      </c>
      <c r="E93" s="13">
        <f>报价及预中标!L87/4</f>
        <v>0</v>
      </c>
      <c r="F93" s="12">
        <v>1</v>
      </c>
      <c r="G93" s="12">
        <v>1</v>
      </c>
      <c r="H93" s="83">
        <v>1.7</v>
      </c>
      <c r="I93" s="83">
        <v>1.7</v>
      </c>
      <c r="J93" s="83">
        <v>1.7</v>
      </c>
      <c r="K93" s="83">
        <v>2</v>
      </c>
      <c r="L93" s="83">
        <v>2</v>
      </c>
      <c r="M93" s="83">
        <v>2</v>
      </c>
      <c r="N93" s="83">
        <v>1</v>
      </c>
      <c r="O93" s="83">
        <v>1</v>
      </c>
      <c r="P93" s="83">
        <v>1</v>
      </c>
      <c r="Q93" s="12">
        <v>1</v>
      </c>
    </row>
    <row r="94" spans="1:17" ht="15" customHeight="1" x14ac:dyDescent="0.25">
      <c r="A94" s="90"/>
      <c r="B94" s="83">
        <v>87</v>
      </c>
      <c r="C94" s="85">
        <f t="shared" si="1"/>
        <v>0</v>
      </c>
      <c r="D94" s="83">
        <f t="array" aca="1" ref="D94" ca="1">INDIRECT(ADDRESS(B94+ROW($D$7),MATCH($D$7,$F$7:$Q$7,0)+5))</f>
        <v>2</v>
      </c>
      <c r="E94" s="13">
        <f>报价及预中标!L88/4</f>
        <v>0</v>
      </c>
      <c r="F94" s="12">
        <v>1</v>
      </c>
      <c r="G94" s="12">
        <v>1</v>
      </c>
      <c r="H94" s="83">
        <v>1.7</v>
      </c>
      <c r="I94" s="83">
        <v>1.7</v>
      </c>
      <c r="J94" s="83">
        <v>1.7</v>
      </c>
      <c r="K94" s="83">
        <v>2</v>
      </c>
      <c r="L94" s="83">
        <v>2</v>
      </c>
      <c r="M94" s="83">
        <v>2</v>
      </c>
      <c r="N94" s="83">
        <v>1</v>
      </c>
      <c r="O94" s="83">
        <v>1</v>
      </c>
      <c r="P94" s="83">
        <v>1</v>
      </c>
      <c r="Q94" s="12">
        <v>1</v>
      </c>
    </row>
    <row r="95" spans="1:17" ht="15" customHeight="1" x14ac:dyDescent="0.25">
      <c r="A95" s="90"/>
      <c r="B95" s="83">
        <v>88</v>
      </c>
      <c r="C95" s="85">
        <f t="shared" si="1"/>
        <v>0</v>
      </c>
      <c r="D95" s="83">
        <f t="array" aca="1" ref="D95" ca="1">INDIRECT(ADDRESS(B95+ROW($D$7),MATCH($D$7,$F$7:$Q$7,0)+5))</f>
        <v>2</v>
      </c>
      <c r="E95" s="13">
        <f>报价及预中标!L89/4</f>
        <v>0</v>
      </c>
      <c r="F95" s="12">
        <v>1</v>
      </c>
      <c r="G95" s="12">
        <v>1</v>
      </c>
      <c r="H95" s="83">
        <v>1.7</v>
      </c>
      <c r="I95" s="83">
        <v>1.7</v>
      </c>
      <c r="J95" s="83">
        <v>1.7</v>
      </c>
      <c r="K95" s="83">
        <v>2</v>
      </c>
      <c r="L95" s="83">
        <v>2</v>
      </c>
      <c r="M95" s="83">
        <v>2</v>
      </c>
      <c r="N95" s="83">
        <v>1</v>
      </c>
      <c r="O95" s="83">
        <v>1</v>
      </c>
      <c r="P95" s="83">
        <v>1</v>
      </c>
      <c r="Q95" s="12">
        <v>1</v>
      </c>
    </row>
    <row r="96" spans="1:17" ht="15" customHeight="1" x14ac:dyDescent="0.25">
      <c r="A96" s="90">
        <v>23</v>
      </c>
      <c r="B96" s="83">
        <v>89</v>
      </c>
      <c r="C96" s="85">
        <f t="shared" si="1"/>
        <v>0</v>
      </c>
      <c r="D96" s="83">
        <f t="array" aca="1" ref="D96" ca="1">INDIRECT(ADDRESS(B96+ROW($D$7),MATCH($D$7,$F$7:$Q$7,0)+5))</f>
        <v>1.7</v>
      </c>
      <c r="E96" s="13">
        <f>报价及预中标!L90/4</f>
        <v>0</v>
      </c>
      <c r="F96" s="12">
        <v>1</v>
      </c>
      <c r="G96" s="12">
        <v>1</v>
      </c>
      <c r="H96" s="83">
        <v>1</v>
      </c>
      <c r="I96" s="83">
        <v>1</v>
      </c>
      <c r="J96" s="83">
        <v>1</v>
      </c>
      <c r="K96" s="83">
        <v>1.7</v>
      </c>
      <c r="L96" s="83">
        <v>1.7</v>
      </c>
      <c r="M96" s="83">
        <v>1.7</v>
      </c>
      <c r="N96" s="83">
        <v>1</v>
      </c>
      <c r="O96" s="83">
        <v>1</v>
      </c>
      <c r="P96" s="83">
        <v>1</v>
      </c>
      <c r="Q96" s="12">
        <v>1</v>
      </c>
    </row>
    <row r="97" spans="1:17" ht="15" customHeight="1" x14ac:dyDescent="0.25">
      <c r="A97" s="90"/>
      <c r="B97" s="83">
        <v>90</v>
      </c>
      <c r="C97" s="85">
        <f t="shared" si="1"/>
        <v>0</v>
      </c>
      <c r="D97" s="83">
        <f t="array" aca="1" ref="D97" ca="1">INDIRECT(ADDRESS(B97+ROW($D$7),MATCH($D$7,$F$7:$Q$7,0)+5))</f>
        <v>1.7</v>
      </c>
      <c r="E97" s="13">
        <f>报价及预中标!L91/4</f>
        <v>0</v>
      </c>
      <c r="F97" s="12">
        <v>1</v>
      </c>
      <c r="G97" s="12">
        <v>1</v>
      </c>
      <c r="H97" s="83">
        <v>1</v>
      </c>
      <c r="I97" s="83">
        <v>1</v>
      </c>
      <c r="J97" s="83">
        <v>1</v>
      </c>
      <c r="K97" s="83">
        <v>1.7</v>
      </c>
      <c r="L97" s="83">
        <v>1.7</v>
      </c>
      <c r="M97" s="83">
        <v>1.7</v>
      </c>
      <c r="N97" s="83">
        <v>1</v>
      </c>
      <c r="O97" s="83">
        <v>1</v>
      </c>
      <c r="P97" s="83">
        <v>1</v>
      </c>
      <c r="Q97" s="12">
        <v>1</v>
      </c>
    </row>
    <row r="98" spans="1:17" ht="15" customHeight="1" x14ac:dyDescent="0.25">
      <c r="A98" s="90"/>
      <c r="B98" s="83">
        <v>91</v>
      </c>
      <c r="C98" s="85">
        <f t="shared" si="1"/>
        <v>0</v>
      </c>
      <c r="D98" s="83">
        <f t="array" aca="1" ref="D98" ca="1">INDIRECT(ADDRESS(B98+ROW($D$7),MATCH($D$7,$F$7:$Q$7,0)+5))</f>
        <v>1.7</v>
      </c>
      <c r="E98" s="13">
        <f>报价及预中标!L92/4</f>
        <v>0</v>
      </c>
      <c r="F98" s="12">
        <v>1</v>
      </c>
      <c r="G98" s="12">
        <v>1</v>
      </c>
      <c r="H98" s="83">
        <v>1</v>
      </c>
      <c r="I98" s="83">
        <v>1</v>
      </c>
      <c r="J98" s="83">
        <v>1</v>
      </c>
      <c r="K98" s="83">
        <v>1.7</v>
      </c>
      <c r="L98" s="83">
        <v>1.7</v>
      </c>
      <c r="M98" s="83">
        <v>1.7</v>
      </c>
      <c r="N98" s="83">
        <v>1</v>
      </c>
      <c r="O98" s="83">
        <v>1</v>
      </c>
      <c r="P98" s="83">
        <v>1</v>
      </c>
      <c r="Q98" s="12">
        <v>1</v>
      </c>
    </row>
    <row r="99" spans="1:17" ht="15" customHeight="1" x14ac:dyDescent="0.25">
      <c r="A99" s="90"/>
      <c r="B99" s="83">
        <v>92</v>
      </c>
      <c r="C99" s="85">
        <f t="shared" si="1"/>
        <v>0</v>
      </c>
      <c r="D99" s="83">
        <f t="array" aca="1" ref="D99" ca="1">INDIRECT(ADDRESS(B99+ROW($D$7),MATCH($D$7,$F$7:$Q$7,0)+5))</f>
        <v>1.7</v>
      </c>
      <c r="E99" s="13">
        <f>报价及预中标!L93/4</f>
        <v>0</v>
      </c>
      <c r="F99" s="12">
        <v>1</v>
      </c>
      <c r="G99" s="12">
        <v>1</v>
      </c>
      <c r="H99" s="83">
        <v>1</v>
      </c>
      <c r="I99" s="83">
        <v>1</v>
      </c>
      <c r="J99" s="83">
        <v>1</v>
      </c>
      <c r="K99" s="83">
        <v>1.7</v>
      </c>
      <c r="L99" s="83">
        <v>1.7</v>
      </c>
      <c r="M99" s="83">
        <v>1.7</v>
      </c>
      <c r="N99" s="83">
        <v>1</v>
      </c>
      <c r="O99" s="83">
        <v>1</v>
      </c>
      <c r="P99" s="83">
        <v>1</v>
      </c>
      <c r="Q99" s="12">
        <v>1</v>
      </c>
    </row>
    <row r="100" spans="1:17" ht="15" customHeight="1" x14ac:dyDescent="0.25">
      <c r="A100" s="90">
        <v>24</v>
      </c>
      <c r="B100" s="83">
        <v>93</v>
      </c>
      <c r="C100" s="85">
        <f t="shared" si="1"/>
        <v>0</v>
      </c>
      <c r="D100" s="83">
        <f t="array" aca="1" ref="D100" ca="1">INDIRECT(ADDRESS(B100+ROW($D$7),MATCH($D$7,$F$7:$Q$7,0)+5))</f>
        <v>1</v>
      </c>
      <c r="E100" s="13">
        <f>报价及预中标!L94/4</f>
        <v>0</v>
      </c>
      <c r="F100" s="12">
        <v>1</v>
      </c>
      <c r="G100" s="12">
        <v>1</v>
      </c>
      <c r="H100" s="83">
        <v>1</v>
      </c>
      <c r="I100" s="83">
        <v>1</v>
      </c>
      <c r="J100" s="83">
        <v>1</v>
      </c>
      <c r="K100" s="83">
        <v>1</v>
      </c>
      <c r="L100" s="83">
        <v>1</v>
      </c>
      <c r="M100" s="83">
        <v>1</v>
      </c>
      <c r="N100" s="83">
        <v>1</v>
      </c>
      <c r="O100" s="83">
        <v>1</v>
      </c>
      <c r="P100" s="83">
        <v>1</v>
      </c>
      <c r="Q100" s="12">
        <v>1</v>
      </c>
    </row>
    <row r="101" spans="1:17" ht="15" customHeight="1" x14ac:dyDescent="0.25">
      <c r="A101" s="90"/>
      <c r="B101" s="83">
        <v>94</v>
      </c>
      <c r="C101" s="85">
        <f t="shared" si="1"/>
        <v>0</v>
      </c>
      <c r="D101" s="83">
        <f t="array" aca="1" ref="D101" ca="1">INDIRECT(ADDRESS(B101+ROW($D$7),MATCH($D$7,$F$7:$Q$7,0)+5))</f>
        <v>1</v>
      </c>
      <c r="E101" s="13">
        <f>报价及预中标!L95/4</f>
        <v>0</v>
      </c>
      <c r="F101" s="12">
        <v>1</v>
      </c>
      <c r="G101" s="12">
        <v>1</v>
      </c>
      <c r="H101" s="83">
        <v>1</v>
      </c>
      <c r="I101" s="83">
        <v>1</v>
      </c>
      <c r="J101" s="83">
        <v>1</v>
      </c>
      <c r="K101" s="83">
        <v>1</v>
      </c>
      <c r="L101" s="83">
        <v>1</v>
      </c>
      <c r="M101" s="83">
        <v>1</v>
      </c>
      <c r="N101" s="83">
        <v>1</v>
      </c>
      <c r="O101" s="83">
        <v>1</v>
      </c>
      <c r="P101" s="83">
        <v>1</v>
      </c>
      <c r="Q101" s="12">
        <v>1</v>
      </c>
    </row>
    <row r="102" spans="1:17" ht="15" customHeight="1" x14ac:dyDescent="0.25">
      <c r="A102" s="90"/>
      <c r="B102" s="83">
        <v>95</v>
      </c>
      <c r="C102" s="85">
        <f t="shared" si="1"/>
        <v>0</v>
      </c>
      <c r="D102" s="83">
        <f t="array" aca="1" ref="D102" ca="1">INDIRECT(ADDRESS(B102+ROW($D$7),MATCH($D$7,$F$7:$Q$7,0)+5))</f>
        <v>1</v>
      </c>
      <c r="E102" s="13">
        <f>报价及预中标!L96/4</f>
        <v>0</v>
      </c>
      <c r="F102" s="12">
        <v>1</v>
      </c>
      <c r="G102" s="12">
        <v>1</v>
      </c>
      <c r="H102" s="83">
        <v>1</v>
      </c>
      <c r="I102" s="83">
        <v>1</v>
      </c>
      <c r="J102" s="83">
        <v>1</v>
      </c>
      <c r="K102" s="83">
        <v>1</v>
      </c>
      <c r="L102" s="83">
        <v>1</v>
      </c>
      <c r="M102" s="83">
        <v>1</v>
      </c>
      <c r="N102" s="83">
        <v>1</v>
      </c>
      <c r="O102" s="83">
        <v>1</v>
      </c>
      <c r="P102" s="83">
        <v>1</v>
      </c>
      <c r="Q102" s="12">
        <v>1</v>
      </c>
    </row>
    <row r="103" spans="1:17" ht="15" customHeight="1" x14ac:dyDescent="0.25">
      <c r="A103" s="90"/>
      <c r="B103" s="83">
        <v>96</v>
      </c>
      <c r="C103" s="85">
        <f t="shared" si="1"/>
        <v>0</v>
      </c>
      <c r="D103" s="83">
        <f t="array" aca="1" ref="D103" ca="1">INDIRECT(ADDRESS(B103+ROW($D$7),MATCH($D$7,$F$7:$Q$7,0)+5))</f>
        <v>1</v>
      </c>
      <c r="E103" s="13">
        <f>报价及预中标!L97/4</f>
        <v>0</v>
      </c>
      <c r="F103" s="15">
        <v>1</v>
      </c>
      <c r="G103" s="15">
        <v>1</v>
      </c>
      <c r="H103" s="16">
        <v>1</v>
      </c>
      <c r="I103" s="16">
        <v>1</v>
      </c>
      <c r="J103" s="16">
        <v>1</v>
      </c>
      <c r="K103" s="16">
        <v>1</v>
      </c>
      <c r="L103" s="16">
        <v>1</v>
      </c>
      <c r="M103" s="16">
        <v>1</v>
      </c>
      <c r="N103" s="16">
        <v>1</v>
      </c>
      <c r="O103" s="16">
        <v>1</v>
      </c>
      <c r="P103" s="16">
        <v>1</v>
      </c>
      <c r="Q103" s="15">
        <v>1</v>
      </c>
    </row>
  </sheetData>
  <mergeCells count="29">
    <mergeCell ref="F6:Q6"/>
    <mergeCell ref="A6:A7"/>
    <mergeCell ref="A8:A11"/>
    <mergeCell ref="A12:A15"/>
    <mergeCell ref="A16:A19"/>
    <mergeCell ref="A48:A51"/>
    <mergeCell ref="A52:A55"/>
    <mergeCell ref="A56:A59"/>
    <mergeCell ref="A20:A23"/>
    <mergeCell ref="A24:A27"/>
    <mergeCell ref="A28:A31"/>
    <mergeCell ref="A32:A35"/>
    <mergeCell ref="A36:A39"/>
    <mergeCell ref="A100:A103"/>
    <mergeCell ref="B6:B7"/>
    <mergeCell ref="C6:C7"/>
    <mergeCell ref="E6:E7"/>
    <mergeCell ref="A80:A83"/>
    <mergeCell ref="A84:A87"/>
    <mergeCell ref="A88:A91"/>
    <mergeCell ref="A92:A95"/>
    <mergeCell ref="A96:A99"/>
    <mergeCell ref="A60:A63"/>
    <mergeCell ref="A64:A67"/>
    <mergeCell ref="A68:A71"/>
    <mergeCell ref="A72:A75"/>
    <mergeCell ref="A76:A79"/>
    <mergeCell ref="A40:A43"/>
    <mergeCell ref="A44:A47"/>
  </mergeCells>
  <phoneticPr fontId="10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充放测算</vt:lpstr>
      <vt:lpstr>报价及预中标</vt:lpstr>
      <vt:lpstr>容量分摊系数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GOLDWIND</dc:creator>
  <cp:lastModifiedBy>Administrator</cp:lastModifiedBy>
  <dcterms:created xsi:type="dcterms:W3CDTF">2015-06-05T18:19:00Z</dcterms:created>
  <dcterms:modified xsi:type="dcterms:W3CDTF">2026-06-04T05:30:41Z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7D8EE7EB7BC843319DB27B8FA355A50B_13</vt:lpwstr>
  </property>
  <property fmtid="{D5CDD505-2E9C-101B-9397-08002B2CF9AE}" pid="3" name="KSOProductBuildVer">
    <vt:lpwstr>2052-12.1.0.22525</vt:lpwstr>
  </property>
</Properties>
</file>