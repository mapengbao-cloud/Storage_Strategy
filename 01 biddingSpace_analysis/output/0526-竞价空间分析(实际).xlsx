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等线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">
    <xf numFmtId="0" fontId="3" fillId="0" borderId="0"/>
    <xf numFmtId="9" fontId="3" fillId="0" borderId="0" applyAlignment="1">
      <alignment vertical="center"/>
    </xf>
    <xf numFmtId="0" fontId="5" fillId="0" borderId="0"/>
    <xf numFmtId="0" fontId="5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58" fontId="0" fillId="0" borderId="0" pivotButton="0" quotePrefix="0" xfId="0"/>
    <xf numFmtId="9" fontId="0" fillId="0" borderId="0" applyAlignment="1" pivotButton="0" quotePrefix="0" xfId="1">
      <alignment horizontal="center" vertical="center"/>
    </xf>
  </cellXfs>
  <cellStyles count="4">
    <cellStyle name="常规" xfId="0" builtinId="0"/>
    <cellStyle name="百分比" xfId="1" builtinId="5"/>
    <cellStyle name="常规 2" xfId="2"/>
    <cellStyle name="常规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6"/>
          <order val="0"/>
          <tx>
            <v>竞价空间/最大机组计划</v>
          </tx>
          <spPr>
            <a:solidFill>
              <a:schemeClr val="bg1">
                <a:lumMod val="95000"/>
              </a:schemeClr>
            </a:solidFill>
            <a:ln>
              <a:solidFill>
                <a:schemeClr val="bg1">
                  <a:lumMod val="85000"/>
                </a:schemeClr>
              </a:solidFill>
              <a:prstDash val="solid"/>
            </a:ln>
          </spPr>
          <invertIfNegative val="0"/>
          <val>
            <numRef>
              <f>Sheet1!$B$9:$CS$9</f>
              <numCache>
                <formatCode>0%</formatCode>
                <ptCount val="96"/>
                <pt idx="0">
                  <v>0.4536878817509289</v>
                </pt>
                <pt idx="1">
                  <v>0.4476981527920962</v>
                </pt>
                <pt idx="2">
                  <v>0.4392240657272972</v>
                </pt>
                <pt idx="3">
                  <v>0.4306306303115772</v>
                </pt>
                <pt idx="4">
                  <v>0.4259236305130881</v>
                </pt>
                <pt idx="5">
                  <v>0.4194115311755954</v>
                </pt>
                <pt idx="6">
                  <v>0.415628330111164</v>
                </pt>
                <pt idx="7">
                  <v>0.4102787262095708</v>
                </pt>
                <pt idx="8">
                  <v>0.4057884658495495</v>
                </pt>
                <pt idx="9">
                  <v>0.4013699207449037</v>
                </pt>
                <pt idx="10">
                  <v>0.4023939437617822</v>
                </pt>
                <pt idx="11">
                  <v>0.4042295001499823</v>
                </pt>
                <pt idx="12">
                  <v>0.4045151216485514</v>
                </pt>
                <pt idx="13">
                  <v>0.4038454251156387</v>
                </pt>
                <pt idx="14">
                  <v>0.4050851251227571</v>
                </pt>
                <pt idx="15">
                  <v>0.4116012971784563</v>
                </pt>
                <pt idx="16">
                  <v>0.4198574052818551</v>
                </pt>
                <pt idx="17">
                  <v>0.4314310079765072</v>
                </pt>
                <pt idx="18">
                  <v>0.442783267290371</v>
                </pt>
                <pt idx="19">
                  <v>0.4619429274060999</v>
                </pt>
                <pt idx="20">
                  <v>0.4796900626029911</v>
                </pt>
                <pt idx="21">
                  <v>0.4769234474178436</v>
                </pt>
                <pt idx="22">
                  <v>0.4772524522190472</v>
                </pt>
                <pt idx="23">
                  <v>0.4879176616789445</v>
                </pt>
                <pt idx="24">
                  <v>0.4860433259304301</v>
                </pt>
                <pt idx="25">
                  <v>0.4966281434744254</v>
                </pt>
                <pt idx="26">
                  <v>0.499083107179423</v>
                </pt>
                <pt idx="27">
                  <v>0.4926118788293842</v>
                </pt>
                <pt idx="28">
                  <v>0.5087188251109122</v>
                </pt>
                <pt idx="29">
                  <v>0.5361666818041201</v>
                </pt>
                <pt idx="30">
                  <v>0.5736633715736724</v>
                </pt>
                <pt idx="31">
                  <v>0.6121112849888315</v>
                </pt>
                <pt idx="32">
                  <v>0.6546513566116048</v>
                </pt>
                <pt idx="33">
                  <v>0.6724884964054639</v>
                </pt>
                <pt idx="34">
                  <v>0.6879302647105597</v>
                </pt>
                <pt idx="35">
                  <v>0.7012860223540168</v>
                </pt>
                <pt idx="36">
                  <v>0.7154772978219118</v>
                </pt>
                <pt idx="37">
                  <v>0.7241362690945056</v>
                </pt>
                <pt idx="38">
                  <v>0.7393241805678946</v>
                </pt>
                <pt idx="39">
                  <v>0.7545310573563325</v>
                </pt>
                <pt idx="40">
                  <v>0.7910074479750089</v>
                </pt>
                <pt idx="41">
                  <v>0.8040724621189581</v>
                </pt>
                <pt idx="42">
                  <v>0.8091703040053004</v>
                </pt>
                <pt idx="43">
                  <v>0.8226344597338522</v>
                </pt>
                <pt idx="44">
                  <v>0.8434056555613437</v>
                </pt>
                <pt idx="45">
                  <v>0.8234845930304381</v>
                </pt>
                <pt idx="46">
                  <v>0.8002101496102368</v>
                </pt>
                <pt idx="47">
                  <v>0.7734272968997452</v>
                </pt>
                <pt idx="48">
                  <v>0.7551955393579005</v>
                </pt>
                <pt idx="49">
                  <v>0.7467876410175571</v>
                </pt>
                <pt idx="50">
                  <v>0.7567366017008931</v>
                </pt>
                <pt idx="51">
                  <v>0.7689975908830077</v>
                </pt>
                <pt idx="52">
                  <v>0.7824144203207959</v>
                </pt>
                <pt idx="53">
                  <v>0.792903457498729</v>
                </pt>
                <pt idx="54">
                  <v>0.7974222482980805</v>
                </pt>
                <pt idx="55">
                  <v>0.7971417704278193</v>
                </pt>
                <pt idx="56">
                  <v>0.7929560036009741</v>
                </pt>
                <pt idx="57">
                  <v>0.7799856420385521</v>
                </pt>
                <pt idx="58">
                  <v>0.7686104548648122</v>
                </pt>
                <pt idx="59">
                  <v>0.7563927901179922</v>
                </pt>
                <pt idx="60">
                  <v>0.7423187864147099</v>
                </pt>
                <pt idx="61">
                  <v>0.7357233806143857</v>
                </pt>
                <pt idx="62">
                  <v>0.735383918874386</v>
                </pt>
                <pt idx="63">
                  <v>0.7267393890802241</v>
                </pt>
                <pt idx="64">
                  <v>0.7262243676807371</v>
                </pt>
                <pt idx="65">
                  <v>0.7235453864348237</v>
                </pt>
                <pt idx="66">
                  <v>0.7208780627678852</v>
                </pt>
                <pt idx="67">
                  <v>0.7153488904594721</v>
                </pt>
                <pt idx="68">
                  <v>0.7040558283197045</v>
                </pt>
                <pt idx="69">
                  <v>0.7048516755768848</v>
                </pt>
                <pt idx="70">
                  <v>0.708105184073172</v>
                </pt>
                <pt idx="71">
                  <v>0.7138053922044552</v>
                </pt>
                <pt idx="72">
                  <v>0.7126836547171264</v>
                </pt>
                <pt idx="73">
                  <v>0.7268968533932429</v>
                </pt>
                <pt idx="74">
                  <v>0.7413642568884983</v>
                </pt>
                <pt idx="75">
                  <v>0.7669643380570633</v>
                </pt>
                <pt idx="76">
                  <v>0.7838875165121092</v>
                </pt>
                <pt idx="77">
                  <v>0.7967607305451989</v>
                </pt>
                <pt idx="78">
                  <v>0.7875113166965461</v>
                </pt>
                <pt idx="79">
                  <v>0.7792341119548197</v>
                </pt>
                <pt idx="80">
                  <v>0.7705695330482645</v>
                </pt>
                <pt idx="81">
                  <v>0.7684846982816875</v>
                </pt>
                <pt idx="82">
                  <v>0.767968667450425</v>
                </pt>
                <pt idx="83">
                  <v>0.7627630747995467</v>
                </pt>
                <pt idx="84">
                  <v>0.7613776899862286</v>
                </pt>
                <pt idx="85">
                  <v>0.7518939560152169</v>
                </pt>
                <pt idx="86">
                  <v>0.7461165169533681</v>
                </pt>
                <pt idx="87">
                  <v>0.7469492684512729</v>
                </pt>
                <pt idx="88">
                  <v>0.7601103458729375</v>
                </pt>
                <pt idx="89">
                  <v>0.7499189883226315</v>
                </pt>
                <pt idx="90">
                  <v>0.7482011866130107</v>
                </pt>
                <pt idx="91">
                  <v>0.7379372284338063</v>
                </pt>
                <pt idx="92">
                  <v>0.7405678502457974</v>
                </pt>
                <pt idx="93">
                  <v>0.7149437238881214</v>
                </pt>
                <pt idx="94">
                  <v>0.6884938981827531</v>
                </pt>
                <pt idx="95">
                  <v>0.6588829348503206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35636640"/>
        <axId val="1381992960"/>
      </barChart>
      <lineChart>
        <grouping val="standard"/>
        <varyColors val="0"/>
        <ser>
          <idx val="7"/>
          <order val="7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88138560"/>
        <axId val="319455776"/>
      </lineChart>
      <catAx>
        <axId val="1335636640"/>
        <scaling>
          <orientation val="minMax"/>
        </scaling>
        <delete val="1"/>
        <axPos val="b"/>
        <majorTickMark val="out"/>
        <minorTickMark val="none"/>
        <tickLblPos val="nextTo"/>
        <crossAx val="1381992960"/>
        <crosses val="autoZero"/>
        <auto val="1"/>
        <lblAlgn val="ctr"/>
        <lblOffset val="100"/>
        <noMultiLvlLbl val="0"/>
      </catAx>
      <valAx>
        <axId val="1381992960"/>
        <scaling>
          <orientation val="minMax"/>
        </scaling>
        <delete val="0"/>
        <axPos val="r"/>
        <numFmt formatCode="0%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335636640"/>
        <crosses val="max"/>
        <crossBetween val="between"/>
      </valAx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Sheet3!$A$2</f>
              <strCache>
                <ptCount val="1"/>
                <pt idx="0">
                  <v>竞价空间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Sheet3!$B$1:$GK$1</f>
              <strCache>
                <ptCount val="192"/>
                <pt idx="0">
                  <v>00:15</v>
                </pt>
                <pt idx="1">
                  <v>00:30</v>
                </pt>
                <pt idx="2">
                  <v>00:45</v>
                </pt>
                <pt idx="3">
                  <v>01:00</v>
                </pt>
                <pt idx="4">
                  <v>01:15</v>
                </pt>
                <pt idx="5">
                  <v>01:30</v>
                </pt>
                <pt idx="6">
                  <v>01:45</v>
                </pt>
                <pt idx="7">
                  <v>02:00</v>
                </pt>
                <pt idx="8">
                  <v>02:15</v>
                </pt>
                <pt idx="9">
                  <v>02:30</v>
                </pt>
                <pt idx="10">
                  <v>02:45</v>
                </pt>
                <pt idx="11">
                  <v>03:00</v>
                </pt>
                <pt idx="12">
                  <v>03:15</v>
                </pt>
                <pt idx="13">
                  <v>03:30</v>
                </pt>
                <pt idx="14">
                  <v>03:45</v>
                </pt>
                <pt idx="15">
                  <v>04:00</v>
                </pt>
                <pt idx="16">
                  <v>04:15</v>
                </pt>
                <pt idx="17">
                  <v>04:30</v>
                </pt>
                <pt idx="18">
                  <v>04:45</v>
                </pt>
                <pt idx="19">
                  <v>05:00</v>
                </pt>
                <pt idx="20">
                  <v>05:15</v>
                </pt>
                <pt idx="21">
                  <v>05:30</v>
                </pt>
                <pt idx="22">
                  <v>05:45</v>
                </pt>
                <pt idx="23">
                  <v>06:00</v>
                </pt>
                <pt idx="24">
                  <v>06:15</v>
                </pt>
                <pt idx="25">
                  <v>06:30</v>
                </pt>
                <pt idx="26">
                  <v>06:45</v>
                </pt>
                <pt idx="27">
                  <v>07:00</v>
                </pt>
                <pt idx="28">
                  <v>07:15</v>
                </pt>
                <pt idx="29">
                  <v>07:30</v>
                </pt>
                <pt idx="30">
                  <v>07:45</v>
                </pt>
                <pt idx="31">
                  <v>08:00</v>
                </pt>
                <pt idx="32">
                  <v>08:15</v>
                </pt>
                <pt idx="33">
                  <v>08:30</v>
                </pt>
                <pt idx="34">
                  <v>08:45</v>
                </pt>
                <pt idx="35">
                  <v>09:00</v>
                </pt>
                <pt idx="36">
                  <v>09:15</v>
                </pt>
                <pt idx="37">
                  <v>09:30</v>
                </pt>
                <pt idx="38">
                  <v>09:45</v>
                </pt>
                <pt idx="39">
                  <v>10:00</v>
                </pt>
                <pt idx="40">
                  <v>10:15</v>
                </pt>
                <pt idx="41">
                  <v>10:30</v>
                </pt>
                <pt idx="42">
                  <v>10:45</v>
                </pt>
                <pt idx="43">
                  <v>11:00</v>
                </pt>
                <pt idx="44">
                  <v>11:15</v>
                </pt>
                <pt idx="45">
                  <v>11:30</v>
                </pt>
                <pt idx="46">
                  <v>11:45</v>
                </pt>
                <pt idx="47">
                  <v>12:00</v>
                </pt>
                <pt idx="48">
                  <v>12:15</v>
                </pt>
                <pt idx="49">
                  <v>12:30</v>
                </pt>
                <pt idx="50">
                  <v>12:45</v>
                </pt>
                <pt idx="51">
                  <v>13:00</v>
                </pt>
                <pt idx="52">
                  <v>13:15</v>
                </pt>
                <pt idx="53">
                  <v>13:30</v>
                </pt>
                <pt idx="54">
                  <v>13:45</v>
                </pt>
                <pt idx="55">
                  <v>14:00</v>
                </pt>
                <pt idx="56">
                  <v>14:15</v>
                </pt>
                <pt idx="57">
                  <v>14:30</v>
                </pt>
                <pt idx="58">
                  <v>14:45</v>
                </pt>
                <pt idx="59">
                  <v>15:00</v>
                </pt>
                <pt idx="60">
                  <v>15:15</v>
                </pt>
                <pt idx="61">
                  <v>15:30</v>
                </pt>
                <pt idx="62">
                  <v>15:45</v>
                </pt>
                <pt idx="63">
                  <v>16:00</v>
                </pt>
                <pt idx="64">
                  <v>16:15</v>
                </pt>
                <pt idx="65">
                  <v>16:30</v>
                </pt>
                <pt idx="66">
                  <v>16:45</v>
                </pt>
                <pt idx="67">
                  <v>17:00</v>
                </pt>
                <pt idx="68">
                  <v>17:15</v>
                </pt>
                <pt idx="69">
                  <v>17:30</v>
                </pt>
                <pt idx="70">
                  <v>17:45</v>
                </pt>
                <pt idx="71">
                  <v>18:00</v>
                </pt>
                <pt idx="72">
                  <v>18:15</v>
                </pt>
                <pt idx="73">
                  <v>18:30</v>
                </pt>
                <pt idx="74">
                  <v>18:45</v>
                </pt>
                <pt idx="75">
                  <v>19:00</v>
                </pt>
                <pt idx="76">
                  <v>19:15</v>
                </pt>
                <pt idx="77">
                  <v>19:30</v>
                </pt>
                <pt idx="78">
                  <v>19:45</v>
                </pt>
                <pt idx="79">
                  <v>20:00</v>
                </pt>
                <pt idx="80">
                  <v>20:15</v>
                </pt>
                <pt idx="81">
                  <v>20:30</v>
                </pt>
                <pt idx="82">
                  <v>20:45</v>
                </pt>
                <pt idx="83">
                  <v>21:00</v>
                </pt>
                <pt idx="84">
                  <v>21:15</v>
                </pt>
                <pt idx="85">
                  <v>21:30</v>
                </pt>
                <pt idx="86">
                  <v>21:45</v>
                </pt>
                <pt idx="87">
                  <v>22:00</v>
                </pt>
                <pt idx="88">
                  <v>22:15</v>
                </pt>
                <pt idx="89">
                  <v>22:30</v>
                </pt>
                <pt idx="90">
                  <v>22:45</v>
                </pt>
                <pt idx="91">
                  <v>23:00</v>
                </pt>
                <pt idx="92">
                  <v>23:15</v>
                </pt>
                <pt idx="93">
                  <v>23:30</v>
                </pt>
                <pt idx="94">
                  <v>23:45</v>
                </pt>
                <pt idx="95">
                  <v>24:00</v>
                </pt>
                <pt idx="96">
                  <v>00:15</v>
                </pt>
                <pt idx="97">
                  <v>00:30</v>
                </pt>
                <pt idx="98">
                  <v>00:45</v>
                </pt>
                <pt idx="99">
                  <v>01:00</v>
                </pt>
                <pt idx="100">
                  <v>01:15</v>
                </pt>
                <pt idx="101">
                  <v>01:30</v>
                </pt>
                <pt idx="102">
                  <v>01:45</v>
                </pt>
                <pt idx="103">
                  <v>02:00</v>
                </pt>
                <pt idx="104">
                  <v>02:15</v>
                </pt>
                <pt idx="105">
                  <v>02:30</v>
                </pt>
                <pt idx="106">
                  <v>02:45</v>
                </pt>
                <pt idx="107">
                  <v>03:00</v>
                </pt>
                <pt idx="108">
                  <v>03:15</v>
                </pt>
                <pt idx="109">
                  <v>03:30</v>
                </pt>
                <pt idx="110">
                  <v>03:45</v>
                </pt>
                <pt idx="111">
                  <v>04:00</v>
                </pt>
                <pt idx="112">
                  <v>04:15</v>
                </pt>
                <pt idx="113">
                  <v>04:30</v>
                </pt>
                <pt idx="114">
                  <v>04:45</v>
                </pt>
                <pt idx="115">
                  <v>05:00</v>
                </pt>
                <pt idx="116">
                  <v>05:15</v>
                </pt>
                <pt idx="117">
                  <v>05:30</v>
                </pt>
                <pt idx="118">
                  <v>05:45</v>
                </pt>
                <pt idx="119">
                  <v>06:00</v>
                </pt>
                <pt idx="120">
                  <v>06:15</v>
                </pt>
                <pt idx="121">
                  <v>06:30</v>
                </pt>
                <pt idx="122">
                  <v>06:45</v>
                </pt>
                <pt idx="123">
                  <v>07:00</v>
                </pt>
                <pt idx="124">
                  <v>07:15</v>
                </pt>
                <pt idx="125">
                  <v>07:30</v>
                </pt>
                <pt idx="126">
                  <v>07:45</v>
                </pt>
                <pt idx="127">
                  <v>08:00</v>
                </pt>
                <pt idx="128">
                  <v>08:15</v>
                </pt>
                <pt idx="129">
                  <v>08:30</v>
                </pt>
                <pt idx="130">
                  <v>08:45</v>
                </pt>
                <pt idx="131">
                  <v>09:00</v>
                </pt>
                <pt idx="132">
                  <v>09:15</v>
                </pt>
                <pt idx="133">
                  <v>09:30</v>
                </pt>
                <pt idx="134">
                  <v>09:45</v>
                </pt>
                <pt idx="135">
                  <v>10:00</v>
                </pt>
                <pt idx="136">
                  <v>10:15</v>
                </pt>
                <pt idx="137">
                  <v>10:30</v>
                </pt>
                <pt idx="138">
                  <v>10:45</v>
                </pt>
                <pt idx="139">
                  <v>11:00</v>
                </pt>
                <pt idx="140">
                  <v>11:15</v>
                </pt>
                <pt idx="141">
                  <v>11:30</v>
                </pt>
                <pt idx="142">
                  <v>11:45</v>
                </pt>
                <pt idx="143">
                  <v>12:00</v>
                </pt>
                <pt idx="144">
                  <v>12:15</v>
                </pt>
                <pt idx="145">
                  <v>12:30</v>
                </pt>
                <pt idx="146">
                  <v>12:45</v>
                </pt>
                <pt idx="147">
                  <v>13:00</v>
                </pt>
                <pt idx="148">
                  <v>13:15</v>
                </pt>
                <pt idx="149">
                  <v>13:30</v>
                </pt>
                <pt idx="150">
                  <v>13:45</v>
                </pt>
                <pt idx="151">
                  <v>14:00</v>
                </pt>
                <pt idx="152">
                  <v>14:15</v>
                </pt>
                <pt idx="153">
                  <v>14:30</v>
                </pt>
                <pt idx="154">
                  <v>14:45</v>
                </pt>
                <pt idx="155">
                  <v>15:00</v>
                </pt>
                <pt idx="156">
                  <v>15:15</v>
                </pt>
                <pt idx="157">
                  <v>15:30</v>
                </pt>
                <pt idx="158">
                  <v>15:45</v>
                </pt>
                <pt idx="159">
                  <v>16:00</v>
                </pt>
                <pt idx="160">
                  <v>16:15</v>
                </pt>
                <pt idx="161">
                  <v>16:30</v>
                </pt>
                <pt idx="162">
                  <v>16:45</v>
                </pt>
                <pt idx="163">
                  <v>17:00</v>
                </pt>
                <pt idx="164">
                  <v>17:15</v>
                </pt>
                <pt idx="165">
                  <v>17:30</v>
                </pt>
                <pt idx="166">
                  <v>17:45</v>
                </pt>
                <pt idx="167">
                  <v>18:00</v>
                </pt>
                <pt idx="168">
                  <v>18:15</v>
                </pt>
                <pt idx="169">
                  <v>18:30</v>
                </pt>
                <pt idx="170">
                  <v>18:45</v>
                </pt>
                <pt idx="171">
                  <v>19:00</v>
                </pt>
                <pt idx="172">
                  <v>19:15</v>
                </pt>
                <pt idx="173">
                  <v>19:30</v>
                </pt>
                <pt idx="174">
                  <v>19:45</v>
                </pt>
                <pt idx="175">
                  <v>20:00</v>
                </pt>
                <pt idx="176">
                  <v>20:15</v>
                </pt>
                <pt idx="177">
                  <v>20:30</v>
                </pt>
                <pt idx="178">
                  <v>20:45</v>
                </pt>
                <pt idx="179">
                  <v>21:00</v>
                </pt>
                <pt idx="180">
                  <v>21:15</v>
                </pt>
                <pt idx="181">
                  <v>21:30</v>
                </pt>
                <pt idx="182">
                  <v>21:45</v>
                </pt>
                <pt idx="183">
                  <v>22:00</v>
                </pt>
                <pt idx="184">
                  <v>22:15</v>
                </pt>
                <pt idx="185">
                  <v>22:30</v>
                </pt>
                <pt idx="186">
                  <v>22:45</v>
                </pt>
                <pt idx="187">
                  <v>23:00</v>
                </pt>
                <pt idx="188">
                  <v>23:15</v>
                </pt>
                <pt idx="189">
                  <v>23:30</v>
                </pt>
                <pt idx="190">
                  <v>23:45</v>
                </pt>
                <pt idx="191">
                  <v>24:00</v>
                </pt>
              </strCache>
            </strRef>
          </cat>
          <val>
            <numRef>
              <f>Sheet3!$B$2:$GK$2</f>
              <numCache>
                <formatCode>General</formatCode>
                <ptCount val="192"/>
                <pt idx="0">
                  <v>43120.55</v>
                </pt>
                <pt idx="1">
                  <v>41694.66</v>
                </pt>
                <pt idx="2">
                  <v>41488.85000000001</v>
                </pt>
                <pt idx="3">
                  <v>41049.52</v>
                </pt>
                <pt idx="4">
                  <v>40915.1</v>
                </pt>
                <pt idx="5">
                  <v>40663.39</v>
                </pt>
                <pt idx="6">
                  <v>40673.96</v>
                </pt>
                <pt idx="7">
                  <v>40356.89999999999</v>
                </pt>
                <pt idx="8">
                  <v>41531.08</v>
                </pt>
                <pt idx="9">
                  <v>41441.37</v>
                </pt>
                <pt idx="10">
                  <v>41319.42</v>
                </pt>
                <pt idx="11">
                  <v>40937.13</v>
                </pt>
                <pt idx="12">
                  <v>40677.94</v>
                </pt>
                <pt idx="13">
                  <v>40605.21</v>
                </pt>
                <pt idx="14">
                  <v>40450.56</v>
                </pt>
                <pt idx="15">
                  <v>40254.71</v>
                </pt>
                <pt idx="16">
                  <v>40460.68</v>
                </pt>
                <pt idx="17">
                  <v>40547.77</v>
                </pt>
                <pt idx="18">
                  <v>40848.66</v>
                </pt>
                <pt idx="19">
                  <v>41338.27</v>
                </pt>
                <pt idx="20">
                  <v>41682.11</v>
                </pt>
                <pt idx="21">
                  <v>41197.95</v>
                </pt>
                <pt idx="22">
                  <v>40931.99</v>
                </pt>
                <pt idx="23">
                  <v>40531.09</v>
                </pt>
                <pt idx="24">
                  <v>40743.38999999999</v>
                </pt>
                <pt idx="25">
                  <v>41675.57000000001</v>
                </pt>
                <pt idx="26">
                  <v>42762.94</v>
                </pt>
                <pt idx="27">
                  <v>43505.92000000001</v>
                </pt>
                <pt idx="28">
                  <v>44088.24</v>
                </pt>
                <pt idx="29">
                  <v>43998.36</v>
                </pt>
                <pt idx="30">
                  <v>44207.42000000001</v>
                </pt>
                <pt idx="31">
                  <v>43208.86</v>
                </pt>
                <pt idx="32">
                  <v>41674.51</v>
                </pt>
                <pt idx="33">
                  <v>38636.36</v>
                </pt>
                <pt idx="34">
                  <v>35251.37</v>
                </pt>
                <pt idx="35">
                  <v>32030.43</v>
                </pt>
                <pt idx="36">
                  <v>29087.46999999999</v>
                </pt>
                <pt idx="37">
                  <v>26439.28</v>
                </pt>
                <pt idx="38">
                  <v>23581.13</v>
                </pt>
                <pt idx="39">
                  <v>21462.28</v>
                </pt>
                <pt idx="40">
                  <v>20277.08</v>
                </pt>
                <pt idx="41">
                  <v>19450.33</v>
                </pt>
                <pt idx="42">
                  <v>18271.79</v>
                </pt>
                <pt idx="43">
                  <v>17028.03</v>
                </pt>
                <pt idx="44">
                  <v>17095.06</v>
                </pt>
                <pt idx="45">
                  <v>15113.43</v>
                </pt>
                <pt idx="46">
                  <v>13942.14</v>
                </pt>
                <pt idx="47">
                  <v>11983.28000000001</v>
                </pt>
                <pt idx="48">
                  <v>11256.42</v>
                </pt>
                <pt idx="49">
                  <v>11261.4</v>
                </pt>
                <pt idx="50">
                  <v>12408.13</v>
                </pt>
                <pt idx="51">
                  <v>13261.97</v>
                </pt>
                <pt idx="52">
                  <v>15771.61</v>
                </pt>
                <pt idx="53">
                  <v>17263.71</v>
                </pt>
                <pt idx="54">
                  <v>18864.4</v>
                </pt>
                <pt idx="55">
                  <v>19985.65</v>
                </pt>
                <pt idx="56">
                  <v>22122.06</v>
                </pt>
                <pt idx="57">
                  <v>24448.43000000001</v>
                </pt>
                <pt idx="58">
                  <v>26816.16999999999</v>
                </pt>
                <pt idx="59">
                  <v>28716.73</v>
                </pt>
                <pt idx="60">
                  <v>31301.12000000001</v>
                </pt>
                <pt idx="61">
                  <v>34135.39</v>
                </pt>
                <pt idx="62">
                  <v>36482.66</v>
                </pt>
                <pt idx="63">
                  <v>37214.08</v>
                </pt>
                <pt idx="64">
                  <v>38460.89</v>
                </pt>
                <pt idx="65">
                  <v>40029.46000000001</v>
                </pt>
                <pt idx="66">
                  <v>41129.20999999999</v>
                </pt>
                <pt idx="67">
                  <v>41347.49</v>
                </pt>
                <pt idx="68">
                  <v>41289.96</v>
                </pt>
                <pt idx="69">
                  <v>40708.54000000001</v>
                </pt>
                <pt idx="70">
                  <v>39349.26</v>
                </pt>
                <pt idx="71">
                  <v>37493.87</v>
                </pt>
                <pt idx="72">
                  <v>36072.28999999999</v>
                </pt>
                <pt idx="73">
                  <v>34892.25000000001</v>
                </pt>
                <pt idx="74">
                  <v>34331.09</v>
                </pt>
                <pt idx="75">
                  <v>33380.24000000001</v>
                </pt>
                <pt idx="76">
                  <v>32816.96999999999</v>
                </pt>
                <pt idx="77">
                  <v>32369.51000000001</v>
                </pt>
                <pt idx="78">
                  <v>31770.69</v>
                </pt>
                <pt idx="79">
                  <v>31499.59</v>
                </pt>
                <pt idx="80">
                  <v>31112.50000000001</v>
                </pt>
                <pt idx="81">
                  <v>30647.80999999999</v>
                </pt>
                <pt idx="82">
                  <v>30319.27</v>
                </pt>
                <pt idx="83">
                  <v>30376.41</v>
                </pt>
                <pt idx="84">
                  <v>30857.41999999999</v>
                </pt>
                <pt idx="85">
                  <v>30254.8</v>
                </pt>
                <pt idx="86">
                  <v>29459.36</v>
                </pt>
                <pt idx="87">
                  <v>28090.59999999999</v>
                </pt>
                <pt idx="88">
                  <v>26983.67</v>
                </pt>
                <pt idx="89">
                  <v>26742.95</v>
                </pt>
                <pt idx="90">
                  <v>26718.09</v>
                </pt>
                <pt idx="91">
                  <v>26058.64</v>
                </pt>
                <pt idx="92">
                  <v>26893.08</v>
                </pt>
                <pt idx="93">
                  <v>25977.45</v>
                </pt>
                <pt idx="94">
                  <v>24933.74</v>
                </pt>
                <pt idx="95">
                  <v>24081.51</v>
                </pt>
                <pt idx="96">
                  <v>24353.79</v>
                </pt>
                <pt idx="97">
                  <v>24137.59</v>
                </pt>
                <pt idx="98">
                  <v>23797.04</v>
                </pt>
                <pt idx="99">
                  <v>23408.25</v>
                </pt>
                <pt idx="100">
                  <v>23163.75</v>
                </pt>
                <pt idx="101">
                  <v>22796.42</v>
                </pt>
                <pt idx="102">
                  <v>22578.83</v>
                </pt>
                <pt idx="103">
                  <v>22409.54</v>
                </pt>
                <pt idx="104">
                  <v>23479.29</v>
                </pt>
                <pt idx="105">
                  <v>24100.1</v>
                </pt>
                <pt idx="106">
                  <v>23932.83</v>
                </pt>
                <pt idx="107">
                  <v>23842.48</v>
                </pt>
                <pt idx="108">
                  <v>23647.07</v>
                </pt>
                <pt idx="109">
                  <v>23829.66</v>
                </pt>
                <pt idx="110">
                  <v>23795.12</v>
                </pt>
                <pt idx="111">
                  <v>23985.14</v>
                </pt>
                <pt idx="112">
                  <v>24010.68</v>
                </pt>
                <pt idx="113">
                  <v>24484.01</v>
                </pt>
                <pt idx="114">
                  <v>25217.86</v>
                </pt>
                <pt idx="115">
                  <v>25471.98</v>
                </pt>
                <pt idx="116">
                  <v>26421.85</v>
                </pt>
                <pt idx="117">
                  <v>26331.92</v>
                </pt>
                <pt idx="118">
                  <v>26005.93</v>
                </pt>
                <pt idx="119">
                  <v>25795.79</v>
                </pt>
                <pt idx="120">
                  <v>25905.83</v>
                </pt>
                <pt idx="121">
                  <v>27222.7</v>
                </pt>
                <pt idx="122">
                  <v>28182.28999999999</v>
                </pt>
                <pt idx="123">
                  <v>29191.35999999999</v>
                </pt>
                <pt idx="124">
                  <v>31098.44999999999</v>
                </pt>
                <pt idx="125">
                  <v>32530.65000000001</v>
                </pt>
                <pt idx="126">
                  <v>33333.61</v>
                </pt>
                <pt idx="127">
                  <v>33635.95</v>
                </pt>
                <pt idx="128">
                  <v>32331.48</v>
                </pt>
                <pt idx="129">
                  <v>30114.76</v>
                </pt>
                <pt idx="130">
                  <v>27709.20999999999</v>
                </pt>
                <pt idx="131">
                  <v>25281.4</v>
                </pt>
                <pt idx="132">
                  <v>22649.39999999999</v>
                </pt>
                <pt idx="133">
                  <v>20639.19</v>
                </pt>
                <pt idx="134">
                  <v>18138.45</v>
                </pt>
                <pt idx="135">
                  <v>17135.48</v>
                </pt>
                <pt idx="136">
                  <v>16234.57</v>
                </pt>
                <pt idx="137">
                  <v>15392.5</v>
                </pt>
                <pt idx="138">
                  <v>14384.53</v>
                </pt>
                <pt idx="139">
                  <v>13691.01</v>
                </pt>
                <pt idx="140">
                  <v>14201.41</v>
                </pt>
                <pt idx="141">
                  <v>12231.38</v>
                </pt>
                <pt idx="142">
                  <v>11271.59999999999</v>
                </pt>
                <pt idx="143">
                  <v>10152.13</v>
                </pt>
                <pt idx="144">
                  <v>10157.61</v>
                </pt>
                <pt idx="145">
                  <v>10026.21</v>
                </pt>
                <pt idx="146">
                  <v>11222.59</v>
                </pt>
                <pt idx="147">
                  <v>12856.34</v>
                </pt>
                <pt idx="148">
                  <v>15494.38</v>
                </pt>
                <pt idx="149">
                  <v>17520.81</v>
                </pt>
                <pt idx="150">
                  <v>19305.46</v>
                </pt>
                <pt idx="151">
                  <v>21049.12</v>
                </pt>
                <pt idx="152">
                  <v>23476.87</v>
                </pt>
                <pt idx="153">
                  <v>26320.08</v>
                </pt>
                <pt idx="154">
                  <v>29044.82</v>
                </pt>
                <pt idx="155">
                  <v>31862.54999999999</v>
                </pt>
                <pt idx="156">
                  <v>34409.51</v>
                </pt>
                <pt idx="157">
                  <v>36751.52</v>
                </pt>
                <pt idx="158">
                  <v>39569.64000000001</v>
                </pt>
                <pt idx="159">
                  <v>41582.81999999999</v>
                </pt>
                <pt idx="160">
                  <v>43728.57999999999</v>
                </pt>
                <pt idx="161">
                  <v>45881.91999999999</v>
                </pt>
                <pt idx="162">
                  <v>47671.39</v>
                </pt>
                <pt idx="163">
                  <v>47966.72000000001</v>
                </pt>
                <pt idx="164">
                  <v>48162.55</v>
                </pt>
                <pt idx="165">
                  <v>47900.06999999999</v>
                </pt>
                <pt idx="166">
                  <v>46450.27</v>
                </pt>
                <pt idx="167">
                  <v>44961.63</v>
                </pt>
                <pt idx="168">
                  <v>43638.66</v>
                </pt>
                <pt idx="169">
                  <v>43164.32000000001</v>
                </pt>
                <pt idx="170">
                  <v>41879.08</v>
                </pt>
                <pt idx="171">
                  <v>41377.25999999999</v>
                </pt>
                <pt idx="172">
                  <v>40780.75999999999</v>
                </pt>
                <pt idx="173">
                  <v>40274.98</v>
                </pt>
                <pt idx="174">
                  <v>39750.51999999999</v>
                </pt>
                <pt idx="175">
                  <v>39412.22000000001</v>
                </pt>
                <pt idx="176">
                  <v>39362.25</v>
                </pt>
                <pt idx="177">
                  <v>39122.96</v>
                </pt>
                <pt idx="178">
                  <v>39031.43</v>
                </pt>
                <pt idx="179">
                  <v>38865.81999999999</v>
                </pt>
                <pt idx="180">
                  <v>39512.88</v>
                </pt>
                <pt idx="181">
                  <v>38885.81</v>
                </pt>
                <pt idx="182">
                  <v>37978.45</v>
                </pt>
                <pt idx="183">
                  <v>37102.22</v>
                </pt>
                <pt idx="184">
                  <v>36073.92</v>
                </pt>
                <pt idx="185">
                  <v>36304.58</v>
                </pt>
                <pt idx="186">
                  <v>35990.14</v>
                </pt>
                <pt idx="187">
                  <v>35856.67999999999</v>
                </pt>
                <pt idx="188">
                  <v>36493.8</v>
                </pt>
                <pt idx="189">
                  <v>35640.21</v>
                </pt>
                <pt idx="190">
                  <v>35102.44</v>
                </pt>
                <pt idx="191">
                  <v>34308.07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7124336"/>
        <axId val="1022642128"/>
      </lineChart>
      <catAx>
        <axId val="10271243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2642128"/>
        <crosses val="autoZero"/>
        <auto val="1"/>
        <lblAlgn val="ctr"/>
        <lblOffset val="100"/>
        <noMultiLvlLbl val="0"/>
      </catAx>
      <valAx>
        <axId val="10226421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7124336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8</row>
      <rowOff>129540</rowOff>
    </from>
    <to>
      <col>18</col>
      <colOff>556260</colOff>
      <row>24</row>
      <rowOff>76200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79</col>
      <colOff>99060</colOff>
      <row>5</row>
      <rowOff>99060</rowOff>
    </from>
    <to>
      <col>93</col>
      <colOff>121920</colOff>
      <row>21</row>
      <rowOff>15240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28"/>
  <sheetViews>
    <sheetView tabSelected="1" workbookViewId="0">
      <selection activeCell="A7" sqref="A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60873.67</v>
      </c>
      <c r="C3" s="2" t="n">
        <v>60341.48</v>
      </c>
      <c r="D3" s="2" t="n">
        <v>59927.78</v>
      </c>
      <c r="E3" s="2" t="n">
        <v>59672.54</v>
      </c>
      <c r="F3" s="2" t="n">
        <v>59381.98</v>
      </c>
      <c r="G3" s="2" t="n">
        <v>59186.3</v>
      </c>
      <c r="H3" s="2" t="n">
        <v>58888.39</v>
      </c>
      <c r="I3" s="2" t="n">
        <v>58334.52</v>
      </c>
      <c r="J3" s="2" t="n">
        <v>58227.92</v>
      </c>
      <c r="K3" s="2" t="n">
        <v>57938.19</v>
      </c>
      <c r="L3" s="2" t="n">
        <v>57607.59</v>
      </c>
      <c r="M3" s="2" t="n">
        <v>57336.97</v>
      </c>
      <c r="N3" s="2" t="n">
        <v>57243</v>
      </c>
      <c r="O3" s="2" t="n">
        <v>57297.48</v>
      </c>
      <c r="P3" s="2" t="n">
        <v>57097.16</v>
      </c>
      <c r="Q3" s="2" t="n">
        <v>57236</v>
      </c>
      <c r="R3" s="2" t="n">
        <v>57332.23</v>
      </c>
      <c r="S3" s="2" t="n">
        <v>57632.77</v>
      </c>
      <c r="T3" s="2" t="n">
        <v>57852.65</v>
      </c>
      <c r="U3" s="2" t="n">
        <v>58512.4</v>
      </c>
      <c r="V3" s="2" t="n">
        <v>59320.56</v>
      </c>
      <c r="W3" s="2" t="n">
        <v>60276.98</v>
      </c>
      <c r="X3" s="2" t="n">
        <v>60759.96</v>
      </c>
      <c r="Y3" s="2" t="n">
        <v>62076.59</v>
      </c>
      <c r="Z3" s="2" t="n">
        <v>63474.42</v>
      </c>
      <c r="AA3" s="2" t="n">
        <v>64311.29</v>
      </c>
      <c r="AB3" s="2" t="n">
        <v>64678.78</v>
      </c>
      <c r="AC3" s="2" t="n">
        <v>65136.99</v>
      </c>
      <c r="AD3" s="2" t="n">
        <v>66013.19</v>
      </c>
      <c r="AE3" s="2" t="n">
        <v>66951.78</v>
      </c>
      <c r="AF3" s="2" t="n">
        <v>68702.95</v>
      </c>
      <c r="AG3" s="2" t="n">
        <v>69986.53</v>
      </c>
      <c r="AH3" s="2" t="n">
        <v>71763.71000000001</v>
      </c>
      <c r="AI3" s="2" t="n">
        <v>72327.50999999999</v>
      </c>
      <c r="AJ3" s="2" t="n">
        <v>73155.91</v>
      </c>
      <c r="AK3" s="2" t="n">
        <v>73358.52</v>
      </c>
      <c r="AL3" s="2" t="n">
        <v>73887.16</v>
      </c>
      <c r="AM3" s="2" t="n">
        <v>73945.38</v>
      </c>
      <c r="AN3" s="2" t="n">
        <v>74212.55</v>
      </c>
      <c r="AO3" s="2" t="n">
        <v>74544.5</v>
      </c>
      <c r="AP3" s="2" t="n">
        <v>77246.34</v>
      </c>
      <c r="AQ3" s="2" t="n">
        <v>77480.71000000001</v>
      </c>
      <c r="AR3" s="2" t="n">
        <v>77781</v>
      </c>
      <c r="AS3" s="2" t="n">
        <v>77938.98</v>
      </c>
      <c r="AT3" s="2" t="n">
        <v>79540.98</v>
      </c>
      <c r="AU3" s="2" t="n">
        <v>78220.41</v>
      </c>
      <c r="AV3" s="2" t="n">
        <v>76491.52</v>
      </c>
      <c r="AW3" s="2" t="n">
        <v>73536.03999999999</v>
      </c>
      <c r="AX3" s="2" t="n">
        <v>72564.60000000001</v>
      </c>
      <c r="AY3" s="2" t="n">
        <v>72173.67999999999</v>
      </c>
      <c r="AZ3" s="2" t="n">
        <v>72081.55</v>
      </c>
      <c r="BA3" s="2" t="n">
        <v>72279.53999999999</v>
      </c>
      <c r="BB3" s="2" t="n">
        <v>73099.08</v>
      </c>
      <c r="BC3" s="2" t="n">
        <v>73146.07000000001</v>
      </c>
      <c r="BD3" s="2" t="n">
        <v>73634.03999999999</v>
      </c>
      <c r="BE3" s="2" t="n">
        <v>73120.66</v>
      </c>
      <c r="BF3" s="2" t="n">
        <v>73291.52</v>
      </c>
      <c r="BG3" s="2" t="n">
        <v>73339.33</v>
      </c>
      <c r="BH3" s="2" t="n">
        <v>73201.39</v>
      </c>
      <c r="BI3" s="2" t="n">
        <v>72535.37</v>
      </c>
      <c r="BJ3" s="2" t="n">
        <v>71794.78</v>
      </c>
      <c r="BK3" s="2" t="n">
        <v>71628.81</v>
      </c>
      <c r="BL3" s="2" t="n">
        <v>71920.84</v>
      </c>
      <c r="BM3" s="2" t="n">
        <v>71330.5</v>
      </c>
      <c r="BN3" s="2" t="n">
        <v>71594.16</v>
      </c>
      <c r="BO3" s="2" t="n">
        <v>71748.81</v>
      </c>
      <c r="BP3" s="2" t="n">
        <v>72288.37</v>
      </c>
      <c r="BQ3" s="2" t="n">
        <v>70958.95</v>
      </c>
      <c r="BR3" s="2" t="n">
        <v>70355.46000000001</v>
      </c>
      <c r="BS3" s="2" t="n">
        <v>70260.42999999999</v>
      </c>
      <c r="BT3" s="2" t="n">
        <v>70158.21000000001</v>
      </c>
      <c r="BU3" s="2" t="n">
        <v>69852.78999999999</v>
      </c>
      <c r="BV3" s="2" t="n">
        <v>70079.82000000001</v>
      </c>
      <c r="BW3" s="2" t="n">
        <v>70310.7</v>
      </c>
      <c r="BX3" s="2" t="n">
        <v>69868.03</v>
      </c>
      <c r="BY3" s="2" t="n">
        <v>70030.44</v>
      </c>
      <c r="BZ3" s="2" t="n">
        <v>70473.17999999999</v>
      </c>
      <c r="CA3" s="2" t="n">
        <v>70482.16</v>
      </c>
      <c r="CB3" s="2" t="n">
        <v>70566.11</v>
      </c>
      <c r="CC3" s="2" t="n">
        <v>69925.03</v>
      </c>
      <c r="CD3" s="2" t="n">
        <v>70150.3</v>
      </c>
      <c r="CE3" s="2" t="n">
        <v>69863.77</v>
      </c>
      <c r="CF3" s="2" t="n">
        <v>69384.67999999999</v>
      </c>
      <c r="CG3" s="2" t="n">
        <v>69071.24000000001</v>
      </c>
      <c r="CH3" s="2" t="n">
        <v>68342.35000000001</v>
      </c>
      <c r="CI3" s="2" t="n">
        <v>67928.55</v>
      </c>
      <c r="CJ3" s="2" t="n">
        <v>66759.97</v>
      </c>
      <c r="CK3" s="2" t="n">
        <v>66078.05</v>
      </c>
      <c r="CL3" s="2" t="n">
        <v>67441.64</v>
      </c>
      <c r="CM3" s="2" t="n">
        <v>66446.91</v>
      </c>
      <c r="CN3" s="2" t="n">
        <v>65441.81</v>
      </c>
      <c r="CO3" s="2" t="n">
        <v>63882.53</v>
      </c>
      <c r="CP3" s="2" t="n">
        <v>63714.06</v>
      </c>
      <c r="CQ3" s="2" t="n">
        <v>62870.46</v>
      </c>
      <c r="CR3" s="2" t="n">
        <v>61995.89</v>
      </c>
      <c r="CS3" s="2" t="n">
        <v>61271.94</v>
      </c>
    </row>
    <row r="4">
      <c r="A4" s="2" t="inlineStr">
        <is>
          <t>联络线受电负荷</t>
        </is>
      </c>
      <c r="B4" s="2" t="n">
        <v>17332.12</v>
      </c>
      <c r="C4" s="2" t="n">
        <v>17765.52</v>
      </c>
      <c r="D4" s="2" t="n">
        <v>17766.14</v>
      </c>
      <c r="E4" s="2" t="n">
        <v>17766.44</v>
      </c>
      <c r="F4" s="2" t="n">
        <v>17482.19</v>
      </c>
      <c r="G4" s="2" t="n">
        <v>17598.64</v>
      </c>
      <c r="H4" s="2" t="n">
        <v>17631.26</v>
      </c>
      <c r="I4" s="2" t="n">
        <v>17602.73</v>
      </c>
      <c r="J4" s="2" t="n">
        <v>17695.69</v>
      </c>
      <c r="K4" s="2" t="n">
        <v>17841.57</v>
      </c>
      <c r="L4" s="2" t="n">
        <v>17649.09</v>
      </c>
      <c r="M4" s="2" t="n">
        <v>17623.98</v>
      </c>
      <c r="N4" s="2" t="n">
        <v>17650.88</v>
      </c>
      <c r="O4" s="2" t="n">
        <v>17610.9</v>
      </c>
      <c r="P4" s="2" t="n">
        <v>17554.35</v>
      </c>
      <c r="Q4" s="2" t="n">
        <v>17579.38</v>
      </c>
      <c r="R4" s="2" t="n">
        <v>17468.69</v>
      </c>
      <c r="S4" s="2" t="n">
        <v>17933.43</v>
      </c>
      <c r="T4" s="2" t="n">
        <v>17512.29</v>
      </c>
      <c r="U4" s="2" t="n">
        <v>17468.9</v>
      </c>
      <c r="V4" s="2" t="n">
        <v>17708.67</v>
      </c>
      <c r="W4" s="2" t="n">
        <v>19000.97</v>
      </c>
      <c r="X4" s="2" t="n">
        <v>19653.09</v>
      </c>
      <c r="Y4" s="2" t="n">
        <v>21119.98</v>
      </c>
      <c r="Z4" s="2" t="n">
        <v>22348.98</v>
      </c>
      <c r="AA4" s="2" t="n">
        <v>22547.03</v>
      </c>
      <c r="AB4" s="2" t="n">
        <v>23041.63</v>
      </c>
      <c r="AC4" s="2" t="n">
        <v>23581.25</v>
      </c>
      <c r="AD4" s="2" t="n">
        <v>23836.51</v>
      </c>
      <c r="AE4" s="2" t="n">
        <v>23727.97</v>
      </c>
      <c r="AF4" s="2" t="n">
        <v>22669.38</v>
      </c>
      <c r="AG4" s="2" t="n">
        <v>22446.43</v>
      </c>
      <c r="AH4" s="2" t="n">
        <v>21701.52</v>
      </c>
      <c r="AI4" s="2" t="n">
        <v>21746.67</v>
      </c>
      <c r="AJ4" s="2" t="n">
        <v>21844.96</v>
      </c>
      <c r="AK4" s="2" t="n">
        <v>21414.69</v>
      </c>
      <c r="AL4" s="2" t="n">
        <v>21552.13</v>
      </c>
      <c r="AM4" s="2" t="n">
        <v>20909.29</v>
      </c>
      <c r="AN4" s="2" t="n">
        <v>20930.15</v>
      </c>
      <c r="AO4" s="2" t="n">
        <v>20309.83</v>
      </c>
      <c r="AP4" s="2" t="n">
        <v>20489.86</v>
      </c>
      <c r="AQ4" s="2" t="n">
        <v>20573.16</v>
      </c>
      <c r="AR4" s="2" t="n">
        <v>20576.58</v>
      </c>
      <c r="AS4" s="2" t="n">
        <v>20185.01</v>
      </c>
      <c r="AT4" s="2" t="n">
        <v>20549.66</v>
      </c>
      <c r="AU4" s="2" t="n">
        <v>20339.82</v>
      </c>
      <c r="AV4" s="2" t="n">
        <v>20776.41</v>
      </c>
      <c r="AW4" s="2" t="n">
        <v>20919.02</v>
      </c>
      <c r="AX4" s="2" t="n">
        <v>20658.73</v>
      </c>
      <c r="AY4" s="2" t="n">
        <v>20505.86</v>
      </c>
      <c r="AZ4" s="2" t="n">
        <v>20644.68</v>
      </c>
      <c r="BA4" s="2" t="n">
        <v>20765.99</v>
      </c>
      <c r="BB4" s="2" t="n">
        <v>20816.99</v>
      </c>
      <c r="BC4" s="2" t="n">
        <v>20872.16</v>
      </c>
      <c r="BD4" s="2" t="n">
        <v>20605.7</v>
      </c>
      <c r="BE4" s="2" t="n">
        <v>20598.23</v>
      </c>
      <c r="BF4" s="2" t="n">
        <v>20391.24</v>
      </c>
      <c r="BG4" s="2" t="n">
        <v>20291.1</v>
      </c>
      <c r="BH4" s="2" t="n">
        <v>20527.76</v>
      </c>
      <c r="BI4" s="2" t="n">
        <v>20866.02</v>
      </c>
      <c r="BJ4" s="2" t="n">
        <v>21810</v>
      </c>
      <c r="BK4" s="2" t="n">
        <v>21655.98</v>
      </c>
      <c r="BL4" s="2" t="n">
        <v>21698.25</v>
      </c>
      <c r="BM4" s="2" t="n">
        <v>21741.48</v>
      </c>
      <c r="BN4" s="2" t="n">
        <v>21791.5</v>
      </c>
      <c r="BO4" s="2" t="n">
        <v>22381.81</v>
      </c>
      <c r="BP4" s="2" t="n">
        <v>22830.55</v>
      </c>
      <c r="BQ4" s="2" t="n">
        <v>23361.6</v>
      </c>
      <c r="BR4" s="2" t="n">
        <v>23590.57</v>
      </c>
      <c r="BS4" s="2" t="n">
        <v>23880.79</v>
      </c>
      <c r="BT4" s="2" t="n">
        <v>24027.03</v>
      </c>
      <c r="BU4" s="2" t="n">
        <v>23794.99</v>
      </c>
      <c r="BV4" s="2" t="n">
        <v>23992.72</v>
      </c>
      <c r="BW4" s="2" t="n">
        <v>23568.72</v>
      </c>
      <c r="BX4" s="2" t="n">
        <v>22729.55</v>
      </c>
      <c r="BY4" s="2" t="n">
        <v>22326.38</v>
      </c>
      <c r="BZ4" s="2" t="n">
        <v>22027.69</v>
      </c>
      <c r="CA4" s="2" t="n">
        <v>22021.03</v>
      </c>
      <c r="CB4" s="2" t="n">
        <v>22115.31</v>
      </c>
      <c r="CC4" s="2" t="n">
        <v>21926.15</v>
      </c>
      <c r="CD4" s="2" t="n">
        <v>22066.99</v>
      </c>
      <c r="CE4" s="2" t="n">
        <v>21416.42</v>
      </c>
      <c r="CF4" s="2" t="n">
        <v>21123.12</v>
      </c>
      <c r="CG4" s="2" t="n">
        <v>20756.81</v>
      </c>
      <c r="CH4" s="2" t="n">
        <v>20484.17</v>
      </c>
      <c r="CI4" s="2" t="n">
        <v>20398.28</v>
      </c>
      <c r="CJ4" s="2" t="n">
        <v>20001.21</v>
      </c>
      <c r="CK4" s="2" t="n">
        <v>19880.71</v>
      </c>
      <c r="CL4" s="2" t="n">
        <v>19934.11</v>
      </c>
      <c r="CM4" s="2" t="n">
        <v>19136.21</v>
      </c>
      <c r="CN4" s="2" t="n">
        <v>18705.13</v>
      </c>
      <c r="CO4" s="2" t="n">
        <v>17817.37</v>
      </c>
      <c r="CP4" s="2" t="n">
        <v>17350.09</v>
      </c>
      <c r="CQ4" s="2" t="n">
        <v>17490.23</v>
      </c>
      <c r="CR4" s="2" t="n">
        <v>17527</v>
      </c>
      <c r="CS4" s="2" t="n">
        <v>17837.96</v>
      </c>
    </row>
    <row r="5">
      <c r="A5" s="2" t="inlineStr">
        <is>
          <t>风电总加</t>
        </is>
      </c>
      <c r="B5" s="2" t="n">
        <v>14238.06</v>
      </c>
      <c r="C5" s="2" t="n">
        <v>14173.75</v>
      </c>
      <c r="D5" s="2" t="n">
        <v>13903.94</v>
      </c>
      <c r="E5" s="2" t="n">
        <v>13693.65</v>
      </c>
      <c r="F5" s="2" t="n">
        <v>13739.53</v>
      </c>
      <c r="G5" s="2" t="n">
        <v>13710.62</v>
      </c>
      <c r="H5" s="2" t="n">
        <v>13990.71</v>
      </c>
      <c r="I5" s="2" t="n">
        <v>14146.76</v>
      </c>
      <c r="J5" s="2" t="n">
        <v>14281.38</v>
      </c>
      <c r="K5" s="2" t="n">
        <v>14363.87</v>
      </c>
      <c r="L5" s="2" t="n">
        <v>14772.56</v>
      </c>
      <c r="M5" s="2" t="n">
        <v>14963.77</v>
      </c>
      <c r="N5" s="2" t="n">
        <v>15223.22</v>
      </c>
      <c r="O5" s="2" t="n">
        <v>15268.51</v>
      </c>
      <c r="P5" s="2" t="n">
        <v>15204.17</v>
      </c>
      <c r="Q5" s="2" t="n">
        <v>15246.56</v>
      </c>
      <c r="R5" s="2" t="n">
        <v>15399.13</v>
      </c>
      <c r="S5" s="2" t="n">
        <v>15397.88</v>
      </c>
      <c r="T5" s="2" t="n">
        <v>15572.66</v>
      </c>
      <c r="U5" s="2" t="n">
        <v>15733.39</v>
      </c>
      <c r="V5" s="2" t="n">
        <v>15724.94</v>
      </c>
      <c r="W5" s="2" t="n">
        <v>15918.7</v>
      </c>
      <c r="X5" s="2" t="n">
        <v>15995.29</v>
      </c>
      <c r="Y5" s="2" t="n">
        <v>16057.79</v>
      </c>
      <c r="Z5" s="2" t="n">
        <v>16131.31</v>
      </c>
      <c r="AA5" s="2" t="n">
        <v>16314.62</v>
      </c>
      <c r="AB5" s="2" t="n">
        <v>16211.96</v>
      </c>
      <c r="AC5" s="2" t="n">
        <v>16104.32</v>
      </c>
      <c r="AD5" s="2" t="n">
        <v>15908.73</v>
      </c>
      <c r="AE5" s="2" t="n">
        <v>15875.58</v>
      </c>
      <c r="AF5" s="2" t="n">
        <v>16106.41</v>
      </c>
      <c r="AG5" s="2" t="n">
        <v>16349.93</v>
      </c>
      <c r="AH5" s="2" t="n">
        <v>16352.04</v>
      </c>
      <c r="AI5" s="2" t="n">
        <v>16345.2</v>
      </c>
      <c r="AJ5" s="2" t="n">
        <v>16420.42</v>
      </c>
      <c r="AK5" s="2" t="n">
        <v>16335</v>
      </c>
      <c r="AL5" s="2" t="n">
        <v>16439.89</v>
      </c>
      <c r="AM5" s="2" t="n">
        <v>16437.82</v>
      </c>
      <c r="AN5" s="2" t="n">
        <v>16345.58</v>
      </c>
      <c r="AO5" s="2" t="n">
        <v>16316.57</v>
      </c>
      <c r="AP5" s="2" t="n">
        <v>16122.57</v>
      </c>
      <c r="AQ5" s="2" t="n">
        <v>16182.16</v>
      </c>
      <c r="AR5" s="2" t="n">
        <v>16043.85</v>
      </c>
      <c r="AS5" s="2" t="n">
        <v>15694.76</v>
      </c>
      <c r="AT5" s="2" t="n">
        <v>15597.33</v>
      </c>
      <c r="AU5" s="2" t="n">
        <v>15483.34</v>
      </c>
      <c r="AV5" s="2" t="n">
        <v>15588.54</v>
      </c>
      <c r="AW5" s="2" t="n">
        <v>15444.54</v>
      </c>
      <c r="AX5" s="2" t="n">
        <v>15354.83</v>
      </c>
      <c r="AY5" s="2" t="n">
        <v>15221.25</v>
      </c>
      <c r="AZ5" s="2" t="n">
        <v>15149.5</v>
      </c>
      <c r="BA5" s="2" t="n">
        <v>14844.87</v>
      </c>
      <c r="BB5" s="2" t="n">
        <v>14618.7</v>
      </c>
      <c r="BC5" s="2" t="n">
        <v>14396.56</v>
      </c>
      <c r="BD5" s="2" t="n">
        <v>13877.23</v>
      </c>
      <c r="BE5" s="2" t="n">
        <v>13716.09</v>
      </c>
      <c r="BF5" s="2" t="n">
        <v>13512.62</v>
      </c>
      <c r="BG5" s="2" t="n">
        <v>13299.69</v>
      </c>
      <c r="BH5" s="2" t="n">
        <v>13412.3</v>
      </c>
      <c r="BI5" s="2" t="n">
        <v>13466.48</v>
      </c>
      <c r="BJ5" s="2" t="n">
        <v>13489.47</v>
      </c>
      <c r="BK5" s="2" t="n">
        <v>13519.62</v>
      </c>
      <c r="BL5" s="2" t="n">
        <v>13653.57</v>
      </c>
      <c r="BM5" s="2" t="n">
        <v>13543.25</v>
      </c>
      <c r="BN5" s="2" t="n">
        <v>13576.53</v>
      </c>
      <c r="BO5" s="2" t="n">
        <v>13436.04</v>
      </c>
      <c r="BP5" s="2" t="n">
        <v>13369.35</v>
      </c>
      <c r="BQ5" s="2" t="n">
        <v>13195.71</v>
      </c>
      <c r="BR5" s="2" t="n">
        <v>13208.63</v>
      </c>
      <c r="BS5" s="2" t="n">
        <v>13255.44</v>
      </c>
      <c r="BT5" s="2" t="n">
        <v>13199.29</v>
      </c>
      <c r="BU5" s="2" t="n">
        <v>13207.14</v>
      </c>
      <c r="BV5" s="2" t="n">
        <v>13084.29</v>
      </c>
      <c r="BW5" s="2" t="n">
        <v>12938.3</v>
      </c>
      <c r="BX5" s="2" t="n">
        <v>12784.83</v>
      </c>
      <c r="BY5" s="2" t="n">
        <v>12757.29</v>
      </c>
      <c r="BZ5" s="2" t="n">
        <v>12390.42</v>
      </c>
      <c r="CA5" s="2" t="n">
        <v>12229.76</v>
      </c>
      <c r="CB5" s="2" t="n">
        <v>11957.05</v>
      </c>
      <c r="CC5" s="2" t="n">
        <v>11776.21</v>
      </c>
      <c r="CD5" s="2" t="n">
        <v>11664.91</v>
      </c>
      <c r="CE5" s="2" t="n">
        <v>11388.83</v>
      </c>
      <c r="CF5" s="2" t="n">
        <v>11276.32</v>
      </c>
      <c r="CG5" s="2" t="n">
        <v>10820.86</v>
      </c>
      <c r="CH5" s="2" t="n">
        <v>10434.65</v>
      </c>
      <c r="CI5" s="2" t="n">
        <v>10083.04</v>
      </c>
      <c r="CJ5" s="2" t="n">
        <v>9431.120000000001</v>
      </c>
      <c r="CK5" s="2" t="n">
        <v>9051.639999999999</v>
      </c>
      <c r="CL5" s="2" t="n">
        <v>8672.290000000001</v>
      </c>
      <c r="CM5" s="2" t="n">
        <v>8364.780000000001</v>
      </c>
      <c r="CN5" s="2" t="n">
        <v>8104.4</v>
      </c>
      <c r="CO5" s="2" t="n">
        <v>7729.93</v>
      </c>
      <c r="CP5" s="2" t="n">
        <v>7546.48</v>
      </c>
      <c r="CQ5" s="2" t="n">
        <v>7402.01</v>
      </c>
      <c r="CR5" s="2" t="n">
        <v>7183.35</v>
      </c>
      <c r="CS5" s="2" t="n">
        <v>7024.31</v>
      </c>
    </row>
    <row r="6">
      <c r="A6" s="2" t="inlineStr">
        <is>
          <t>光伏总加</t>
        </is>
      </c>
      <c r="B6" s="2" t="n">
        <v>-15.32</v>
      </c>
      <c r="C6" s="2" t="n">
        <v>-14.83</v>
      </c>
      <c r="D6" s="2" t="n">
        <v>-15.04</v>
      </c>
      <c r="E6" s="2" t="n">
        <v>-15.02</v>
      </c>
      <c r="F6" s="2" t="n">
        <v>-15.14</v>
      </c>
      <c r="G6" s="2" t="n">
        <v>-14.96</v>
      </c>
      <c r="H6" s="2" t="n">
        <v>-14.9</v>
      </c>
      <c r="I6" s="2" t="n">
        <v>-15.03</v>
      </c>
      <c r="J6" s="2" t="n">
        <v>-15.08</v>
      </c>
      <c r="K6" s="2" t="n">
        <v>-15.02</v>
      </c>
      <c r="L6" s="2" t="n">
        <v>-15.14</v>
      </c>
      <c r="M6" s="2" t="n">
        <v>-15</v>
      </c>
      <c r="N6" s="2" t="n">
        <v>-15</v>
      </c>
      <c r="O6" s="2" t="n">
        <v>-15.11</v>
      </c>
      <c r="P6" s="2" t="n">
        <v>-15.2</v>
      </c>
      <c r="Q6" s="2" t="n">
        <v>-14.86</v>
      </c>
      <c r="R6" s="2" t="n">
        <v>-15.18</v>
      </c>
      <c r="S6" s="2" t="n">
        <v>-15.03</v>
      </c>
      <c r="T6" s="2" t="n">
        <v>-15.42</v>
      </c>
      <c r="U6" s="2" t="n">
        <v>-11</v>
      </c>
      <c r="V6" s="2" t="n">
        <v>6.01</v>
      </c>
      <c r="W6" s="2" t="n">
        <v>82.34</v>
      </c>
      <c r="X6" s="2" t="n">
        <v>181.01</v>
      </c>
      <c r="Y6" s="2" t="n">
        <v>305.97</v>
      </c>
      <c r="Z6" s="2" t="n">
        <v>470.02</v>
      </c>
      <c r="AA6" s="2" t="n">
        <v>631.34</v>
      </c>
      <c r="AB6" s="2" t="n">
        <v>756.83</v>
      </c>
      <c r="AC6" s="2" t="n">
        <v>912.52</v>
      </c>
      <c r="AD6" s="2" t="n">
        <v>1115.51</v>
      </c>
      <c r="AE6" s="2" t="n">
        <v>1346.42</v>
      </c>
      <c r="AF6" s="2" t="n">
        <v>1589.51</v>
      </c>
      <c r="AG6" s="2" t="n">
        <v>1734.51</v>
      </c>
      <c r="AH6" s="2" t="n">
        <v>2046.17</v>
      </c>
      <c r="AI6" s="2" t="n">
        <v>2252.58</v>
      </c>
      <c r="AJ6" s="2" t="n">
        <v>2545.62</v>
      </c>
      <c r="AK6" s="2" t="n">
        <v>2783.14</v>
      </c>
      <c r="AL6" s="2" t="n">
        <v>3013.12</v>
      </c>
      <c r="AM6" s="2" t="n">
        <v>3188.26</v>
      </c>
      <c r="AN6" s="2" t="n">
        <v>3528.76</v>
      </c>
      <c r="AO6" s="2" t="n">
        <v>3582.69</v>
      </c>
      <c r="AP6" s="2" t="n">
        <v>3783.75</v>
      </c>
      <c r="AQ6" s="2" t="n">
        <v>4017.52</v>
      </c>
      <c r="AR6" s="2" t="n">
        <v>4248.28</v>
      </c>
      <c r="AS6" s="2" t="n">
        <v>4254.97</v>
      </c>
      <c r="AT6" s="2" t="n">
        <v>4360.07</v>
      </c>
      <c r="AU6" s="2" t="n">
        <v>4548.71</v>
      </c>
      <c r="AV6" s="2" t="n">
        <v>4816.41</v>
      </c>
      <c r="AW6" s="2" t="n">
        <v>4804.72</v>
      </c>
      <c r="AX6" s="2" t="n">
        <v>4995.43</v>
      </c>
      <c r="AY6" s="2" t="n">
        <v>5028.98</v>
      </c>
      <c r="AZ6" s="2" t="n">
        <v>4989.43</v>
      </c>
      <c r="BA6" s="2" t="n">
        <v>4972.91</v>
      </c>
      <c r="BB6" s="2" t="n">
        <v>4917.9</v>
      </c>
      <c r="BC6" s="2" t="n">
        <v>5069.93</v>
      </c>
      <c r="BD6" s="2" t="n">
        <v>4892</v>
      </c>
      <c r="BE6" s="2" t="n">
        <v>4501.32</v>
      </c>
      <c r="BF6" s="2" t="n">
        <v>4119.42</v>
      </c>
      <c r="BG6" s="2" t="n">
        <v>3934.5</v>
      </c>
      <c r="BH6" s="2" t="n">
        <v>3568.72</v>
      </c>
      <c r="BI6" s="2" t="n">
        <v>3344.57</v>
      </c>
      <c r="BJ6" s="2" t="n">
        <v>3150.67</v>
      </c>
      <c r="BK6" s="2" t="n">
        <v>2801.81</v>
      </c>
      <c r="BL6" s="2" t="n">
        <v>2561.5</v>
      </c>
      <c r="BM6" s="2" t="n">
        <v>2209.3</v>
      </c>
      <c r="BN6" s="2" t="n">
        <v>1958.63</v>
      </c>
      <c r="BO6" s="2" t="n">
        <v>1703.11</v>
      </c>
      <c r="BP6" s="2" t="n">
        <v>1417.81</v>
      </c>
      <c r="BQ6" s="2" t="n">
        <v>1179.03</v>
      </c>
      <c r="BR6" s="2" t="n">
        <v>1006.84</v>
      </c>
      <c r="BS6" s="2" t="n">
        <v>793.87</v>
      </c>
      <c r="BT6" s="2" t="n">
        <v>669.48</v>
      </c>
      <c r="BU6" s="2" t="n">
        <v>500.8</v>
      </c>
      <c r="BV6" s="2" t="n">
        <v>334.03</v>
      </c>
      <c r="BW6" s="2" t="n">
        <v>201.36</v>
      </c>
      <c r="BX6" s="2" t="n">
        <v>95.31</v>
      </c>
      <c r="BY6" s="2" t="n">
        <v>12.75</v>
      </c>
      <c r="BZ6" s="2" t="n">
        <v>-22.24</v>
      </c>
      <c r="CA6" s="2" t="n">
        <v>-22.1</v>
      </c>
      <c r="CB6" s="2" t="n">
        <v>-17.17</v>
      </c>
      <c r="CC6" s="2" t="n">
        <v>-15.9</v>
      </c>
      <c r="CD6" s="2" t="n">
        <v>-15.66</v>
      </c>
      <c r="CE6" s="2" t="n">
        <v>-15.94</v>
      </c>
      <c r="CF6" s="2" t="n">
        <v>-15.56</v>
      </c>
      <c r="CG6" s="2" t="n">
        <v>-15.32</v>
      </c>
      <c r="CH6" s="2" t="n">
        <v>-15.38</v>
      </c>
      <c r="CI6" s="2" t="n">
        <v>-15.46</v>
      </c>
      <c r="CJ6" s="2" t="n">
        <v>-15.52</v>
      </c>
      <c r="CK6" s="2" t="n">
        <v>-15.28</v>
      </c>
      <c r="CL6" s="2" t="n">
        <v>-15.23</v>
      </c>
      <c r="CM6" s="2" t="n">
        <v>-14.98</v>
      </c>
      <c r="CN6" s="2" t="n">
        <v>-15.14</v>
      </c>
      <c r="CO6" s="2" t="n">
        <v>-14.98</v>
      </c>
      <c r="CP6" s="2" t="n">
        <v>-14.77</v>
      </c>
      <c r="CQ6" s="2" t="n">
        <v>-14.78</v>
      </c>
      <c r="CR6" s="2" t="n">
        <v>-14.68</v>
      </c>
      <c r="CS6" s="2" t="n">
        <v>-14.83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  <row r="8" ht="27.6" customHeight="1">
      <c r="A8" s="3" t="inlineStr">
        <is>
          <t>最大值+备用+调频</t>
        </is>
      </c>
      <c r="B8">
        <f>MAX(B7:CS7)+4000+4000</f>
        <v/>
      </c>
      <c r="C8">
        <f>B8</f>
        <v/>
      </c>
      <c r="D8">
        <f>C8</f>
        <v/>
      </c>
      <c r="E8">
        <f>D8</f>
        <v/>
      </c>
      <c r="F8">
        <f>E8</f>
        <v/>
      </c>
      <c r="G8">
        <f>F8</f>
        <v/>
      </c>
      <c r="H8">
        <f>G8</f>
        <v/>
      </c>
      <c r="I8">
        <f>H8</f>
        <v/>
      </c>
      <c r="J8">
        <f>I8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R8">
        <f>Q8</f>
        <v/>
      </c>
      <c r="S8">
        <f>R8</f>
        <v/>
      </c>
      <c r="T8">
        <f>S8</f>
        <v/>
      </c>
      <c r="U8">
        <f>T8</f>
        <v/>
      </c>
      <c r="V8">
        <f>U8</f>
        <v/>
      </c>
      <c r="W8">
        <f>V8</f>
        <v/>
      </c>
      <c r="X8">
        <f>W8</f>
        <v/>
      </c>
      <c r="Y8">
        <f>X8</f>
        <v/>
      </c>
      <c r="Z8">
        <f>Y8</f>
        <v/>
      </c>
      <c r="AA8">
        <f>Z8</f>
        <v/>
      </c>
      <c r="AB8">
        <f>AA8</f>
        <v/>
      </c>
      <c r="AC8">
        <f>AB8</f>
        <v/>
      </c>
      <c r="AD8">
        <f>AC8</f>
        <v/>
      </c>
      <c r="AE8">
        <f>AD8</f>
        <v/>
      </c>
      <c r="AF8">
        <f>AE8</f>
        <v/>
      </c>
      <c r="AG8">
        <f>AF8</f>
        <v/>
      </c>
      <c r="AH8">
        <f>AG8</f>
        <v/>
      </c>
      <c r="AI8">
        <f>AH8</f>
        <v/>
      </c>
      <c r="AJ8">
        <f>AI8</f>
        <v/>
      </c>
      <c r="AK8">
        <f>AJ8</f>
        <v/>
      </c>
      <c r="AL8">
        <f>AK8</f>
        <v/>
      </c>
      <c r="AM8">
        <f>AL8</f>
        <v/>
      </c>
      <c r="AN8">
        <f>AM8</f>
        <v/>
      </c>
      <c r="AO8">
        <f>AN8</f>
        <v/>
      </c>
      <c r="AP8">
        <f>AO8</f>
        <v/>
      </c>
      <c r="AQ8">
        <f>AP8</f>
        <v/>
      </c>
      <c r="AR8">
        <f>AQ8</f>
        <v/>
      </c>
      <c r="AS8">
        <f>AR8</f>
        <v/>
      </c>
      <c r="AT8">
        <f>AS8</f>
        <v/>
      </c>
      <c r="AU8">
        <f>AT8</f>
        <v/>
      </c>
      <c r="AV8">
        <f>AU8</f>
        <v/>
      </c>
      <c r="AW8">
        <f>AV8</f>
        <v/>
      </c>
      <c r="AX8">
        <f>AW8</f>
        <v/>
      </c>
      <c r="AY8">
        <f>AX8</f>
        <v/>
      </c>
      <c r="AZ8">
        <f>AY8</f>
        <v/>
      </c>
      <c r="BA8">
        <f>AZ8</f>
        <v/>
      </c>
      <c r="BB8">
        <f>BA8</f>
        <v/>
      </c>
      <c r="BC8">
        <f>BB8</f>
        <v/>
      </c>
      <c r="BD8">
        <f>BC8</f>
        <v/>
      </c>
      <c r="BE8">
        <f>BD8</f>
        <v/>
      </c>
      <c r="BF8">
        <f>BE8</f>
        <v/>
      </c>
      <c r="BG8">
        <f>BF8</f>
        <v/>
      </c>
      <c r="BH8">
        <f>BG8</f>
        <v/>
      </c>
      <c r="BI8">
        <f>BH8</f>
        <v/>
      </c>
      <c r="BJ8">
        <f>BI8</f>
        <v/>
      </c>
      <c r="BK8">
        <f>BJ8</f>
        <v/>
      </c>
      <c r="BL8">
        <f>BK8</f>
        <v/>
      </c>
      <c r="BM8">
        <f>BL8</f>
        <v/>
      </c>
      <c r="BN8">
        <f>BM8</f>
        <v/>
      </c>
      <c r="BO8">
        <f>BN8</f>
        <v/>
      </c>
      <c r="BP8">
        <f>BO8</f>
        <v/>
      </c>
      <c r="BQ8">
        <f>BP8</f>
        <v/>
      </c>
      <c r="BR8">
        <f>BQ8</f>
        <v/>
      </c>
      <c r="BS8">
        <f>BR8</f>
        <v/>
      </c>
      <c r="BT8">
        <f>BS8</f>
        <v/>
      </c>
      <c r="BU8">
        <f>BT8</f>
        <v/>
      </c>
      <c r="BV8">
        <f>BU8</f>
        <v/>
      </c>
      <c r="BW8">
        <f>BV8</f>
        <v/>
      </c>
      <c r="BX8">
        <f>BW8</f>
        <v/>
      </c>
      <c r="BY8">
        <f>BX8</f>
        <v/>
      </c>
      <c r="BZ8">
        <f>BY8</f>
        <v/>
      </c>
      <c r="CA8">
        <f>BZ8</f>
        <v/>
      </c>
      <c r="CB8">
        <f>CA8</f>
        <v/>
      </c>
      <c r="CC8">
        <f>CB8</f>
        <v/>
      </c>
      <c r="CD8">
        <f>CC8</f>
        <v/>
      </c>
      <c r="CE8">
        <f>CD8</f>
        <v/>
      </c>
      <c r="CF8">
        <f>CE8</f>
        <v/>
      </c>
      <c r="CG8">
        <f>CF8</f>
        <v/>
      </c>
      <c r="CH8">
        <f>CG8</f>
        <v/>
      </c>
      <c r="CI8">
        <f>CH8</f>
        <v/>
      </c>
      <c r="CJ8">
        <f>CI8</f>
        <v/>
      </c>
      <c r="CK8">
        <f>CJ8</f>
        <v/>
      </c>
      <c r="CL8">
        <f>CK8</f>
        <v/>
      </c>
      <c r="CM8">
        <f>CL8</f>
        <v/>
      </c>
      <c r="CN8">
        <f>CM8</f>
        <v/>
      </c>
      <c r="CO8">
        <f>CN8</f>
        <v/>
      </c>
      <c r="CP8">
        <f>CO8</f>
        <v/>
      </c>
      <c r="CQ8">
        <f>CP8</f>
        <v/>
      </c>
      <c r="CR8">
        <f>CQ8</f>
        <v/>
      </c>
      <c r="CS8">
        <f>CR8</f>
        <v/>
      </c>
    </row>
    <row r="9" ht="27.6" customHeight="1">
      <c r="A9" s="3" t="inlineStr">
        <is>
          <t>竞价空间/（最大值+备用+调频）</t>
        </is>
      </c>
      <c r="B9" s="5">
        <f>B7/B8</f>
        <v/>
      </c>
      <c r="C9" s="5">
        <f>C7/C8</f>
        <v/>
      </c>
      <c r="D9" s="5">
        <f>D7/D8</f>
        <v/>
      </c>
      <c r="E9" s="5">
        <f>E7/E8</f>
        <v/>
      </c>
      <c r="F9" s="5">
        <f>F7/F8</f>
        <v/>
      </c>
      <c r="G9" s="5">
        <f>G7/G8</f>
        <v/>
      </c>
      <c r="H9" s="5">
        <f>H7/H8</f>
        <v/>
      </c>
      <c r="I9" s="5">
        <f>I7/I8</f>
        <v/>
      </c>
      <c r="J9" s="5">
        <f>J7/J8</f>
        <v/>
      </c>
      <c r="K9" s="5">
        <f>K7/K8</f>
        <v/>
      </c>
      <c r="L9" s="5">
        <f>L7/L8</f>
        <v/>
      </c>
      <c r="M9" s="5">
        <f>M7/M8</f>
        <v/>
      </c>
      <c r="N9" s="5">
        <f>N7/N8</f>
        <v/>
      </c>
      <c r="O9" s="5">
        <f>O7/O8</f>
        <v/>
      </c>
      <c r="P9" s="5">
        <f>P7/P8</f>
        <v/>
      </c>
      <c r="Q9" s="5">
        <f>Q7/Q8</f>
        <v/>
      </c>
      <c r="R9" s="5">
        <f>R7/R8</f>
        <v/>
      </c>
      <c r="S9" s="5">
        <f>S7/S8</f>
        <v/>
      </c>
      <c r="T9" s="5">
        <f>T7/T8</f>
        <v/>
      </c>
      <c r="U9" s="5">
        <f>U7/U8</f>
        <v/>
      </c>
      <c r="V9" s="5">
        <f>V7/V8</f>
        <v/>
      </c>
      <c r="W9" s="5">
        <f>W7/W8</f>
        <v/>
      </c>
      <c r="X9" s="5">
        <f>X7/X8</f>
        <v/>
      </c>
      <c r="Y9" s="5">
        <f>Y7/Y8</f>
        <v/>
      </c>
      <c r="Z9" s="5">
        <f>Z7/Z8</f>
        <v/>
      </c>
      <c r="AA9" s="5">
        <f>AA7/AA8</f>
        <v/>
      </c>
      <c r="AB9" s="5">
        <f>AB7/AB8</f>
        <v/>
      </c>
      <c r="AC9" s="5">
        <f>AC7/AC8</f>
        <v/>
      </c>
      <c r="AD9" s="5">
        <f>AD7/AD8</f>
        <v/>
      </c>
      <c r="AE9" s="5">
        <f>AE7/AE8</f>
        <v/>
      </c>
      <c r="AF9" s="5">
        <f>AF7/AF8</f>
        <v/>
      </c>
      <c r="AG9" s="5">
        <f>AG7/AG8</f>
        <v/>
      </c>
      <c r="AH9" s="5">
        <f>AH7/AH8</f>
        <v/>
      </c>
      <c r="AI9" s="5">
        <f>AI7/AI8</f>
        <v/>
      </c>
      <c r="AJ9" s="5">
        <f>AJ7/AJ8</f>
        <v/>
      </c>
      <c r="AK9" s="5">
        <f>AK7/AK8</f>
        <v/>
      </c>
      <c r="AL9" s="5">
        <f>AL7/AL8</f>
        <v/>
      </c>
      <c r="AM9" s="5">
        <f>AM7/AM8</f>
        <v/>
      </c>
      <c r="AN9" s="5">
        <f>AN7/AN8</f>
        <v/>
      </c>
      <c r="AO9" s="5">
        <f>AO7/AO8</f>
        <v/>
      </c>
      <c r="AP9" s="5">
        <f>AP7/AP8</f>
        <v/>
      </c>
      <c r="AQ9" s="5">
        <f>AQ7/AQ8</f>
        <v/>
      </c>
      <c r="AR9" s="5">
        <f>AR7/AR8</f>
        <v/>
      </c>
      <c r="AS9" s="5">
        <f>AS7/AS8</f>
        <v/>
      </c>
      <c r="AT9" s="5">
        <f>AT7/AT8</f>
        <v/>
      </c>
      <c r="AU9" s="5">
        <f>AU7/AU8</f>
        <v/>
      </c>
      <c r="AV9" s="5">
        <f>AV7/AV8</f>
        <v/>
      </c>
      <c r="AW9" s="5">
        <f>AW7/AW8</f>
        <v/>
      </c>
      <c r="AX9" s="5">
        <f>AX7/AX8</f>
        <v/>
      </c>
      <c r="AY9" s="5">
        <f>AY7/AY8</f>
        <v/>
      </c>
      <c r="AZ9" s="5">
        <f>AZ7/AZ8</f>
        <v/>
      </c>
      <c r="BA9" s="5">
        <f>BA7/BA8</f>
        <v/>
      </c>
      <c r="BB9" s="5">
        <f>BB7/BB8</f>
        <v/>
      </c>
      <c r="BC9" s="5">
        <f>BC7/BC8</f>
        <v/>
      </c>
      <c r="BD9" s="5">
        <f>BD7/BD8</f>
        <v/>
      </c>
      <c r="BE9" s="5">
        <f>BE7/BE8</f>
        <v/>
      </c>
      <c r="BF9" s="5">
        <f>BF7/BF8</f>
        <v/>
      </c>
      <c r="BG9" s="5">
        <f>BG7/BG8</f>
        <v/>
      </c>
      <c r="BH9" s="5">
        <f>BH7/BH8</f>
        <v/>
      </c>
      <c r="BI9" s="5">
        <f>BI7/BI8</f>
        <v/>
      </c>
      <c r="BJ9" s="5">
        <f>BJ7/BJ8</f>
        <v/>
      </c>
      <c r="BK9" s="5">
        <f>BK7/BK8</f>
        <v/>
      </c>
      <c r="BL9" s="5">
        <f>BL7/BL8</f>
        <v/>
      </c>
      <c r="BM9" s="5">
        <f>BM7/BM8</f>
        <v/>
      </c>
      <c r="BN9" s="5">
        <f>BN7/BN8</f>
        <v/>
      </c>
      <c r="BO9" s="5">
        <f>BO7/BO8</f>
        <v/>
      </c>
      <c r="BP9" s="5">
        <f>BP7/BP8</f>
        <v/>
      </c>
      <c r="BQ9" s="5">
        <f>BQ7/BQ8</f>
        <v/>
      </c>
      <c r="BR9" s="5">
        <f>BR7/BR8</f>
        <v/>
      </c>
      <c r="BS9" s="5">
        <f>BS7/BS8</f>
        <v/>
      </c>
      <c r="BT9" s="5">
        <f>BT7/BT8</f>
        <v/>
      </c>
      <c r="BU9" s="5">
        <f>BU7/BU8</f>
        <v/>
      </c>
      <c r="BV9" s="5">
        <f>BV7/BV8</f>
        <v/>
      </c>
      <c r="BW9" s="5">
        <f>BW7/BW8</f>
        <v/>
      </c>
      <c r="BX9" s="5">
        <f>BX7/BX8</f>
        <v/>
      </c>
      <c r="BY9" s="5">
        <f>BY7/BY8</f>
        <v/>
      </c>
      <c r="BZ9" s="5">
        <f>BZ7/BZ8</f>
        <v/>
      </c>
      <c r="CA9" s="5">
        <f>CA7/CA8</f>
        <v/>
      </c>
      <c r="CB9" s="5">
        <f>CB7/CB8</f>
        <v/>
      </c>
      <c r="CC9" s="5">
        <f>CC7/CC8</f>
        <v/>
      </c>
      <c r="CD9" s="5">
        <f>CD7/CD8</f>
        <v/>
      </c>
      <c r="CE9" s="5">
        <f>CE7/CE8</f>
        <v/>
      </c>
      <c r="CF9" s="5">
        <f>CF7/CF8</f>
        <v/>
      </c>
      <c r="CG9" s="5">
        <f>CG7/CG8</f>
        <v/>
      </c>
      <c r="CH9" s="5">
        <f>CH7/CH8</f>
        <v/>
      </c>
      <c r="CI9" s="5">
        <f>CI7/CI8</f>
        <v/>
      </c>
      <c r="CJ9" s="5">
        <f>CJ7/CJ8</f>
        <v/>
      </c>
      <c r="CK9" s="5">
        <f>CK7/CK8</f>
        <v/>
      </c>
      <c r="CL9" s="5">
        <f>CL7/CL8</f>
        <v/>
      </c>
      <c r="CM9" s="5">
        <f>CM7/CM8</f>
        <v/>
      </c>
      <c r="CN9" s="5">
        <f>CN7/CN8</f>
        <v/>
      </c>
      <c r="CO9" s="5">
        <f>CO7/CO8</f>
        <v/>
      </c>
      <c r="CP9" s="5">
        <f>CP7/CP8</f>
        <v/>
      </c>
      <c r="CQ9" s="5">
        <f>CQ7/CQ8</f>
        <v/>
      </c>
      <c r="CR9" s="5">
        <f>CR7/CR8</f>
        <v/>
      </c>
      <c r="CS9" s="5">
        <f>CS7/CS8</f>
        <v/>
      </c>
    </row>
    <row r="10" ht="27.6" customHeight="1">
      <c r="A10" s="3" t="inlineStr">
        <is>
          <t>火电最小出力</t>
        </is>
      </c>
      <c r="B10">
        <f>B8*0.38</f>
        <v/>
      </c>
    </row>
    <row r="11" ht="25.8" customHeight="1">
      <c r="A11" s="3" t="inlineStr">
        <is>
          <t>竞价最小值</t>
        </is>
      </c>
      <c r="B11">
        <f>MIN(B7:CS7)</f>
        <v/>
      </c>
    </row>
    <row r="12" ht="27.6" customHeight="1">
      <c r="A12" s="3" t="inlineStr">
        <is>
          <t>竞价最小值-最小出力</t>
        </is>
      </c>
      <c r="B12">
        <f>B11-B10</f>
        <v/>
      </c>
    </row>
    <row r="24">
      <c r="A24" s="4" t="n">
        <v>46013</v>
      </c>
      <c r="B24" t="n">
        <v>30029.64</v>
      </c>
      <c r="C24" t="n">
        <v>29747.96</v>
      </c>
      <c r="D24" t="n">
        <v>29514.3</v>
      </c>
      <c r="E24" t="n">
        <v>29280.31</v>
      </c>
      <c r="F24" t="n">
        <v>29137.06</v>
      </c>
      <c r="G24" t="n">
        <v>29336.89</v>
      </c>
      <c r="H24" t="n">
        <v>28802.79</v>
      </c>
      <c r="I24" t="n">
        <v>28870.08</v>
      </c>
      <c r="J24" t="n">
        <v>30183.86</v>
      </c>
      <c r="K24" t="n">
        <v>30217.05</v>
      </c>
      <c r="L24" t="n">
        <v>30178.6</v>
      </c>
      <c r="M24" t="n">
        <v>30212.82</v>
      </c>
      <c r="N24" t="n">
        <v>30386.21</v>
      </c>
      <c r="O24" t="n">
        <v>30509</v>
      </c>
      <c r="P24" t="n">
        <v>30776.23</v>
      </c>
      <c r="Q24" t="n">
        <v>31290.95</v>
      </c>
      <c r="R24" t="n">
        <v>31616.17000000001</v>
      </c>
      <c r="S24" t="n">
        <v>32183</v>
      </c>
      <c r="T24" t="n">
        <v>33119.28</v>
      </c>
      <c r="U24" t="n">
        <v>33685.94</v>
      </c>
      <c r="V24" t="n">
        <v>35163.4</v>
      </c>
      <c r="W24" t="n">
        <v>34965.72</v>
      </c>
      <c r="X24" t="n">
        <v>35283.3</v>
      </c>
      <c r="Y24" t="n">
        <v>35585.62</v>
      </c>
      <c r="Z24" t="n">
        <v>36595.08000000001</v>
      </c>
      <c r="AA24" t="n">
        <v>38396.07999999999</v>
      </c>
      <c r="AB24" t="n">
        <v>39938</v>
      </c>
      <c r="AC24" t="n">
        <v>41451.12</v>
      </c>
      <c r="AD24" t="n">
        <v>43003.14999999999</v>
      </c>
      <c r="AE24" t="n">
        <v>43615.78999999999</v>
      </c>
      <c r="AF24" t="n">
        <v>44345.55</v>
      </c>
      <c r="AG24" t="n">
        <v>42779.34</v>
      </c>
      <c r="AH24" t="n">
        <v>42836.07</v>
      </c>
      <c r="AI24" t="n">
        <v>41372.13999999999</v>
      </c>
      <c r="AJ24" t="n">
        <v>38264.49</v>
      </c>
      <c r="AK24" t="n">
        <v>36015.2</v>
      </c>
      <c r="AL24" t="n">
        <v>33840.45</v>
      </c>
      <c r="AM24" t="n">
        <v>31441.66</v>
      </c>
      <c r="AN24" t="n">
        <v>28965.73</v>
      </c>
      <c r="AO24" t="n">
        <v>27426.21</v>
      </c>
      <c r="AP24" t="n">
        <v>26670.8</v>
      </c>
      <c r="AQ24" t="n">
        <v>25532.36</v>
      </c>
      <c r="AR24" t="n">
        <v>24508.88</v>
      </c>
      <c r="AS24" t="n">
        <v>23453.76</v>
      </c>
      <c r="AT24" t="n">
        <v>23458.68</v>
      </c>
      <c r="AU24" t="n">
        <v>21993.08</v>
      </c>
      <c r="AV24" t="n">
        <v>20866.19</v>
      </c>
      <c r="AW24" t="n">
        <v>19254.41</v>
      </c>
      <c r="AX24" t="n">
        <v>19759.86</v>
      </c>
      <c r="AY24" t="n">
        <v>19267.69</v>
      </c>
      <c r="AZ24" t="n">
        <v>20644.58</v>
      </c>
      <c r="BA24" t="n">
        <v>21779.92</v>
      </c>
      <c r="BB24" t="n">
        <v>24358.95</v>
      </c>
      <c r="BC24" t="n">
        <v>25939.2</v>
      </c>
      <c r="BD24" t="n">
        <v>27513.17</v>
      </c>
      <c r="BE24" t="n">
        <v>29646.99000000001</v>
      </c>
      <c r="BF24" t="n">
        <v>31495.2</v>
      </c>
      <c r="BG24" t="n">
        <v>33840.50999999999</v>
      </c>
      <c r="BH24" t="n">
        <v>36407.54000000001</v>
      </c>
      <c r="BI24" t="n">
        <v>38734.27</v>
      </c>
      <c r="BJ24" t="n">
        <v>41553.37999999999</v>
      </c>
      <c r="BK24" t="n">
        <v>43985.91</v>
      </c>
      <c r="BL24" t="n">
        <v>46671.27</v>
      </c>
      <c r="BM24" t="n">
        <v>48591.08</v>
      </c>
      <c r="BN24" t="n">
        <v>50278.29</v>
      </c>
      <c r="BO24" t="n">
        <v>51892.19999999999</v>
      </c>
      <c r="BP24" t="n">
        <v>52708.28</v>
      </c>
      <c r="BQ24" t="n">
        <v>53409.22000000001</v>
      </c>
      <c r="BR24" t="n">
        <v>53260.42000000001</v>
      </c>
      <c r="BS24" t="n">
        <v>52953.21000000001</v>
      </c>
      <c r="BT24" t="n">
        <v>52231.5</v>
      </c>
      <c r="BU24" t="n">
        <v>51467.78999999999</v>
      </c>
      <c r="BV24" t="n">
        <v>50534.08</v>
      </c>
      <c r="BW24" t="n">
        <v>49798.85</v>
      </c>
      <c r="BX24" t="n">
        <v>49177.8</v>
      </c>
      <c r="BY24" t="n">
        <v>48722.18</v>
      </c>
      <c r="BZ24" t="n">
        <v>48161.82999999999</v>
      </c>
      <c r="CA24" t="n">
        <v>47785.11</v>
      </c>
      <c r="CB24" t="n">
        <v>47396.66</v>
      </c>
      <c r="CC24" t="n">
        <v>46679.15</v>
      </c>
      <c r="CD24" t="n">
        <v>46239.13</v>
      </c>
      <c r="CE24" t="n">
        <v>45875.50000000001</v>
      </c>
      <c r="CF24" t="n">
        <v>45481.95999999999</v>
      </c>
      <c r="CG24" t="n">
        <v>45006.3</v>
      </c>
      <c r="CH24" t="n">
        <v>45194.03999999999</v>
      </c>
      <c r="CI24" t="n">
        <v>44407.26</v>
      </c>
      <c r="CJ24" t="n">
        <v>43483.72</v>
      </c>
      <c r="CK24" t="n">
        <v>42290.91</v>
      </c>
      <c r="CL24" t="n">
        <v>41212.64</v>
      </c>
      <c r="CM24" t="n">
        <v>40722.57</v>
      </c>
      <c r="CN24" t="n">
        <v>40535.09</v>
      </c>
      <c r="CO24" t="n">
        <v>40310.00999999999</v>
      </c>
      <c r="CP24" t="n">
        <v>40560.58</v>
      </c>
      <c r="CQ24" t="n">
        <v>39427.59</v>
      </c>
      <c r="CR24" t="n">
        <v>38410.2</v>
      </c>
      <c r="CS24" t="n">
        <v>37446.37</v>
      </c>
    </row>
    <row r="25">
      <c r="A25" s="4" t="n">
        <v>46003</v>
      </c>
      <c r="B25" t="n">
        <v>32858.57999999999</v>
      </c>
      <c r="C25" t="n">
        <v>32663.79</v>
      </c>
      <c r="D25" t="n">
        <v>32531.94</v>
      </c>
      <c r="E25" t="n">
        <v>32481.9</v>
      </c>
      <c r="F25" t="n">
        <v>32761.06</v>
      </c>
      <c r="G25" t="n">
        <v>32479.41</v>
      </c>
      <c r="H25" t="n">
        <v>32295.75</v>
      </c>
      <c r="I25" t="n">
        <v>32382.64999999999</v>
      </c>
      <c r="J25" t="n">
        <v>34073.96</v>
      </c>
      <c r="K25" t="n">
        <v>34160.88</v>
      </c>
      <c r="L25" t="n">
        <v>34089.58</v>
      </c>
      <c r="M25" t="n">
        <v>33983.52</v>
      </c>
      <c r="N25" t="n">
        <v>33950.55</v>
      </c>
      <c r="O25" t="n">
        <v>33875.18</v>
      </c>
      <c r="P25" t="n">
        <v>33828.17</v>
      </c>
      <c r="Q25" t="n">
        <v>33991.73</v>
      </c>
      <c r="R25" t="n">
        <v>34592.87</v>
      </c>
      <c r="S25" t="n">
        <v>34689.84</v>
      </c>
      <c r="T25" t="n">
        <v>35221.63</v>
      </c>
      <c r="U25" t="n">
        <v>35683.28</v>
      </c>
      <c r="V25" t="n">
        <v>36573.16</v>
      </c>
      <c r="W25" t="n">
        <v>36163.46000000001</v>
      </c>
      <c r="X25" t="n">
        <v>36236.57</v>
      </c>
      <c r="Y25" t="n">
        <v>35953.19</v>
      </c>
      <c r="Z25" t="n">
        <v>36726.62</v>
      </c>
      <c r="AA25" t="n">
        <v>38379.57000000001</v>
      </c>
      <c r="AB25" t="n">
        <v>39902.28</v>
      </c>
      <c r="AC25" t="n">
        <v>41076.16999999999</v>
      </c>
      <c r="AD25" t="n">
        <v>43275.56</v>
      </c>
      <c r="AE25" t="n">
        <v>45200.56999999999</v>
      </c>
      <c r="AF25" t="n">
        <v>47421.87</v>
      </c>
      <c r="AG25" t="n">
        <v>49689.23</v>
      </c>
      <c r="AH25" t="n">
        <v>51390.07999999999</v>
      </c>
      <c r="AI25" t="n">
        <v>52292.03</v>
      </c>
      <c r="AJ25" t="n">
        <v>53072.86</v>
      </c>
      <c r="AK25" t="n">
        <v>53508.71999999999</v>
      </c>
      <c r="AL25" t="n">
        <v>54316.44</v>
      </c>
      <c r="AM25" t="n">
        <v>54133.32</v>
      </c>
      <c r="AN25" t="n">
        <v>54007.29</v>
      </c>
      <c r="AO25" t="n">
        <v>54336.46999999999</v>
      </c>
      <c r="AP25" t="n">
        <v>56134.72</v>
      </c>
      <c r="AQ25" t="n">
        <v>56993.18</v>
      </c>
      <c r="AR25" t="n">
        <v>57097.09</v>
      </c>
      <c r="AS25" t="n">
        <v>57529.88</v>
      </c>
      <c r="AT25" t="n">
        <v>59016.41</v>
      </c>
      <c r="AU25" t="n">
        <v>57786.51</v>
      </c>
      <c r="AV25" t="n">
        <v>57186.45</v>
      </c>
      <c r="AW25" t="n">
        <v>55789.03</v>
      </c>
      <c r="AX25" t="n">
        <v>56384.45</v>
      </c>
      <c r="AY25" t="n">
        <v>56458.45</v>
      </c>
      <c r="AZ25" t="n">
        <v>57735.93000000001</v>
      </c>
      <c r="BA25" t="n">
        <v>58661.7</v>
      </c>
      <c r="BB25" t="n">
        <v>60014.93000000001</v>
      </c>
      <c r="BC25" t="n">
        <v>61106.74</v>
      </c>
      <c r="BD25" t="n">
        <v>61258.55</v>
      </c>
      <c r="BE25" t="n">
        <v>61153.32000000001</v>
      </c>
      <c r="BF25" t="n">
        <v>61217.8</v>
      </c>
      <c r="BG25" t="n">
        <v>61379.7</v>
      </c>
      <c r="BH25" t="n">
        <v>61442.91</v>
      </c>
      <c r="BI25" t="n">
        <v>60777.46999999999</v>
      </c>
      <c r="BJ25" t="n">
        <v>60344.89999999999</v>
      </c>
      <c r="BK25" t="n">
        <v>59667.87</v>
      </c>
      <c r="BL25" t="n">
        <v>58919.95</v>
      </c>
      <c r="BM25" t="n">
        <v>57050.06</v>
      </c>
      <c r="BN25" t="n">
        <v>56202.92000000001</v>
      </c>
      <c r="BO25" t="n">
        <v>55945.45</v>
      </c>
      <c r="BP25" t="n">
        <v>56192.05</v>
      </c>
      <c r="BQ25" t="n">
        <v>56430.7</v>
      </c>
      <c r="BR25" t="n">
        <v>56579.47</v>
      </c>
      <c r="BS25" t="n">
        <v>56433.69</v>
      </c>
      <c r="BT25" t="n">
        <v>55325.17</v>
      </c>
      <c r="BU25" t="n">
        <v>54466.63</v>
      </c>
      <c r="BV25" t="n">
        <v>53432.29</v>
      </c>
      <c r="BW25" t="n">
        <v>52669.37</v>
      </c>
      <c r="BX25" t="n">
        <v>52046.61000000001</v>
      </c>
      <c r="BY25" t="n">
        <v>51695.87</v>
      </c>
      <c r="BZ25" t="n">
        <v>51447.55</v>
      </c>
      <c r="CA25" t="n">
        <v>51457.28999999999</v>
      </c>
      <c r="CB25" t="n">
        <v>51226.11000000001</v>
      </c>
      <c r="CC25" t="n">
        <v>51032.86</v>
      </c>
      <c r="CD25" t="n">
        <v>50953.22</v>
      </c>
      <c r="CE25" t="n">
        <v>50655.88</v>
      </c>
      <c r="CF25" t="n">
        <v>50801.72000000001</v>
      </c>
      <c r="CG25" t="n">
        <v>50828.13</v>
      </c>
      <c r="CH25" t="n">
        <v>51552.10999999999</v>
      </c>
      <c r="CI25" t="n">
        <v>51322.59</v>
      </c>
      <c r="CJ25" t="n">
        <v>50603.27</v>
      </c>
      <c r="CK25" t="n">
        <v>49761.20999999999</v>
      </c>
      <c r="CL25" t="n">
        <v>48941.12</v>
      </c>
      <c r="CM25" t="n">
        <v>48884.91</v>
      </c>
      <c r="CN25" t="n">
        <v>48734.63</v>
      </c>
      <c r="CO25" t="n">
        <v>48877.40000000001</v>
      </c>
      <c r="CP25" t="n">
        <v>49705.09</v>
      </c>
      <c r="CQ25" t="n">
        <v>48801.94</v>
      </c>
      <c r="CR25" t="n">
        <v>47797.7</v>
      </c>
      <c r="CS25" t="n">
        <v>47222.99</v>
      </c>
    </row>
    <row r="26">
      <c r="A26" t="inlineStr">
        <is>
          <t>14号</t>
        </is>
      </c>
      <c r="B26" t="n">
        <v>42377.79</v>
      </c>
      <c r="C26" t="n">
        <v>41876.54</v>
      </c>
      <c r="D26" t="n">
        <v>41376.83</v>
      </c>
      <c r="E26" t="n">
        <v>41007.06</v>
      </c>
      <c r="F26" t="n">
        <v>40667.18</v>
      </c>
      <c r="G26" t="n">
        <v>40329.9</v>
      </c>
      <c r="H26" t="n">
        <v>40131.81</v>
      </c>
      <c r="I26" t="n">
        <v>39869.01</v>
      </c>
      <c r="J26" t="n">
        <v>39383.16</v>
      </c>
      <c r="K26" t="n">
        <v>38966.27</v>
      </c>
      <c r="L26" t="n">
        <v>38692.32</v>
      </c>
      <c r="M26" t="n">
        <v>38566.64</v>
      </c>
      <c r="N26" t="n">
        <v>38440.81</v>
      </c>
      <c r="O26" t="n">
        <v>38242.33</v>
      </c>
      <c r="P26" t="n">
        <v>38178.28</v>
      </c>
      <c r="Q26" t="n">
        <v>38193.46000000001</v>
      </c>
      <c r="R26" t="n">
        <v>38496</v>
      </c>
      <c r="S26" t="n">
        <v>38526.34</v>
      </c>
      <c r="T26" t="n">
        <v>38745.67</v>
      </c>
      <c r="U26" t="n">
        <v>39375.92</v>
      </c>
      <c r="V26" t="n">
        <v>40207.47</v>
      </c>
      <c r="W26" t="n">
        <v>40127.29</v>
      </c>
      <c r="X26" t="n">
        <v>40879.6</v>
      </c>
      <c r="Y26" t="n">
        <v>41214.44</v>
      </c>
      <c r="Z26" t="n">
        <v>42442.82</v>
      </c>
      <c r="AA26" t="n">
        <v>44076.89999999999</v>
      </c>
      <c r="AB26" t="n">
        <v>45432.33</v>
      </c>
      <c r="AC26" t="n">
        <v>45792.7</v>
      </c>
      <c r="AD26" t="n">
        <v>45663.22</v>
      </c>
      <c r="AE26" t="n">
        <v>44583.94</v>
      </c>
      <c r="AF26" t="n">
        <v>42712.55</v>
      </c>
      <c r="AG26" t="n">
        <v>40247.24999999999</v>
      </c>
      <c r="AH26" t="n">
        <v>37903.25</v>
      </c>
      <c r="AI26" t="n">
        <v>34588.97</v>
      </c>
      <c r="AJ26" t="n">
        <v>30577.75</v>
      </c>
      <c r="AK26" t="n">
        <v>27223.26</v>
      </c>
      <c r="AL26" t="n">
        <v>24266.25</v>
      </c>
      <c r="AM26" t="n">
        <v>21528.13</v>
      </c>
      <c r="AN26" t="n">
        <v>19187.3</v>
      </c>
      <c r="AO26" t="n">
        <v>17382.59</v>
      </c>
      <c r="AP26" t="n">
        <v>17575.66</v>
      </c>
      <c r="AQ26" t="n">
        <v>16301.98</v>
      </c>
      <c r="AR26" t="n">
        <v>14904.46</v>
      </c>
      <c r="AS26" t="n">
        <v>14159.76</v>
      </c>
      <c r="AT26" t="n">
        <v>14438.71</v>
      </c>
      <c r="AU26" t="n">
        <v>12291.78</v>
      </c>
      <c r="AV26" t="n">
        <v>11341.75</v>
      </c>
      <c r="AW26" t="n">
        <v>9965.990000000002</v>
      </c>
      <c r="AX26" t="n">
        <v>9653.829999999998</v>
      </c>
      <c r="AY26" t="n">
        <v>10040.32</v>
      </c>
      <c r="AZ26" t="n">
        <v>11694.75</v>
      </c>
      <c r="BA26" t="n">
        <v>13351.76</v>
      </c>
      <c r="BB26" t="n">
        <v>15913.4</v>
      </c>
      <c r="BC26" t="n">
        <v>17919.18</v>
      </c>
      <c r="BD26" t="n">
        <v>20129.49</v>
      </c>
      <c r="BE26" t="n">
        <v>22060.42</v>
      </c>
      <c r="BF26" t="n">
        <v>24511.44</v>
      </c>
      <c r="BG26" t="n">
        <v>27131.41</v>
      </c>
      <c r="BH26" t="n">
        <v>29999.75999999999</v>
      </c>
      <c r="BI26" t="n">
        <v>32396.68</v>
      </c>
      <c r="BJ26" t="n">
        <v>35037.16</v>
      </c>
      <c r="BK26" t="n">
        <v>37556.10999999999</v>
      </c>
      <c r="BL26" t="n">
        <v>39710.62000000001</v>
      </c>
      <c r="BM26" t="n">
        <v>40627.05</v>
      </c>
      <c r="BN26" t="n">
        <v>42495.59</v>
      </c>
      <c r="BO26" t="n">
        <v>44586.65000000001</v>
      </c>
      <c r="BP26" t="n">
        <v>46245.67000000001</v>
      </c>
      <c r="BQ26" t="n">
        <v>46720.12</v>
      </c>
      <c r="BR26" t="n">
        <v>47295.87</v>
      </c>
      <c r="BS26" t="n">
        <v>47466.6</v>
      </c>
      <c r="BT26" t="n">
        <v>47509.21000000001</v>
      </c>
      <c r="BU26" t="n">
        <v>46235.49000000001</v>
      </c>
      <c r="BV26" t="n">
        <v>45147.95</v>
      </c>
      <c r="BW26" t="n">
        <v>44102.38</v>
      </c>
      <c r="BX26" t="n">
        <v>43113.31</v>
      </c>
      <c r="BY26" t="n">
        <v>42267.37</v>
      </c>
      <c r="BZ26" t="n">
        <v>41726.83</v>
      </c>
      <c r="CA26" t="n">
        <v>41256.81</v>
      </c>
      <c r="CB26" t="n">
        <v>40783.15</v>
      </c>
      <c r="CC26" t="n">
        <v>40083.7</v>
      </c>
      <c r="CD26" t="n">
        <v>39531.95</v>
      </c>
      <c r="CE26" t="n">
        <v>39830.98</v>
      </c>
      <c r="CF26" t="n">
        <v>39766.32000000001</v>
      </c>
      <c r="CG26" t="n">
        <v>39755.15</v>
      </c>
      <c r="CH26" t="n">
        <v>41052.98</v>
      </c>
      <c r="CI26" t="n">
        <v>40448.73</v>
      </c>
      <c r="CJ26" t="n">
        <v>39210.47000000001</v>
      </c>
      <c r="CK26" t="n">
        <v>38297.64</v>
      </c>
      <c r="CL26" t="n">
        <v>37518.75</v>
      </c>
      <c r="CM26" t="n">
        <v>37158.25000000001</v>
      </c>
      <c r="CN26" t="n">
        <v>36683.55</v>
      </c>
      <c r="CO26" t="n">
        <v>36128.52</v>
      </c>
      <c r="CP26" t="n">
        <v>36578.86</v>
      </c>
      <c r="CQ26" t="n">
        <v>35529.17</v>
      </c>
      <c r="CR26" t="n">
        <v>34681.48</v>
      </c>
      <c r="CS26" t="n">
        <v>34089.18</v>
      </c>
    </row>
    <row r="27">
      <c r="A27" t="inlineStr">
        <is>
          <t>24号</t>
        </is>
      </c>
      <c r="B27" t="n">
        <v>36714.32000000001</v>
      </c>
      <c r="C27" t="n">
        <v>36419.97</v>
      </c>
      <c r="D27" t="n">
        <v>35974.41</v>
      </c>
      <c r="E27" t="n">
        <v>35831.25</v>
      </c>
      <c r="F27" t="n">
        <v>35685.42</v>
      </c>
      <c r="G27" t="n">
        <v>35501.43</v>
      </c>
      <c r="H27" t="n">
        <v>35197.52</v>
      </c>
      <c r="I27" t="n">
        <v>35164.98</v>
      </c>
      <c r="J27" t="n">
        <v>34858.93</v>
      </c>
      <c r="K27" t="n">
        <v>34678.71999999999</v>
      </c>
      <c r="L27" t="n">
        <v>34706.68</v>
      </c>
      <c r="M27" t="n">
        <v>34416.50999999999</v>
      </c>
      <c r="N27" t="n">
        <v>34182.3</v>
      </c>
      <c r="O27" t="n">
        <v>34049.23</v>
      </c>
      <c r="P27" t="n">
        <v>34273.48</v>
      </c>
      <c r="Q27" t="n">
        <v>34219.23</v>
      </c>
      <c r="R27" t="n">
        <v>34689.83</v>
      </c>
      <c r="S27" t="n">
        <v>35009.39</v>
      </c>
      <c r="T27" t="n">
        <v>35311.88</v>
      </c>
      <c r="U27" t="n">
        <v>35782.79</v>
      </c>
      <c r="V27" t="n">
        <v>36679.68</v>
      </c>
      <c r="W27" t="n">
        <v>36861.54</v>
      </c>
      <c r="X27" t="n">
        <v>36981.15</v>
      </c>
      <c r="Y27" t="n">
        <v>37337.73</v>
      </c>
      <c r="Z27" t="n">
        <v>38479.93</v>
      </c>
      <c r="AA27" t="n">
        <v>40120.94</v>
      </c>
      <c r="AB27" t="n">
        <v>41459.99</v>
      </c>
      <c r="AC27" t="n">
        <v>42724.65000000001</v>
      </c>
      <c r="AD27" t="n">
        <v>42720.59</v>
      </c>
      <c r="AE27" t="n">
        <v>42590.93000000001</v>
      </c>
      <c r="AF27" t="n">
        <v>41222.1</v>
      </c>
      <c r="AG27" t="n">
        <v>39569.69</v>
      </c>
      <c r="AH27" t="n">
        <v>37850.22</v>
      </c>
      <c r="AI27" t="n">
        <v>34814.25</v>
      </c>
      <c r="AJ27" t="n">
        <v>31827.79</v>
      </c>
      <c r="AK27" t="n">
        <v>28270.55</v>
      </c>
      <c r="AL27" t="n">
        <v>24742.39000000001</v>
      </c>
      <c r="AM27" t="n">
        <v>22083.49</v>
      </c>
      <c r="AN27" t="n">
        <v>19839.54</v>
      </c>
      <c r="AO27" t="n">
        <v>18182.25</v>
      </c>
      <c r="AP27" t="n">
        <v>18005.84</v>
      </c>
      <c r="AQ27" t="n">
        <v>16943.85</v>
      </c>
      <c r="AR27" t="n">
        <v>15440.47</v>
      </c>
      <c r="AS27" t="n">
        <v>14270.52</v>
      </c>
      <c r="AT27" t="n">
        <v>14121.09</v>
      </c>
      <c r="AU27" t="n">
        <v>12613.15</v>
      </c>
      <c r="AV27" t="n">
        <v>11252.29</v>
      </c>
      <c r="AW27" t="n">
        <v>8985.730000000003</v>
      </c>
      <c r="AX27" t="n">
        <v>8723.149999999998</v>
      </c>
      <c r="AY27" t="n">
        <v>8380.389999999999</v>
      </c>
      <c r="AZ27" t="n">
        <v>9662.700000000004</v>
      </c>
      <c r="BA27" t="n">
        <v>10758.09</v>
      </c>
      <c r="BB27" t="n">
        <v>13250.87</v>
      </c>
      <c r="BC27" t="n">
        <v>14520.27</v>
      </c>
      <c r="BD27" t="n">
        <v>16730.82</v>
      </c>
      <c r="BE27" t="n">
        <v>18586.44</v>
      </c>
      <c r="BF27" t="n">
        <v>20484.62</v>
      </c>
      <c r="BG27" t="n">
        <v>22511.81</v>
      </c>
      <c r="BH27" t="n">
        <v>24627.3</v>
      </c>
      <c r="BI27" t="n">
        <v>26641.00000000001</v>
      </c>
      <c r="BJ27" t="n">
        <v>28427.8</v>
      </c>
      <c r="BK27" t="n">
        <v>30459.50999999999</v>
      </c>
      <c r="BL27" t="n">
        <v>32589.21000000001</v>
      </c>
      <c r="BM27" t="n">
        <v>33772.49999999999</v>
      </c>
      <c r="BN27" t="n">
        <v>35270.31999999999</v>
      </c>
      <c r="BO27" t="n">
        <v>37132.76</v>
      </c>
      <c r="BP27" t="n">
        <v>38491.56</v>
      </c>
      <c r="BQ27" t="n">
        <v>38451.28999999999</v>
      </c>
      <c r="BR27" t="n">
        <v>38359.00000000001</v>
      </c>
      <c r="BS27" t="n">
        <v>38491.39</v>
      </c>
      <c r="BT27" t="n">
        <v>37379.23</v>
      </c>
      <c r="BU27" t="n">
        <v>36154.65000000001</v>
      </c>
      <c r="BV27" t="n">
        <v>35043.84</v>
      </c>
      <c r="BW27" t="n">
        <v>33842.75999999999</v>
      </c>
      <c r="BX27" t="n">
        <v>32866.7</v>
      </c>
      <c r="BY27" t="n">
        <v>32319.81</v>
      </c>
      <c r="BZ27" t="n">
        <v>31696.07</v>
      </c>
      <c r="CA27" t="n">
        <v>31563.34</v>
      </c>
      <c r="CB27" t="n">
        <v>30790.73</v>
      </c>
      <c r="CC27" t="n">
        <v>30325.45</v>
      </c>
      <c r="CD27" t="n">
        <v>29946.19</v>
      </c>
      <c r="CE27" t="n">
        <v>30114.66</v>
      </c>
      <c r="CF27" t="n">
        <v>29981.12000000001</v>
      </c>
      <c r="CG27" t="n">
        <v>29838.77</v>
      </c>
      <c r="CH27" t="n">
        <v>30997.66</v>
      </c>
      <c r="CI27" t="n">
        <v>30451.07</v>
      </c>
      <c r="CJ27" t="n">
        <v>29443.29</v>
      </c>
      <c r="CK27" t="n">
        <v>28470.69999999999</v>
      </c>
      <c r="CL27" t="n">
        <v>27728.45</v>
      </c>
      <c r="CM27" t="n">
        <v>27557.95</v>
      </c>
      <c r="CN27" t="n">
        <v>27195.28</v>
      </c>
      <c r="CO27" t="n">
        <v>26959.49</v>
      </c>
      <c r="CP27" t="n">
        <v>27721.54</v>
      </c>
      <c r="CQ27" t="n">
        <v>26769.95</v>
      </c>
      <c r="CR27" t="n">
        <v>25997.76</v>
      </c>
      <c r="CS27" t="n">
        <v>25378.12</v>
      </c>
    </row>
    <row r="28">
      <c r="A28" t="inlineStr">
        <is>
          <t>12月3号</t>
        </is>
      </c>
      <c r="B28" t="n">
        <v>36220.65</v>
      </c>
      <c r="C28" t="n">
        <v>35685.59</v>
      </c>
      <c r="D28" t="n">
        <v>35308.34</v>
      </c>
      <c r="E28" t="n">
        <v>34928.87</v>
      </c>
      <c r="F28" t="n">
        <v>34139.58</v>
      </c>
      <c r="G28" t="n">
        <v>33691.78</v>
      </c>
      <c r="H28" t="n">
        <v>33154.93</v>
      </c>
      <c r="I28" t="n">
        <v>33666.52</v>
      </c>
      <c r="J28" t="n">
        <v>33795.14999999999</v>
      </c>
      <c r="K28" t="n">
        <v>33304.03999999999</v>
      </c>
      <c r="L28" t="n">
        <v>33072.8</v>
      </c>
      <c r="M28" t="n">
        <v>32750.6</v>
      </c>
      <c r="N28" t="n">
        <v>32599.42000000001</v>
      </c>
      <c r="O28" t="n">
        <v>32275.04</v>
      </c>
      <c r="P28" t="n">
        <v>31858.93</v>
      </c>
      <c r="Q28" t="n">
        <v>31706.99</v>
      </c>
      <c r="R28" t="n">
        <v>31772.01</v>
      </c>
      <c r="S28" t="n">
        <v>31768.11</v>
      </c>
      <c r="T28" t="n">
        <v>32210.21</v>
      </c>
      <c r="U28" t="n">
        <v>32927.83</v>
      </c>
      <c r="V28" t="n">
        <v>33355.6</v>
      </c>
      <c r="W28" t="n">
        <v>33282.87</v>
      </c>
      <c r="X28" t="n">
        <v>32855.51000000001</v>
      </c>
      <c r="Y28" t="n">
        <v>33215.51</v>
      </c>
      <c r="Z28" t="n">
        <v>33675.15000000001</v>
      </c>
      <c r="AA28" t="n">
        <v>35492.03000000001</v>
      </c>
      <c r="AB28" t="n">
        <v>36931.22</v>
      </c>
      <c r="AC28" t="n">
        <v>38001.27</v>
      </c>
      <c r="AD28" t="n">
        <v>39417.21999999999</v>
      </c>
      <c r="AE28" t="n">
        <v>39847.24000000001</v>
      </c>
      <c r="AF28" t="n">
        <v>39670.12000000001</v>
      </c>
      <c r="AG28" t="n">
        <v>38608.07</v>
      </c>
      <c r="AH28" t="n">
        <v>36936.93000000001</v>
      </c>
      <c r="AI28" t="n">
        <v>34464.53999999999</v>
      </c>
      <c r="AJ28" t="n">
        <v>31364.35</v>
      </c>
      <c r="AK28" t="n">
        <v>27962.69999999999</v>
      </c>
      <c r="AL28" t="n">
        <v>25424.25</v>
      </c>
      <c r="AM28" t="n">
        <v>22221.05</v>
      </c>
      <c r="AN28" t="n">
        <v>19675.35000000001</v>
      </c>
      <c r="AO28" t="n">
        <v>17705.51000000001</v>
      </c>
      <c r="AP28" t="n">
        <v>17543.82</v>
      </c>
      <c r="AQ28" t="n">
        <v>16925.62999999999</v>
      </c>
      <c r="AR28" t="n">
        <v>15935.67</v>
      </c>
      <c r="AS28" t="n">
        <v>14749.59</v>
      </c>
      <c r="AT28" t="n">
        <v>14926.29999999999</v>
      </c>
      <c r="AU28" t="n">
        <v>13425.35</v>
      </c>
      <c r="AV28" t="n">
        <v>12076.33</v>
      </c>
      <c r="AW28" t="n">
        <v>10227.73</v>
      </c>
      <c r="AX28" t="n">
        <v>10197.54</v>
      </c>
      <c r="AY28" t="n">
        <v>10176.18</v>
      </c>
      <c r="AZ28" t="n">
        <v>11556.43</v>
      </c>
      <c r="BA28" t="n">
        <v>12911.5</v>
      </c>
      <c r="BB28" t="n">
        <v>15101</v>
      </c>
      <c r="BC28" t="n">
        <v>16990.17</v>
      </c>
      <c r="BD28" t="n">
        <v>18943.27</v>
      </c>
      <c r="BE28" t="n">
        <v>20700.48</v>
      </c>
      <c r="BF28" t="n">
        <v>22847.76000000001</v>
      </c>
      <c r="BG28" t="n">
        <v>25385.55999999999</v>
      </c>
      <c r="BH28" t="n">
        <v>27726.02</v>
      </c>
      <c r="BI28" t="n">
        <v>30246.87000000001</v>
      </c>
      <c r="BJ28" t="n">
        <v>33377.35999999999</v>
      </c>
      <c r="BK28" t="n">
        <v>36271.58</v>
      </c>
      <c r="BL28" t="n">
        <v>39131.42000000001</v>
      </c>
      <c r="BM28" t="n">
        <v>41512.35000000001</v>
      </c>
      <c r="BN28" t="n">
        <v>44291.08</v>
      </c>
      <c r="BO28" t="n">
        <v>47387.47</v>
      </c>
      <c r="BP28" t="n">
        <v>49554.44</v>
      </c>
      <c r="BQ28" t="n">
        <v>50794.43</v>
      </c>
      <c r="BR28" t="n">
        <v>51222.74000000001</v>
      </c>
      <c r="BS28" t="n">
        <v>51377.47</v>
      </c>
      <c r="BT28" t="n">
        <v>50684.78000000001</v>
      </c>
      <c r="BU28" t="n">
        <v>50034.70999999999</v>
      </c>
      <c r="BV28" t="n">
        <v>48786.66</v>
      </c>
      <c r="BW28" t="n">
        <v>48473.48</v>
      </c>
      <c r="BX28" t="n">
        <v>47521.49999999999</v>
      </c>
      <c r="BY28" t="n">
        <v>47255.25</v>
      </c>
      <c r="BZ28" t="n">
        <v>46795.22</v>
      </c>
      <c r="CA28" t="n">
        <v>46177.82999999999</v>
      </c>
      <c r="CB28" t="n">
        <v>45641.91</v>
      </c>
      <c r="CC28" t="n">
        <v>45080.56</v>
      </c>
      <c r="CD28" t="n">
        <v>44558.26999999999</v>
      </c>
      <c r="CE28" t="n">
        <v>44179.99999999999</v>
      </c>
      <c r="CF28" t="n">
        <v>43975.41</v>
      </c>
      <c r="CG28" t="n">
        <v>43684.06</v>
      </c>
      <c r="CH28" t="n">
        <v>44433.59999999999</v>
      </c>
      <c r="CI28" t="n">
        <v>43444.64</v>
      </c>
      <c r="CJ28" t="n">
        <v>42106.39999999999</v>
      </c>
      <c r="CK28" t="n">
        <v>41245.1</v>
      </c>
      <c r="CL28" t="n">
        <v>39818.15</v>
      </c>
      <c r="CM28" t="n">
        <v>39330.8</v>
      </c>
      <c r="CN28" t="n">
        <v>38953.87</v>
      </c>
      <c r="CO28" t="n">
        <v>38203.17</v>
      </c>
      <c r="CP28" t="n">
        <v>38045.86</v>
      </c>
      <c r="CQ28" t="n">
        <v>36460.32000000001</v>
      </c>
      <c r="CR28" t="n">
        <v>34964.9</v>
      </c>
      <c r="CS28" t="n">
        <v>33811.3</v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2"/>
  <sheetViews>
    <sheetView topLeftCell="BW1" workbookViewId="0">
      <selection activeCell="B2" sqref="B2:CS2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</row>
    <row r="2">
      <c r="A2" t="inlineStr">
        <is>
          <t>竞价空间</t>
        </is>
      </c>
      <c r="B2" t="n">
        <v>24353.79</v>
      </c>
      <c r="C2" t="n">
        <v>24137.59</v>
      </c>
      <c r="D2" t="n">
        <v>23797.04</v>
      </c>
      <c r="E2" t="n">
        <v>23408.25</v>
      </c>
      <c r="F2" t="n">
        <v>23163.75</v>
      </c>
      <c r="G2" t="n">
        <v>22796.42</v>
      </c>
      <c r="H2" t="n">
        <v>22578.83</v>
      </c>
      <c r="I2" t="n">
        <v>22409.54</v>
      </c>
      <c r="J2" t="n">
        <v>23479.29</v>
      </c>
      <c r="K2" t="n">
        <v>24100.1</v>
      </c>
      <c r="L2" t="n">
        <v>23932.83</v>
      </c>
      <c r="M2" t="n">
        <v>23842.48</v>
      </c>
      <c r="N2" t="n">
        <v>23647.07</v>
      </c>
      <c r="O2" t="n">
        <v>23829.66</v>
      </c>
      <c r="P2" t="n">
        <v>23795.12</v>
      </c>
      <c r="Q2" t="n">
        <v>23985.14</v>
      </c>
      <c r="R2" t="n">
        <v>24010.68</v>
      </c>
      <c r="S2" t="n">
        <v>24484.01</v>
      </c>
      <c r="T2" t="n">
        <v>25217.86</v>
      </c>
      <c r="U2" t="n">
        <v>25471.98</v>
      </c>
      <c r="V2" t="n">
        <v>26421.85</v>
      </c>
      <c r="W2" t="n">
        <v>26331.92</v>
      </c>
      <c r="X2" t="n">
        <v>26005.93</v>
      </c>
      <c r="Y2" t="n">
        <v>25795.79</v>
      </c>
      <c r="Z2" t="n">
        <v>25905.83</v>
      </c>
      <c r="AA2" t="n">
        <v>27222.7</v>
      </c>
      <c r="AB2" t="n">
        <v>28182.28999999999</v>
      </c>
      <c r="AC2" t="n">
        <v>29191.35999999999</v>
      </c>
      <c r="AD2" t="n">
        <v>31098.44999999999</v>
      </c>
      <c r="AE2" t="n">
        <v>32530.65000000001</v>
      </c>
      <c r="AF2" t="n">
        <v>33333.61</v>
      </c>
      <c r="AG2" t="n">
        <v>33635.95</v>
      </c>
      <c r="AH2" t="n">
        <v>32331.48</v>
      </c>
      <c r="AI2" t="n">
        <v>30114.76</v>
      </c>
      <c r="AJ2" t="n">
        <v>27709.20999999999</v>
      </c>
      <c r="AK2" t="n">
        <v>25281.4</v>
      </c>
      <c r="AL2" t="n">
        <v>22649.39999999999</v>
      </c>
      <c r="AM2" t="n">
        <v>20639.19</v>
      </c>
      <c r="AN2" t="n">
        <v>18138.45</v>
      </c>
      <c r="AO2" t="n">
        <v>17135.48</v>
      </c>
      <c r="AP2" t="n">
        <v>16234.57</v>
      </c>
      <c r="AQ2" t="n">
        <v>15392.5</v>
      </c>
      <c r="AR2" t="n">
        <v>14384.53</v>
      </c>
      <c r="AS2" t="n">
        <v>13691.01</v>
      </c>
      <c r="AT2" t="n">
        <v>14201.41</v>
      </c>
      <c r="AU2" t="n">
        <v>12231.38</v>
      </c>
      <c r="AV2" t="n">
        <v>11271.59999999999</v>
      </c>
      <c r="AW2" t="n">
        <v>10152.13</v>
      </c>
      <c r="AX2" t="n">
        <v>10157.61</v>
      </c>
      <c r="AY2" t="n">
        <v>10026.21</v>
      </c>
      <c r="AZ2" t="n">
        <v>11222.59</v>
      </c>
      <c r="BA2" t="n">
        <v>12856.34</v>
      </c>
      <c r="BB2" t="n">
        <v>15494.38</v>
      </c>
      <c r="BC2" t="n">
        <v>17520.81</v>
      </c>
      <c r="BD2" t="n">
        <v>19305.46</v>
      </c>
      <c r="BE2" t="n">
        <v>21049.12</v>
      </c>
      <c r="BF2" t="n">
        <v>23476.87</v>
      </c>
      <c r="BG2" t="n">
        <v>26320.08</v>
      </c>
      <c r="BH2" t="n">
        <v>29044.82</v>
      </c>
      <c r="BI2" t="n">
        <v>31862.54999999999</v>
      </c>
      <c r="BJ2" t="n">
        <v>34409.51</v>
      </c>
      <c r="BK2" t="n">
        <v>36751.52</v>
      </c>
      <c r="BL2" t="n">
        <v>39569.64000000001</v>
      </c>
      <c r="BM2" t="n">
        <v>41582.81999999999</v>
      </c>
      <c r="BN2" t="n">
        <v>43728.57999999999</v>
      </c>
      <c r="BO2" t="n">
        <v>45881.91999999999</v>
      </c>
      <c r="BP2" t="n">
        <v>47671.39</v>
      </c>
      <c r="BQ2" t="n">
        <v>47966.72000000001</v>
      </c>
      <c r="BR2" t="n">
        <v>48162.55</v>
      </c>
      <c r="BS2" t="n">
        <v>47900.06999999999</v>
      </c>
      <c r="BT2" t="n">
        <v>46450.27</v>
      </c>
      <c r="BU2" t="n">
        <v>44961.63</v>
      </c>
      <c r="BV2" t="n">
        <v>43638.66</v>
      </c>
      <c r="BW2" t="n">
        <v>43164.32000000001</v>
      </c>
      <c r="BX2" t="n">
        <v>41879.08</v>
      </c>
      <c r="BY2" t="n">
        <v>41377.25999999999</v>
      </c>
      <c r="BZ2" t="n">
        <v>40780.75999999999</v>
      </c>
      <c r="CA2" t="n">
        <v>40274.98</v>
      </c>
      <c r="CB2" t="n">
        <v>39750.51999999999</v>
      </c>
      <c r="CC2" t="n">
        <v>39412.22000000001</v>
      </c>
      <c r="CD2" t="n">
        <v>39362.25</v>
      </c>
      <c r="CE2" t="n">
        <v>39122.96</v>
      </c>
      <c r="CF2" t="n">
        <v>39031.43</v>
      </c>
      <c r="CG2" t="n">
        <v>38865.81999999999</v>
      </c>
      <c r="CH2" t="n">
        <v>39512.88</v>
      </c>
      <c r="CI2" t="n">
        <v>38885.81</v>
      </c>
      <c r="CJ2" t="n">
        <v>37978.45</v>
      </c>
      <c r="CK2" t="n">
        <v>37102.22</v>
      </c>
      <c r="CL2" t="n">
        <v>36073.92</v>
      </c>
      <c r="CM2" t="n">
        <v>36304.58</v>
      </c>
      <c r="CN2" t="n">
        <v>35990.14</v>
      </c>
      <c r="CO2" t="n">
        <v>35856.67999999999</v>
      </c>
      <c r="CP2" t="n">
        <v>36493.8</v>
      </c>
      <c r="CQ2" t="n">
        <v>35640.21</v>
      </c>
      <c r="CR2" t="n">
        <v>35102.44</v>
      </c>
      <c r="CS2" t="n">
        <v>34308.07</v>
      </c>
    </row>
  </sheetData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K2"/>
  <sheetViews>
    <sheetView topLeftCell="BX1" workbookViewId="0">
      <selection activeCell="BY14" sqref="BY14"/>
    </sheetView>
  </sheetViews>
  <sheetFormatPr baseColWidth="8" defaultRowHeight="13.8"/>
  <sheetData>
    <row r="1" ht="37.05" customHeight="1">
      <c r="A1" s="1" t="inlineStr">
        <is>
          <t>时刻</t>
        </is>
      </c>
      <c r="B1" s="1" t="inlineStr">
        <is>
          <t>00:15</t>
        </is>
      </c>
      <c r="C1" s="1" t="inlineStr">
        <is>
          <t>00:30</t>
        </is>
      </c>
      <c r="D1" s="1" t="inlineStr">
        <is>
          <t>00:45</t>
        </is>
      </c>
      <c r="E1" s="1" t="inlineStr">
        <is>
          <t>01:00</t>
        </is>
      </c>
      <c r="F1" s="1" t="inlineStr">
        <is>
          <t>01:15</t>
        </is>
      </c>
      <c r="G1" s="1" t="inlineStr">
        <is>
          <t>01:30</t>
        </is>
      </c>
      <c r="H1" s="1" t="inlineStr">
        <is>
          <t>01:45</t>
        </is>
      </c>
      <c r="I1" s="1" t="inlineStr">
        <is>
          <t>02:00</t>
        </is>
      </c>
      <c r="J1" s="1" t="inlineStr">
        <is>
          <t>02:15</t>
        </is>
      </c>
      <c r="K1" s="1" t="inlineStr">
        <is>
          <t>02:30</t>
        </is>
      </c>
      <c r="L1" s="1" t="inlineStr">
        <is>
          <t>02:45</t>
        </is>
      </c>
      <c r="M1" s="1" t="inlineStr">
        <is>
          <t>03:00</t>
        </is>
      </c>
      <c r="N1" s="1" t="inlineStr">
        <is>
          <t>03:15</t>
        </is>
      </c>
      <c r="O1" s="1" t="inlineStr">
        <is>
          <t>03:30</t>
        </is>
      </c>
      <c r="P1" s="1" t="inlineStr">
        <is>
          <t>03:45</t>
        </is>
      </c>
      <c r="Q1" s="1" t="inlineStr">
        <is>
          <t>04:00</t>
        </is>
      </c>
      <c r="R1" s="1" t="inlineStr">
        <is>
          <t>04:15</t>
        </is>
      </c>
      <c r="S1" s="1" t="inlineStr">
        <is>
          <t>04:30</t>
        </is>
      </c>
      <c r="T1" s="1" t="inlineStr">
        <is>
          <t>04:45</t>
        </is>
      </c>
      <c r="U1" s="1" t="inlineStr">
        <is>
          <t>05:00</t>
        </is>
      </c>
      <c r="V1" s="1" t="inlineStr">
        <is>
          <t>05:15</t>
        </is>
      </c>
      <c r="W1" s="1" t="inlineStr">
        <is>
          <t>05:30</t>
        </is>
      </c>
      <c r="X1" s="1" t="inlineStr">
        <is>
          <t>05:45</t>
        </is>
      </c>
      <c r="Y1" s="1" t="inlineStr">
        <is>
          <t>06:00</t>
        </is>
      </c>
      <c r="Z1" s="1" t="inlineStr">
        <is>
          <t>06:15</t>
        </is>
      </c>
      <c r="AA1" s="1" t="inlineStr">
        <is>
          <t>06:30</t>
        </is>
      </c>
      <c r="AB1" s="1" t="inlineStr">
        <is>
          <t>06:45</t>
        </is>
      </c>
      <c r="AC1" s="1" t="inlineStr">
        <is>
          <t>07:00</t>
        </is>
      </c>
      <c r="AD1" s="1" t="inlineStr">
        <is>
          <t>07:15</t>
        </is>
      </c>
      <c r="AE1" s="1" t="inlineStr">
        <is>
          <t>07:30</t>
        </is>
      </c>
      <c r="AF1" s="1" t="inlineStr">
        <is>
          <t>07:45</t>
        </is>
      </c>
      <c r="AG1" s="1" t="inlineStr">
        <is>
          <t>08:00</t>
        </is>
      </c>
      <c r="AH1" s="1" t="inlineStr">
        <is>
          <t>08:15</t>
        </is>
      </c>
      <c r="AI1" s="1" t="inlineStr">
        <is>
          <t>08:30</t>
        </is>
      </c>
      <c r="AJ1" s="1" t="inlineStr">
        <is>
          <t>08:45</t>
        </is>
      </c>
      <c r="AK1" s="1" t="inlineStr">
        <is>
          <t>09:00</t>
        </is>
      </c>
      <c r="AL1" s="1" t="inlineStr">
        <is>
          <t>09:15</t>
        </is>
      </c>
      <c r="AM1" s="1" t="inlineStr">
        <is>
          <t>09:30</t>
        </is>
      </c>
      <c r="AN1" s="1" t="inlineStr">
        <is>
          <t>09:45</t>
        </is>
      </c>
      <c r="AO1" s="1" t="inlineStr">
        <is>
          <t>10:00</t>
        </is>
      </c>
      <c r="AP1" s="1" t="inlineStr">
        <is>
          <t>10:15</t>
        </is>
      </c>
      <c r="AQ1" s="1" t="inlineStr">
        <is>
          <t>10:30</t>
        </is>
      </c>
      <c r="AR1" s="1" t="inlineStr">
        <is>
          <t>10:45</t>
        </is>
      </c>
      <c r="AS1" s="1" t="inlineStr">
        <is>
          <t>11:00</t>
        </is>
      </c>
      <c r="AT1" s="1" t="inlineStr">
        <is>
          <t>11:15</t>
        </is>
      </c>
      <c r="AU1" s="1" t="inlineStr">
        <is>
          <t>11:30</t>
        </is>
      </c>
      <c r="AV1" s="1" t="inlineStr">
        <is>
          <t>11:45</t>
        </is>
      </c>
      <c r="AW1" s="1" t="inlineStr">
        <is>
          <t>12:00</t>
        </is>
      </c>
      <c r="AX1" s="1" t="inlineStr">
        <is>
          <t>12:15</t>
        </is>
      </c>
      <c r="AY1" s="1" t="inlineStr">
        <is>
          <t>12:30</t>
        </is>
      </c>
      <c r="AZ1" s="1" t="inlineStr">
        <is>
          <t>12:45</t>
        </is>
      </c>
      <c r="BA1" s="1" t="inlineStr">
        <is>
          <t>13:00</t>
        </is>
      </c>
      <c r="BB1" s="1" t="inlineStr">
        <is>
          <t>13:15</t>
        </is>
      </c>
      <c r="BC1" s="1" t="inlineStr">
        <is>
          <t>13:30</t>
        </is>
      </c>
      <c r="BD1" s="1" t="inlineStr">
        <is>
          <t>13:45</t>
        </is>
      </c>
      <c r="BE1" s="1" t="inlineStr">
        <is>
          <t>14:00</t>
        </is>
      </c>
      <c r="BF1" s="1" t="inlineStr">
        <is>
          <t>14:15</t>
        </is>
      </c>
      <c r="BG1" s="1" t="inlineStr">
        <is>
          <t>14:30</t>
        </is>
      </c>
      <c r="BH1" s="1" t="inlineStr">
        <is>
          <t>14:45</t>
        </is>
      </c>
      <c r="BI1" s="1" t="inlineStr">
        <is>
          <t>15:00</t>
        </is>
      </c>
      <c r="BJ1" s="1" t="inlineStr">
        <is>
          <t>15:15</t>
        </is>
      </c>
      <c r="BK1" s="1" t="inlineStr">
        <is>
          <t>15:30</t>
        </is>
      </c>
      <c r="BL1" s="1" t="inlineStr">
        <is>
          <t>15:45</t>
        </is>
      </c>
      <c r="BM1" s="1" t="inlineStr">
        <is>
          <t>16:00</t>
        </is>
      </c>
      <c r="BN1" s="1" t="inlineStr">
        <is>
          <t>16:15</t>
        </is>
      </c>
      <c r="BO1" s="1" t="inlineStr">
        <is>
          <t>16:30</t>
        </is>
      </c>
      <c r="BP1" s="1" t="inlineStr">
        <is>
          <t>16:45</t>
        </is>
      </c>
      <c r="BQ1" s="1" t="inlineStr">
        <is>
          <t>17:00</t>
        </is>
      </c>
      <c r="BR1" s="1" t="inlineStr">
        <is>
          <t>17:15</t>
        </is>
      </c>
      <c r="BS1" s="1" t="inlineStr">
        <is>
          <t>17:30</t>
        </is>
      </c>
      <c r="BT1" s="1" t="inlineStr">
        <is>
          <t>17:45</t>
        </is>
      </c>
      <c r="BU1" s="1" t="inlineStr">
        <is>
          <t>18:00</t>
        </is>
      </c>
      <c r="BV1" s="1" t="inlineStr">
        <is>
          <t>18:15</t>
        </is>
      </c>
      <c r="BW1" s="1" t="inlineStr">
        <is>
          <t>18:30</t>
        </is>
      </c>
      <c r="BX1" s="1" t="inlineStr">
        <is>
          <t>18:45</t>
        </is>
      </c>
      <c r="BY1" s="1" t="inlineStr">
        <is>
          <t>19:00</t>
        </is>
      </c>
      <c r="BZ1" s="1" t="inlineStr">
        <is>
          <t>19:15</t>
        </is>
      </c>
      <c r="CA1" s="1" t="inlineStr">
        <is>
          <t>19:30</t>
        </is>
      </c>
      <c r="CB1" s="1" t="inlineStr">
        <is>
          <t>19:45</t>
        </is>
      </c>
      <c r="CC1" s="1" t="inlineStr">
        <is>
          <t>20:00</t>
        </is>
      </c>
      <c r="CD1" s="1" t="inlineStr">
        <is>
          <t>20:15</t>
        </is>
      </c>
      <c r="CE1" s="1" t="inlineStr">
        <is>
          <t>20:30</t>
        </is>
      </c>
      <c r="CF1" s="1" t="inlineStr">
        <is>
          <t>20:45</t>
        </is>
      </c>
      <c r="CG1" s="1" t="inlineStr">
        <is>
          <t>21:00</t>
        </is>
      </c>
      <c r="CH1" s="1" t="inlineStr">
        <is>
          <t>21:15</t>
        </is>
      </c>
      <c r="CI1" s="1" t="inlineStr">
        <is>
          <t>21:30</t>
        </is>
      </c>
      <c r="CJ1" s="1" t="inlineStr">
        <is>
          <t>21:45</t>
        </is>
      </c>
      <c r="CK1" s="1" t="inlineStr">
        <is>
          <t>22:00</t>
        </is>
      </c>
      <c r="CL1" s="1" t="inlineStr">
        <is>
          <t>22:15</t>
        </is>
      </c>
      <c r="CM1" s="1" t="inlineStr">
        <is>
          <t>22:30</t>
        </is>
      </c>
      <c r="CN1" s="1" t="inlineStr">
        <is>
          <t>22:45</t>
        </is>
      </c>
      <c r="CO1" s="1" t="inlineStr">
        <is>
          <t>23:00</t>
        </is>
      </c>
      <c r="CP1" s="1" t="inlineStr">
        <is>
          <t>23:15</t>
        </is>
      </c>
      <c r="CQ1" s="1" t="inlineStr">
        <is>
          <t>23:30</t>
        </is>
      </c>
      <c r="CR1" s="1" t="inlineStr">
        <is>
          <t>23:45</t>
        </is>
      </c>
      <c r="CS1" s="1" t="inlineStr">
        <is>
          <t>24:00</t>
        </is>
      </c>
      <c r="CT1" s="1" t="inlineStr">
        <is>
          <t>00:15</t>
        </is>
      </c>
      <c r="CU1" s="1" t="inlineStr">
        <is>
          <t>00:30</t>
        </is>
      </c>
      <c r="CV1" s="1" t="inlineStr">
        <is>
          <t>00:45</t>
        </is>
      </c>
      <c r="CW1" s="1" t="inlineStr">
        <is>
          <t>01:00</t>
        </is>
      </c>
      <c r="CX1" s="1" t="inlineStr">
        <is>
          <t>01:15</t>
        </is>
      </c>
      <c r="CY1" s="1" t="inlineStr">
        <is>
          <t>01:30</t>
        </is>
      </c>
      <c r="CZ1" s="1" t="inlineStr">
        <is>
          <t>01:45</t>
        </is>
      </c>
      <c r="DA1" s="1" t="inlineStr">
        <is>
          <t>02:00</t>
        </is>
      </c>
      <c r="DB1" s="1" t="inlineStr">
        <is>
          <t>02:15</t>
        </is>
      </c>
      <c r="DC1" s="1" t="inlineStr">
        <is>
          <t>02:30</t>
        </is>
      </c>
      <c r="DD1" s="1" t="inlineStr">
        <is>
          <t>02:45</t>
        </is>
      </c>
      <c r="DE1" s="1" t="inlineStr">
        <is>
          <t>03:00</t>
        </is>
      </c>
      <c r="DF1" s="1" t="inlineStr">
        <is>
          <t>03:15</t>
        </is>
      </c>
      <c r="DG1" s="1" t="inlineStr">
        <is>
          <t>03:30</t>
        </is>
      </c>
      <c r="DH1" s="1" t="inlineStr">
        <is>
          <t>03:45</t>
        </is>
      </c>
      <c r="DI1" s="1" t="inlineStr">
        <is>
          <t>04:00</t>
        </is>
      </c>
      <c r="DJ1" s="1" t="inlineStr">
        <is>
          <t>04:15</t>
        </is>
      </c>
      <c r="DK1" s="1" t="inlineStr">
        <is>
          <t>04:30</t>
        </is>
      </c>
      <c r="DL1" s="1" t="inlineStr">
        <is>
          <t>04:45</t>
        </is>
      </c>
      <c r="DM1" s="1" t="inlineStr">
        <is>
          <t>05:00</t>
        </is>
      </c>
      <c r="DN1" s="1" t="inlineStr">
        <is>
          <t>05:15</t>
        </is>
      </c>
      <c r="DO1" s="1" t="inlineStr">
        <is>
          <t>05:30</t>
        </is>
      </c>
      <c r="DP1" s="1" t="inlineStr">
        <is>
          <t>05:45</t>
        </is>
      </c>
      <c r="DQ1" s="1" t="inlineStr">
        <is>
          <t>06:00</t>
        </is>
      </c>
      <c r="DR1" s="1" t="inlineStr">
        <is>
          <t>06:15</t>
        </is>
      </c>
      <c r="DS1" s="1" t="inlineStr">
        <is>
          <t>06:30</t>
        </is>
      </c>
      <c r="DT1" s="1" t="inlineStr">
        <is>
          <t>06:45</t>
        </is>
      </c>
      <c r="DU1" s="1" t="inlineStr">
        <is>
          <t>07:00</t>
        </is>
      </c>
      <c r="DV1" s="1" t="inlineStr">
        <is>
          <t>07:15</t>
        </is>
      </c>
      <c r="DW1" s="1" t="inlineStr">
        <is>
          <t>07:30</t>
        </is>
      </c>
      <c r="DX1" s="1" t="inlineStr">
        <is>
          <t>07:45</t>
        </is>
      </c>
      <c r="DY1" s="1" t="inlineStr">
        <is>
          <t>08:00</t>
        </is>
      </c>
      <c r="DZ1" s="1" t="inlineStr">
        <is>
          <t>08:15</t>
        </is>
      </c>
      <c r="EA1" s="1" t="inlineStr">
        <is>
          <t>08:30</t>
        </is>
      </c>
      <c r="EB1" s="1" t="inlineStr">
        <is>
          <t>08:45</t>
        </is>
      </c>
      <c r="EC1" s="1" t="inlineStr">
        <is>
          <t>09:00</t>
        </is>
      </c>
      <c r="ED1" s="1" t="inlineStr">
        <is>
          <t>09:15</t>
        </is>
      </c>
      <c r="EE1" s="1" t="inlineStr">
        <is>
          <t>09:30</t>
        </is>
      </c>
      <c r="EF1" s="1" t="inlineStr">
        <is>
          <t>09:45</t>
        </is>
      </c>
      <c r="EG1" s="1" t="inlineStr">
        <is>
          <t>10:00</t>
        </is>
      </c>
      <c r="EH1" s="1" t="inlineStr">
        <is>
          <t>10:15</t>
        </is>
      </c>
      <c r="EI1" s="1" t="inlineStr">
        <is>
          <t>10:30</t>
        </is>
      </c>
      <c r="EJ1" s="1" t="inlineStr">
        <is>
          <t>10:45</t>
        </is>
      </c>
      <c r="EK1" s="1" t="inlineStr">
        <is>
          <t>11:00</t>
        </is>
      </c>
      <c r="EL1" s="1" t="inlineStr">
        <is>
          <t>11:15</t>
        </is>
      </c>
      <c r="EM1" s="1" t="inlineStr">
        <is>
          <t>11:30</t>
        </is>
      </c>
      <c r="EN1" s="1" t="inlineStr">
        <is>
          <t>11:45</t>
        </is>
      </c>
      <c r="EO1" s="1" t="inlineStr">
        <is>
          <t>12:00</t>
        </is>
      </c>
      <c r="EP1" s="1" t="inlineStr">
        <is>
          <t>12:15</t>
        </is>
      </c>
      <c r="EQ1" s="1" t="inlineStr">
        <is>
          <t>12:30</t>
        </is>
      </c>
      <c r="ER1" s="1" t="inlineStr">
        <is>
          <t>12:45</t>
        </is>
      </c>
      <c r="ES1" s="1" t="inlineStr">
        <is>
          <t>13:00</t>
        </is>
      </c>
      <c r="ET1" s="1" t="inlineStr">
        <is>
          <t>13:15</t>
        </is>
      </c>
      <c r="EU1" s="1" t="inlineStr">
        <is>
          <t>13:30</t>
        </is>
      </c>
      <c r="EV1" s="1" t="inlineStr">
        <is>
          <t>13:45</t>
        </is>
      </c>
      <c r="EW1" s="1" t="inlineStr">
        <is>
          <t>14:00</t>
        </is>
      </c>
      <c r="EX1" s="1" t="inlineStr">
        <is>
          <t>14:15</t>
        </is>
      </c>
      <c r="EY1" s="1" t="inlineStr">
        <is>
          <t>14:30</t>
        </is>
      </c>
      <c r="EZ1" s="1" t="inlineStr">
        <is>
          <t>14:45</t>
        </is>
      </c>
      <c r="FA1" s="1" t="inlineStr">
        <is>
          <t>15:00</t>
        </is>
      </c>
      <c r="FB1" s="1" t="inlineStr">
        <is>
          <t>15:15</t>
        </is>
      </c>
      <c r="FC1" s="1" t="inlineStr">
        <is>
          <t>15:30</t>
        </is>
      </c>
      <c r="FD1" s="1" t="inlineStr">
        <is>
          <t>15:45</t>
        </is>
      </c>
      <c r="FE1" s="1" t="inlineStr">
        <is>
          <t>16:00</t>
        </is>
      </c>
      <c r="FF1" s="1" t="inlineStr">
        <is>
          <t>16:15</t>
        </is>
      </c>
      <c r="FG1" s="1" t="inlineStr">
        <is>
          <t>16:30</t>
        </is>
      </c>
      <c r="FH1" s="1" t="inlineStr">
        <is>
          <t>16:45</t>
        </is>
      </c>
      <c r="FI1" s="1" t="inlineStr">
        <is>
          <t>17:00</t>
        </is>
      </c>
      <c r="FJ1" s="1" t="inlineStr">
        <is>
          <t>17:15</t>
        </is>
      </c>
      <c r="FK1" s="1" t="inlineStr">
        <is>
          <t>17:30</t>
        </is>
      </c>
      <c r="FL1" s="1" t="inlineStr">
        <is>
          <t>17:45</t>
        </is>
      </c>
      <c r="FM1" s="1" t="inlineStr">
        <is>
          <t>18:00</t>
        </is>
      </c>
      <c r="FN1" s="1" t="inlineStr">
        <is>
          <t>18:15</t>
        </is>
      </c>
      <c r="FO1" s="1" t="inlineStr">
        <is>
          <t>18:30</t>
        </is>
      </c>
      <c r="FP1" s="1" t="inlineStr">
        <is>
          <t>18:45</t>
        </is>
      </c>
      <c r="FQ1" s="1" t="inlineStr">
        <is>
          <t>19:00</t>
        </is>
      </c>
      <c r="FR1" s="1" t="inlineStr">
        <is>
          <t>19:15</t>
        </is>
      </c>
      <c r="FS1" s="1" t="inlineStr">
        <is>
          <t>19:30</t>
        </is>
      </c>
      <c r="FT1" s="1" t="inlineStr">
        <is>
          <t>19:45</t>
        </is>
      </c>
      <c r="FU1" s="1" t="inlineStr">
        <is>
          <t>20:00</t>
        </is>
      </c>
      <c r="FV1" s="1" t="inlineStr">
        <is>
          <t>20:15</t>
        </is>
      </c>
      <c r="FW1" s="1" t="inlineStr">
        <is>
          <t>20:30</t>
        </is>
      </c>
      <c r="FX1" s="1" t="inlineStr">
        <is>
          <t>20:45</t>
        </is>
      </c>
      <c r="FY1" s="1" t="inlineStr">
        <is>
          <t>21:00</t>
        </is>
      </c>
      <c r="FZ1" s="1" t="inlineStr">
        <is>
          <t>21:15</t>
        </is>
      </c>
      <c r="GA1" s="1" t="inlineStr">
        <is>
          <t>21:30</t>
        </is>
      </c>
      <c r="GB1" s="1" t="inlineStr">
        <is>
          <t>21:45</t>
        </is>
      </c>
      <c r="GC1" s="1" t="inlineStr">
        <is>
          <t>22:00</t>
        </is>
      </c>
      <c r="GD1" s="1" t="inlineStr">
        <is>
          <t>22:15</t>
        </is>
      </c>
      <c r="GE1" s="1" t="inlineStr">
        <is>
          <t>22:30</t>
        </is>
      </c>
      <c r="GF1" s="1" t="inlineStr">
        <is>
          <t>22:45</t>
        </is>
      </c>
      <c r="GG1" s="1" t="inlineStr">
        <is>
          <t>23:00</t>
        </is>
      </c>
      <c r="GH1" s="1" t="inlineStr">
        <is>
          <t>23:15</t>
        </is>
      </c>
      <c r="GI1" s="1" t="inlineStr">
        <is>
          <t>23:30</t>
        </is>
      </c>
      <c r="GJ1" s="1" t="inlineStr">
        <is>
          <t>23:45</t>
        </is>
      </c>
      <c r="GK1" s="1" t="inlineStr">
        <is>
          <t>24:00</t>
        </is>
      </c>
    </row>
    <row r="2">
      <c r="A2" t="inlineStr">
        <is>
          <t>竞价空间</t>
        </is>
      </c>
      <c r="B2" t="n">
        <v>43120.55</v>
      </c>
      <c r="C2" t="n">
        <v>41694.66</v>
      </c>
      <c r="D2" t="n">
        <v>41488.85000000001</v>
      </c>
      <c r="E2" t="n">
        <v>41049.52</v>
      </c>
      <c r="F2" t="n">
        <v>40915.1</v>
      </c>
      <c r="G2" t="n">
        <v>40663.39</v>
      </c>
      <c r="H2" t="n">
        <v>40673.96</v>
      </c>
      <c r="I2" t="n">
        <v>40356.89999999999</v>
      </c>
      <c r="J2" t="n">
        <v>41531.08</v>
      </c>
      <c r="K2" t="n">
        <v>41441.37</v>
      </c>
      <c r="L2" t="n">
        <v>41319.42</v>
      </c>
      <c r="M2" t="n">
        <v>40937.13</v>
      </c>
      <c r="N2" t="n">
        <v>40677.94</v>
      </c>
      <c r="O2" t="n">
        <v>40605.21</v>
      </c>
      <c r="P2" t="n">
        <v>40450.56</v>
      </c>
      <c r="Q2" t="n">
        <v>40254.71</v>
      </c>
      <c r="R2" t="n">
        <v>40460.68</v>
      </c>
      <c r="S2" t="n">
        <v>40547.77</v>
      </c>
      <c r="T2" t="n">
        <v>40848.66</v>
      </c>
      <c r="U2" t="n">
        <v>41338.27</v>
      </c>
      <c r="V2" t="n">
        <v>41682.11</v>
      </c>
      <c r="W2" t="n">
        <v>41197.95</v>
      </c>
      <c r="X2" t="n">
        <v>40931.99</v>
      </c>
      <c r="Y2" t="n">
        <v>40531.09</v>
      </c>
      <c r="Z2" t="n">
        <v>40743.38999999999</v>
      </c>
      <c r="AA2" t="n">
        <v>41675.57000000001</v>
      </c>
      <c r="AB2" t="n">
        <v>42762.94</v>
      </c>
      <c r="AC2" t="n">
        <v>43505.92000000001</v>
      </c>
      <c r="AD2" t="n">
        <v>44088.24</v>
      </c>
      <c r="AE2" t="n">
        <v>43998.36</v>
      </c>
      <c r="AF2" t="n">
        <v>44207.42000000001</v>
      </c>
      <c r="AG2" t="n">
        <v>43208.86</v>
      </c>
      <c r="AH2" t="n">
        <v>41674.51</v>
      </c>
      <c r="AI2" t="n">
        <v>38636.36</v>
      </c>
      <c r="AJ2" t="n">
        <v>35251.37</v>
      </c>
      <c r="AK2" t="n">
        <v>32030.43</v>
      </c>
      <c r="AL2" t="n">
        <v>29087.46999999999</v>
      </c>
      <c r="AM2" t="n">
        <v>26439.28</v>
      </c>
      <c r="AN2" t="n">
        <v>23581.13</v>
      </c>
      <c r="AO2" t="n">
        <v>21462.28</v>
      </c>
      <c r="AP2" t="n">
        <v>20277.08</v>
      </c>
      <c r="AQ2" t="n">
        <v>19450.33</v>
      </c>
      <c r="AR2" t="n">
        <v>18271.79</v>
      </c>
      <c r="AS2" t="n">
        <v>17028.03</v>
      </c>
      <c r="AT2" t="n">
        <v>17095.06</v>
      </c>
      <c r="AU2" t="n">
        <v>15113.43</v>
      </c>
      <c r="AV2" t="n">
        <v>13942.14</v>
      </c>
      <c r="AW2" t="n">
        <v>11983.28000000001</v>
      </c>
      <c r="AX2" t="n">
        <v>11256.42</v>
      </c>
      <c r="AY2" t="n">
        <v>11261.4</v>
      </c>
      <c r="AZ2" t="n">
        <v>12408.13</v>
      </c>
      <c r="BA2" t="n">
        <v>13261.97</v>
      </c>
      <c r="BB2" t="n">
        <v>15771.61</v>
      </c>
      <c r="BC2" t="n">
        <v>17263.71</v>
      </c>
      <c r="BD2" t="n">
        <v>18864.4</v>
      </c>
      <c r="BE2" t="n">
        <v>19985.65</v>
      </c>
      <c r="BF2" t="n">
        <v>22122.06</v>
      </c>
      <c r="BG2" t="n">
        <v>24448.43000000001</v>
      </c>
      <c r="BH2" t="n">
        <v>26816.16999999999</v>
      </c>
      <c r="BI2" t="n">
        <v>28716.73</v>
      </c>
      <c r="BJ2" t="n">
        <v>31301.12000000001</v>
      </c>
      <c r="BK2" t="n">
        <v>34135.39</v>
      </c>
      <c r="BL2" t="n">
        <v>36482.66</v>
      </c>
      <c r="BM2" t="n">
        <v>37214.08</v>
      </c>
      <c r="BN2" t="n">
        <v>38460.89</v>
      </c>
      <c r="BO2" t="n">
        <v>40029.46000000001</v>
      </c>
      <c r="BP2" t="n">
        <v>41129.20999999999</v>
      </c>
      <c r="BQ2" t="n">
        <v>41347.49</v>
      </c>
      <c r="BR2" t="n">
        <v>41289.96</v>
      </c>
      <c r="BS2" t="n">
        <v>40708.54000000001</v>
      </c>
      <c r="BT2" t="n">
        <v>39349.26</v>
      </c>
      <c r="BU2" t="n">
        <v>37493.87</v>
      </c>
      <c r="BV2" t="n">
        <v>36072.28999999999</v>
      </c>
      <c r="BW2" t="n">
        <v>34892.25000000001</v>
      </c>
      <c r="BX2" t="n">
        <v>34331.09</v>
      </c>
      <c r="BY2" t="n">
        <v>33380.24000000001</v>
      </c>
      <c r="BZ2" t="n">
        <v>32816.96999999999</v>
      </c>
      <c r="CA2" t="n">
        <v>32369.51000000001</v>
      </c>
      <c r="CB2" t="n">
        <v>31770.69</v>
      </c>
      <c r="CC2" t="n">
        <v>31499.59</v>
      </c>
      <c r="CD2" t="n">
        <v>31112.50000000001</v>
      </c>
      <c r="CE2" t="n">
        <v>30647.80999999999</v>
      </c>
      <c r="CF2" t="n">
        <v>30319.27</v>
      </c>
      <c r="CG2" t="n">
        <v>30376.41</v>
      </c>
      <c r="CH2" t="n">
        <v>30857.41999999999</v>
      </c>
      <c r="CI2" t="n">
        <v>30254.8</v>
      </c>
      <c r="CJ2" t="n">
        <v>29459.36</v>
      </c>
      <c r="CK2" t="n">
        <v>28090.59999999999</v>
      </c>
      <c r="CL2" t="n">
        <v>26983.67</v>
      </c>
      <c r="CM2" t="n">
        <v>26742.95</v>
      </c>
      <c r="CN2" t="n">
        <v>26718.09</v>
      </c>
      <c r="CO2" t="n">
        <v>26058.64</v>
      </c>
      <c r="CP2" t="n">
        <v>26893.08</v>
      </c>
      <c r="CQ2" t="n">
        <v>25977.45</v>
      </c>
      <c r="CR2" t="n">
        <v>24933.74</v>
      </c>
      <c r="CS2" t="n">
        <v>24081.51</v>
      </c>
      <c r="CT2" t="n">
        <v>24353.79</v>
      </c>
      <c r="CU2" t="n">
        <v>24137.59</v>
      </c>
      <c r="CV2" t="n">
        <v>23797.04</v>
      </c>
      <c r="CW2" t="n">
        <v>23408.25</v>
      </c>
      <c r="CX2" t="n">
        <v>23163.75</v>
      </c>
      <c r="CY2" t="n">
        <v>22796.42</v>
      </c>
      <c r="CZ2" t="n">
        <v>22578.83</v>
      </c>
      <c r="DA2" t="n">
        <v>22409.54</v>
      </c>
      <c r="DB2" t="n">
        <v>23479.29</v>
      </c>
      <c r="DC2" t="n">
        <v>24100.1</v>
      </c>
      <c r="DD2" t="n">
        <v>23932.83</v>
      </c>
      <c r="DE2" t="n">
        <v>23842.48</v>
      </c>
      <c r="DF2" t="n">
        <v>23647.07</v>
      </c>
      <c r="DG2" t="n">
        <v>23829.66</v>
      </c>
      <c r="DH2" t="n">
        <v>23795.12</v>
      </c>
      <c r="DI2" t="n">
        <v>23985.14</v>
      </c>
      <c r="DJ2" t="n">
        <v>24010.68</v>
      </c>
      <c r="DK2" t="n">
        <v>24484.01</v>
      </c>
      <c r="DL2" t="n">
        <v>25217.86</v>
      </c>
      <c r="DM2" t="n">
        <v>25471.98</v>
      </c>
      <c r="DN2" t="n">
        <v>26421.85</v>
      </c>
      <c r="DO2" t="n">
        <v>26331.92</v>
      </c>
      <c r="DP2" t="n">
        <v>26005.93</v>
      </c>
      <c r="DQ2" t="n">
        <v>25795.79</v>
      </c>
      <c r="DR2" t="n">
        <v>25905.83</v>
      </c>
      <c r="DS2" t="n">
        <v>27222.7</v>
      </c>
      <c r="DT2" t="n">
        <v>28182.28999999999</v>
      </c>
      <c r="DU2" t="n">
        <v>29191.35999999999</v>
      </c>
      <c r="DV2" t="n">
        <v>31098.44999999999</v>
      </c>
      <c r="DW2" t="n">
        <v>32530.65000000001</v>
      </c>
      <c r="DX2" t="n">
        <v>33333.61</v>
      </c>
      <c r="DY2" t="n">
        <v>33635.95</v>
      </c>
      <c r="DZ2" t="n">
        <v>32331.48</v>
      </c>
      <c r="EA2" t="n">
        <v>30114.76</v>
      </c>
      <c r="EB2" t="n">
        <v>27709.20999999999</v>
      </c>
      <c r="EC2" t="n">
        <v>25281.4</v>
      </c>
      <c r="ED2" t="n">
        <v>22649.39999999999</v>
      </c>
      <c r="EE2" t="n">
        <v>20639.19</v>
      </c>
      <c r="EF2" t="n">
        <v>18138.45</v>
      </c>
      <c r="EG2" t="n">
        <v>17135.48</v>
      </c>
      <c r="EH2" t="n">
        <v>16234.57</v>
      </c>
      <c r="EI2" t="n">
        <v>15392.5</v>
      </c>
      <c r="EJ2" t="n">
        <v>14384.53</v>
      </c>
      <c r="EK2" t="n">
        <v>13691.01</v>
      </c>
      <c r="EL2" t="n">
        <v>14201.41</v>
      </c>
      <c r="EM2" t="n">
        <v>12231.38</v>
      </c>
      <c r="EN2" t="n">
        <v>11271.59999999999</v>
      </c>
      <c r="EO2" t="n">
        <v>10152.13</v>
      </c>
      <c r="EP2" t="n">
        <v>10157.61</v>
      </c>
      <c r="EQ2" t="n">
        <v>10026.21</v>
      </c>
      <c r="ER2" t="n">
        <v>11222.59</v>
      </c>
      <c r="ES2" t="n">
        <v>12856.34</v>
      </c>
      <c r="ET2" t="n">
        <v>15494.38</v>
      </c>
      <c r="EU2" t="n">
        <v>17520.81</v>
      </c>
      <c r="EV2" t="n">
        <v>19305.46</v>
      </c>
      <c r="EW2" t="n">
        <v>21049.12</v>
      </c>
      <c r="EX2" t="n">
        <v>23476.87</v>
      </c>
      <c r="EY2" t="n">
        <v>26320.08</v>
      </c>
      <c r="EZ2" t="n">
        <v>29044.82</v>
      </c>
      <c r="FA2" t="n">
        <v>31862.54999999999</v>
      </c>
      <c r="FB2" t="n">
        <v>34409.51</v>
      </c>
      <c r="FC2" t="n">
        <v>36751.52</v>
      </c>
      <c r="FD2" t="n">
        <v>39569.64000000001</v>
      </c>
      <c r="FE2" t="n">
        <v>41582.81999999999</v>
      </c>
      <c r="FF2" t="n">
        <v>43728.57999999999</v>
      </c>
      <c r="FG2" t="n">
        <v>45881.91999999999</v>
      </c>
      <c r="FH2" t="n">
        <v>47671.39</v>
      </c>
      <c r="FI2" t="n">
        <v>47966.72000000001</v>
      </c>
      <c r="FJ2" t="n">
        <v>48162.55</v>
      </c>
      <c r="FK2" t="n">
        <v>47900.06999999999</v>
      </c>
      <c r="FL2" t="n">
        <v>46450.27</v>
      </c>
      <c r="FM2" t="n">
        <v>44961.63</v>
      </c>
      <c r="FN2" t="n">
        <v>43638.66</v>
      </c>
      <c r="FO2" t="n">
        <v>43164.32000000001</v>
      </c>
      <c r="FP2" t="n">
        <v>41879.08</v>
      </c>
      <c r="FQ2" t="n">
        <v>41377.25999999999</v>
      </c>
      <c r="FR2" t="n">
        <v>40780.75999999999</v>
      </c>
      <c r="FS2" t="n">
        <v>40274.98</v>
      </c>
      <c r="FT2" t="n">
        <v>39750.51999999999</v>
      </c>
      <c r="FU2" t="n">
        <v>39412.22000000001</v>
      </c>
      <c r="FV2" t="n">
        <v>39362.25</v>
      </c>
      <c r="FW2" t="n">
        <v>39122.96</v>
      </c>
      <c r="FX2" t="n">
        <v>39031.43</v>
      </c>
      <c r="FY2" t="n">
        <v>38865.81999999999</v>
      </c>
      <c r="FZ2" t="n">
        <v>39512.88</v>
      </c>
      <c r="GA2" t="n">
        <v>38885.81</v>
      </c>
      <c r="GB2" t="n">
        <v>37978.45</v>
      </c>
      <c r="GC2" t="n">
        <v>37102.22</v>
      </c>
      <c r="GD2" t="n">
        <v>36073.92</v>
      </c>
      <c r="GE2" t="n">
        <v>36304.58</v>
      </c>
      <c r="GF2" t="n">
        <v>35990.14</v>
      </c>
      <c r="GG2" t="n">
        <v>35856.67999999999</v>
      </c>
      <c r="GH2" t="n">
        <v>36493.8</v>
      </c>
      <c r="GI2" t="n">
        <v>35640.21</v>
      </c>
      <c r="GJ2" t="n">
        <v>35102.44</v>
      </c>
      <c r="GK2" t="n">
        <v>34308.07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2026-06-02T02:02:42Z</dcterms:modified>
  <cp:lastModifiedBy>Administrator</cp:lastModifiedBy>
</cp:coreProperties>
</file>