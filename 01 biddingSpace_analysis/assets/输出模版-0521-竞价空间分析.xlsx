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01 biddingSpace_analysis\assets\"/>
    </mc:Choice>
  </mc:AlternateContent>
  <xr:revisionPtr revIDLastSave="0" documentId="13_ncr:1_{E2336764-FB5A-49E6-BDEF-7C9BB2D77AE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BY8" i="1" l="1"/>
  <c r="BZ8" i="1" s="1"/>
  <c r="CA8" i="1" s="1"/>
  <c r="CB8" i="1" s="1"/>
  <c r="CC8" i="1" s="1"/>
  <c r="CD8" i="1" s="1"/>
  <c r="CE8" i="1" s="1"/>
  <c r="CF8" i="1" s="1"/>
  <c r="CG8" i="1" s="1"/>
  <c r="CH8" i="1" s="1"/>
  <c r="CI8" i="1" s="1"/>
  <c r="CJ8" i="1" s="1"/>
  <c r="B8" i="1"/>
  <c r="CK8" i="1"/>
  <c r="CL8" i="1" s="1"/>
  <c r="CM8" i="1" s="1"/>
  <c r="CN8" i="1" s="1"/>
  <c r="CO8" i="1" s="1"/>
  <c r="CP8" i="1" s="1"/>
  <c r="CQ8" i="1" s="1"/>
  <c r="CR8" i="1" s="1"/>
  <c r="CS8" i="1" s="1"/>
  <c r="AC8" i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BA8" i="1" s="1"/>
  <c r="BB8" i="1" s="1"/>
  <c r="BC8" i="1" s="1"/>
  <c r="BD8" i="1" s="1"/>
  <c r="BE8" i="1" s="1"/>
  <c r="BF8" i="1" s="1"/>
  <c r="BG8" i="1" s="1"/>
  <c r="BH8" i="1" s="1"/>
  <c r="BI8" i="1" s="1"/>
  <c r="BJ8" i="1" s="1"/>
  <c r="BK8" i="1" s="1"/>
  <c r="BL8" i="1" s="1"/>
  <c r="BM8" i="1" s="1"/>
  <c r="BN8" i="1" s="1"/>
  <c r="BO8" i="1" s="1"/>
  <c r="BP8" i="1" s="1"/>
  <c r="BQ8" i="1" s="1"/>
  <c r="BR8" i="1" s="1"/>
  <c r="BS8" i="1" s="1"/>
  <c r="BT8" i="1" s="1"/>
  <c r="BU8" i="1" s="1"/>
  <c r="BV8" i="1" s="1"/>
  <c r="BW8" i="1" s="1"/>
  <c r="BX8" i="1" s="1"/>
  <c r="B11" i="1"/>
  <c r="B10" i="1" l="1"/>
  <c r="B12" i="1" s="1"/>
  <c r="C8" i="1"/>
  <c r="D8" i="1" s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B9" i="1"/>
  <c r="C9" i="1" l="1"/>
  <c r="D9" i="1"/>
  <c r="E9" i="1" l="1"/>
  <c r="F9" i="1" l="1"/>
  <c r="G9" i="1" l="1"/>
  <c r="H9" i="1" l="1"/>
  <c r="I9" i="1" l="1"/>
  <c r="J9" i="1" l="1"/>
  <c r="K9" i="1" l="1"/>
  <c r="L9" i="1" l="1"/>
  <c r="M9" i="1" l="1"/>
  <c r="N9" i="1" l="1"/>
  <c r="O9" i="1" l="1"/>
  <c r="P9" i="1" l="1"/>
  <c r="Q9" i="1" l="1"/>
  <c r="R9" i="1" l="1"/>
  <c r="S9" i="1" l="1"/>
  <c r="T9" i="1" l="1"/>
  <c r="U9" i="1" l="1"/>
  <c r="V9" i="1" l="1"/>
  <c r="W9" i="1" l="1"/>
  <c r="X9" i="1" l="1"/>
  <c r="Y9" i="1" l="1"/>
  <c r="Z9" i="1" l="1"/>
  <c r="AA9" i="1" l="1"/>
  <c r="AB9" i="1" l="1"/>
  <c r="AC9" i="1" l="1"/>
  <c r="AD9" i="1" l="1"/>
  <c r="AE9" i="1" l="1"/>
  <c r="AF9" i="1" l="1"/>
  <c r="AG9" i="1" l="1"/>
  <c r="AH9" i="1" l="1"/>
  <c r="AI9" i="1" l="1"/>
  <c r="AJ9" i="1" l="1"/>
  <c r="AK9" i="1" l="1"/>
  <c r="AL9" i="1" l="1"/>
  <c r="AM9" i="1" l="1"/>
  <c r="AN9" i="1" l="1"/>
  <c r="AO9" i="1" l="1"/>
  <c r="AP9" i="1" l="1"/>
  <c r="AQ9" i="1" l="1"/>
  <c r="AR9" i="1" l="1"/>
  <c r="AS9" i="1" l="1"/>
  <c r="AT9" i="1" l="1"/>
  <c r="AU9" i="1" l="1"/>
  <c r="AV9" i="1" l="1"/>
  <c r="AW9" i="1" l="1"/>
  <c r="AX9" i="1" l="1"/>
  <c r="AY9" i="1" l="1"/>
  <c r="AZ9" i="1" l="1"/>
  <c r="BA9" i="1" l="1"/>
  <c r="BB9" i="1" l="1"/>
  <c r="BC9" i="1" l="1"/>
  <c r="BD9" i="1" l="1"/>
  <c r="BE9" i="1" l="1"/>
  <c r="BF9" i="1" l="1"/>
  <c r="BG9" i="1" l="1"/>
  <c r="BH9" i="1" l="1"/>
  <c r="BI9" i="1" l="1"/>
  <c r="BJ9" i="1" l="1"/>
  <c r="BK9" i="1" l="1"/>
  <c r="BL9" i="1" l="1"/>
  <c r="BM9" i="1" l="1"/>
  <c r="BN9" i="1" l="1"/>
  <c r="BO9" i="1" l="1"/>
  <c r="BP9" i="1" l="1"/>
  <c r="BQ9" i="1" l="1"/>
  <c r="BR9" i="1" l="1"/>
  <c r="BS9" i="1" l="1"/>
  <c r="BT9" i="1" l="1"/>
  <c r="BU9" i="1" l="1"/>
  <c r="BV9" i="1" l="1"/>
  <c r="BW9" i="1" l="1"/>
  <c r="BX9" i="1" l="1"/>
  <c r="BY9" i="1" l="1"/>
  <c r="BZ9" i="1" l="1"/>
  <c r="CA9" i="1" l="1"/>
  <c r="CB9" i="1" l="1"/>
  <c r="CC9" i="1" l="1"/>
  <c r="CD9" i="1" l="1"/>
  <c r="CE9" i="1" l="1"/>
  <c r="CF9" i="1" l="1"/>
  <c r="CG9" i="1" l="1"/>
  <c r="CH9" i="1" l="1"/>
  <c r="CI9" i="1" l="1"/>
  <c r="CJ9" i="1" l="1"/>
  <c r="CK9" i="1" l="1"/>
  <c r="CL9" i="1" l="1"/>
  <c r="CM9" i="1" l="1"/>
  <c r="CN9" i="1" l="1"/>
  <c r="CO9" i="1" l="1"/>
  <c r="CP9" i="1" l="1"/>
  <c r="CQ9" i="1" l="1"/>
  <c r="CS9" i="1" l="1"/>
  <c r="CR9" i="1"/>
</calcChain>
</file>

<file path=xl/sharedStrings.xml><?xml version="1.0" encoding="utf-8"?>
<sst xmlns="http://schemas.openxmlformats.org/spreadsheetml/2006/main" count="786" uniqueCount="455">
  <si>
    <t>时刻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</si>
  <si>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</si>
  <si>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</si>
  <si>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</si>
  <si>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</si>
  <si>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</si>
  <si>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</si>
  <si>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</si>
  <si>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</si>
  <si>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</si>
  <si>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</si>
  <si>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</si>
  <si>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</si>
  <si>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</si>
  <si>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</si>
  <si>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</si>
  <si>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</si>
  <si>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</si>
  <si>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</si>
  <si>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</si>
  <si>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</si>
  <si>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</si>
  <si>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</si>
  <si>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</si>
  <si>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</si>
  <si>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</si>
  <si>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</si>
  <si>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</si>
  <si>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</si>
  <si>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</si>
  <si>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</si>
  <si>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</si>
  <si>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</si>
  <si>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</si>
  <si>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</si>
  <si>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</si>
  <si>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</si>
  <si>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</si>
  <si>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</si>
  <si>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</si>
  <si>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</si>
  <si>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</si>
  <si>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</si>
  <si>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</si>
  <si>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</si>
  <si>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</si>
  <si>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</si>
  <si>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</si>
  <si>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</si>
  <si>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</si>
  <si>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</si>
  <si>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</si>
  <si>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</si>
  <si>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</si>
  <si>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</si>
  <si>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</si>
  <si>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</si>
  <si>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</si>
  <si>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</si>
  <si>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</si>
  <si>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</si>
  <si>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</si>
  <si>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</si>
  <si>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</si>
  <si>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</si>
  <si>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</si>
  <si>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</si>
  <si>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</si>
  <si>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</si>
  <si>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</si>
  <si>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</si>
  <si>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</si>
  <si>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</si>
  <si>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</si>
  <si>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</si>
  <si>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</si>
  <si>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</si>
  <si>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</si>
  <si>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</si>
  <si>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</si>
  <si>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</si>
  <si>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</si>
  <si>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</si>
  <si>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</si>
  <si>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</si>
  <si>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</si>
  <si>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</si>
  <si>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</si>
  <si>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</si>
  <si>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</si>
  <si>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</si>
  <si>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</si>
  <si>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</si>
  <si>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</si>
  <si>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</si>
  <si>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</si>
  <si>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</si>
  <si>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竞价空间</t>
    <phoneticPr fontId="2" type="noConversion"/>
  </si>
  <si>
    <t>竞价最小值-最小出力</t>
    <phoneticPr fontId="2" type="noConversion"/>
  </si>
  <si>
    <t>竞价最小值</t>
    <phoneticPr fontId="2" type="noConversion"/>
  </si>
  <si>
    <t>火电最小出力</t>
    <phoneticPr fontId="2" type="noConversion"/>
  </si>
  <si>
    <t>24号</t>
    <phoneticPr fontId="2" type="noConversion"/>
  </si>
  <si>
    <t>14号</t>
    <phoneticPr fontId="2" type="noConversion"/>
  </si>
  <si>
    <t>12月3号</t>
    <phoneticPr fontId="2" type="noConversion"/>
  </si>
  <si>
    <t>竞价空间</t>
  </si>
  <si>
    <t>竞价空间/（最大值+备用+调频）</t>
    <phoneticPr fontId="2" type="noConversion"/>
  </si>
  <si>
    <t>最大值+备用+调频</t>
    <phoneticPr fontId="2" type="noConversion"/>
  </si>
  <si>
    <t>0.00</t>
  </si>
  <si>
    <t>0.04</t>
  </si>
  <si>
    <t>0.05</t>
  </si>
  <si>
    <t>62166.190000</t>
  </si>
  <si>
    <t>61768.560000</t>
  </si>
  <si>
    <t>61271.560000</t>
  </si>
  <si>
    <t>60774.510000</t>
  </si>
  <si>
    <t>60426.630000</t>
  </si>
  <si>
    <t>59979.290000</t>
  </si>
  <si>
    <t>59681.110000</t>
  </si>
  <si>
    <t>59283.500000</t>
  </si>
  <si>
    <t>58935.590000</t>
  </si>
  <si>
    <t>58587.670000</t>
  </si>
  <si>
    <t>58537.970000</t>
  </si>
  <si>
    <t>58438.570000</t>
  </si>
  <si>
    <t>58239.760000</t>
  </si>
  <si>
    <t>58140.360000</t>
  </si>
  <si>
    <t>58339.170000</t>
  </si>
  <si>
    <t>58985.260000</t>
  </si>
  <si>
    <t>59379.960000</t>
  </si>
  <si>
    <t>60213.810000</t>
  </si>
  <si>
    <t>61006.440000</t>
  </si>
  <si>
    <t>61757.400000</t>
  </si>
  <si>
    <t>62700.720000</t>
  </si>
  <si>
    <t>64220.970000</t>
  </si>
  <si>
    <t>65074.700000</t>
  </si>
  <si>
    <t>66085.770000</t>
  </si>
  <si>
    <t>66677.680000</t>
  </si>
  <si>
    <t>67290.260000</t>
  </si>
  <si>
    <t>68660.980000</t>
  </si>
  <si>
    <t>69709.210000</t>
  </si>
  <si>
    <t>71385.350000</t>
  </si>
  <si>
    <t>73062.600000</t>
  </si>
  <si>
    <t>75024.710000</t>
  </si>
  <si>
    <t>75908.130000</t>
  </si>
  <si>
    <t>76665.630000</t>
  </si>
  <si>
    <t>77253.080000</t>
  </si>
  <si>
    <t>77808.310000</t>
  </si>
  <si>
    <t>77778.800000</t>
  </si>
  <si>
    <t>78147.050000</t>
  </si>
  <si>
    <t>78531.140000</t>
  </si>
  <si>
    <t>80161.750000</t>
  </si>
  <si>
    <t>80774.590000</t>
  </si>
  <si>
    <t>80946.930000</t>
  </si>
  <si>
    <t>81577.560000</t>
  </si>
  <si>
    <t>82596.310000</t>
  </si>
  <si>
    <t>81366.970000</t>
  </si>
  <si>
    <t>79913.330000</t>
  </si>
  <si>
    <t>78245.450000</t>
  </si>
  <si>
    <t>77074.650000</t>
  </si>
  <si>
    <t>76460.320000</t>
  </si>
  <si>
    <t>76871.690000</t>
  </si>
  <si>
    <t>77435.280000</t>
  </si>
  <si>
    <t>78070.070000</t>
  </si>
  <si>
    <t>78577.220000</t>
  </si>
  <si>
    <t>78681.310000</t>
  </si>
  <si>
    <t>78526.030000</t>
  </si>
  <si>
    <t>78076.410000</t>
  </si>
  <si>
    <t>77504.440000</t>
  </si>
  <si>
    <t>77021.410000</t>
  </si>
  <si>
    <t>76485.910000</t>
  </si>
  <si>
    <t>75817.090000</t>
  </si>
  <si>
    <t>75356.370000</t>
  </si>
  <si>
    <t>75239.910000</t>
  </si>
  <si>
    <t>74658.830000</t>
  </si>
  <si>
    <t>74526.960000</t>
  </si>
  <si>
    <t>74391.880000</t>
  </si>
  <si>
    <t>74269.580000</t>
  </si>
  <si>
    <t>73968.770000</t>
  </si>
  <si>
    <t>73306.470000</t>
  </si>
  <si>
    <t>73029.290000</t>
  </si>
  <si>
    <t>72928.490000</t>
  </si>
  <si>
    <t>72989.250000</t>
  </si>
  <si>
    <t>72658.800000</t>
  </si>
  <si>
    <t>72744.720000</t>
  </si>
  <si>
    <t>72863.220000</t>
  </si>
  <si>
    <t>73261.750000</t>
  </si>
  <si>
    <t>73565.550000</t>
  </si>
  <si>
    <t>74200.140000</t>
  </si>
  <si>
    <t>73619.010000</t>
  </si>
  <si>
    <t>73100.600000</t>
  </si>
  <si>
    <t>72553.880000</t>
  </si>
  <si>
    <t>72007.160000</t>
  </si>
  <si>
    <t>71559.840000</t>
  </si>
  <si>
    <t>70864.020000</t>
  </si>
  <si>
    <t>70367.000000</t>
  </si>
  <si>
    <t>69671.170000</t>
  </si>
  <si>
    <t>69174.160000</t>
  </si>
  <si>
    <t>68677.140000</t>
  </si>
  <si>
    <t>69221.900000</t>
  </si>
  <si>
    <t>68031.010000</t>
  </si>
  <si>
    <t>67335.190000</t>
  </si>
  <si>
    <t>66142.350000</t>
  </si>
  <si>
    <t>65695.030000</t>
  </si>
  <si>
    <t>64800.400000</t>
  </si>
  <si>
    <t>63856.060000</t>
  </si>
  <si>
    <t>62712.920000</t>
  </si>
  <si>
    <t>18125.0</t>
  </si>
  <si>
    <t>18114.0</t>
  </si>
  <si>
    <t>18106.0</t>
  </si>
  <si>
    <t>18097.0</t>
  </si>
  <si>
    <t>18088.0</t>
  </si>
  <si>
    <t>18080.0</t>
  </si>
  <si>
    <t>18072.0</t>
  </si>
  <si>
    <t>18063.0</t>
  </si>
  <si>
    <t>18055.0</t>
  </si>
  <si>
    <t>18053.0</t>
  </si>
  <si>
    <t>18052.0</t>
  </si>
  <si>
    <t>18051.0</t>
  </si>
  <si>
    <t>18001.0</t>
  </si>
  <si>
    <t>17953.0</t>
  </si>
  <si>
    <t>17905.0</t>
  </si>
  <si>
    <t>17857.0</t>
  </si>
  <si>
    <t>17769.0</t>
  </si>
  <si>
    <t>17681.0</t>
  </si>
  <si>
    <t>17590.0</t>
  </si>
  <si>
    <t>17501.0</t>
  </si>
  <si>
    <t>18495.0</t>
  </si>
  <si>
    <t>19496.0</t>
  </si>
  <si>
    <t>20493.0</t>
  </si>
  <si>
    <t>21498.0</t>
  </si>
  <si>
    <t>21965.0</t>
  </si>
  <si>
    <t>22436.0</t>
  </si>
  <si>
    <t>22905.0</t>
  </si>
  <si>
    <t>23380.0</t>
  </si>
  <si>
    <t>22898.0</t>
  </si>
  <si>
    <t>22423.0</t>
  </si>
  <si>
    <t>21943.0</t>
  </si>
  <si>
    <t>21472.0</t>
  </si>
  <si>
    <t>21374.0</t>
  </si>
  <si>
    <t>21284.0</t>
  </si>
  <si>
    <t>21187.0</t>
  </si>
  <si>
    <t>21107.0</t>
  </si>
  <si>
    <t>20721.0</t>
  </si>
  <si>
    <t>20335.0</t>
  </si>
  <si>
    <t>19948.0</t>
  </si>
  <si>
    <t>19560.0</t>
  </si>
  <si>
    <t>19499.0</t>
  </si>
  <si>
    <t>19446.0</t>
  </si>
  <si>
    <t>19388.0</t>
  </si>
  <si>
    <t>19335.0</t>
  </si>
  <si>
    <t>19337.0</t>
  </si>
  <si>
    <t>19339.0</t>
  </si>
  <si>
    <t>19341.0</t>
  </si>
  <si>
    <t>19345.0</t>
  </si>
  <si>
    <t>19394.0</t>
  </si>
  <si>
    <t>19448.0</t>
  </si>
  <si>
    <t>19501.0</t>
  </si>
  <si>
    <t>19558.0</t>
  </si>
  <si>
    <t>19969.0</t>
  </si>
  <si>
    <t>20378.0</t>
  </si>
  <si>
    <t>20787.0</t>
  </si>
  <si>
    <t>21199.0</t>
  </si>
  <si>
    <t>21390.0</t>
  </si>
  <si>
    <t>21587.0</t>
  </si>
  <si>
    <t>21783.0</t>
  </si>
  <si>
    <t>21979.0</t>
  </si>
  <si>
    <t>22298.0</t>
  </si>
  <si>
    <t>22626.0</t>
  </si>
  <si>
    <t>22946.0</t>
  </si>
  <si>
    <t>23280.0</t>
  </si>
  <si>
    <t>23271.0</t>
  </si>
  <si>
    <t>23267.0</t>
  </si>
  <si>
    <t>23268.0</t>
  </si>
  <si>
    <t>22719.0</t>
  </si>
  <si>
    <t>22174.0</t>
  </si>
  <si>
    <t>21627.0</t>
  </si>
  <si>
    <t>21080.0</t>
  </si>
  <si>
    <t>21055.0</t>
  </si>
  <si>
    <t>21031.0</t>
  </si>
  <si>
    <t>21005.0</t>
  </si>
  <si>
    <t>20981.0</t>
  </si>
  <si>
    <t>20589.0</t>
  </si>
  <si>
    <t>20198.0</t>
  </si>
  <si>
    <t>19807.0</t>
  </si>
  <si>
    <t>19407.0</t>
  </si>
  <si>
    <t>19273.0</t>
  </si>
  <si>
    <t>19139.0</t>
  </si>
  <si>
    <t>19003.0</t>
  </si>
  <si>
    <t>18868.0</t>
  </si>
  <si>
    <t>18325.0</t>
  </si>
  <si>
    <t>17781.0</t>
  </si>
  <si>
    <t>17236.0</t>
  </si>
  <si>
    <t>16698.0</t>
  </si>
  <si>
    <t>17290.0</t>
  </si>
  <si>
    <t>17893.0</t>
  </si>
  <si>
    <t>18490.0</t>
  </si>
  <si>
    <t>18419.92</t>
  </si>
  <si>
    <t>18371.55</t>
  </si>
  <si>
    <t>18361.11</t>
  </si>
  <si>
    <t>18358.36</t>
  </si>
  <si>
    <t>18285.30</t>
  </si>
  <si>
    <t>18213.72</t>
  </si>
  <si>
    <t>18137.19</t>
  </si>
  <si>
    <t>18050.69</t>
  </si>
  <si>
    <t>17964.36</t>
  </si>
  <si>
    <t>17867.97</t>
  </si>
  <si>
    <t>17761.44</t>
  </si>
  <si>
    <t>17658.78</t>
  </si>
  <si>
    <t>17543.25</t>
  </si>
  <si>
    <t>17432.26</t>
  </si>
  <si>
    <t>17310.85</t>
  </si>
  <si>
    <t>17189.67</t>
  </si>
  <si>
    <t>17019.88</t>
  </si>
  <si>
    <t>16851.72</t>
  </si>
  <si>
    <t>16680.91</t>
  </si>
  <si>
    <t>16497.46</t>
  </si>
  <si>
    <t>16320.54</t>
  </si>
  <si>
    <t>16143.06</t>
  </si>
  <si>
    <t>15950.92</t>
  </si>
  <si>
    <t>15758.18</t>
  </si>
  <si>
    <t>15575.22</t>
  </si>
  <si>
    <t>15386.04</t>
  </si>
  <si>
    <t>15197.35</t>
  </si>
  <si>
    <t>15015.04</t>
  </si>
  <si>
    <t>14797.33</t>
  </si>
  <si>
    <t>14570.72</t>
  </si>
  <si>
    <t>14363.37</t>
  </si>
  <si>
    <t>14109.42</t>
  </si>
  <si>
    <t>13896.20</t>
  </si>
  <si>
    <t>13679.13</t>
  </si>
  <si>
    <t>13464.90</t>
  </si>
  <si>
    <t>13247.98</t>
  </si>
  <si>
    <t>12961.75</t>
  </si>
  <si>
    <t>12749.03</t>
  </si>
  <si>
    <t>12546.14</t>
  </si>
  <si>
    <t>12368.71</t>
  </si>
  <si>
    <t>12203.33</t>
  </si>
  <si>
    <t>12051.29</t>
  </si>
  <si>
    <t>11906.73</t>
  </si>
  <si>
    <t>11762.18</t>
  </si>
  <si>
    <t>11570.51</t>
  </si>
  <si>
    <t>11430.16</t>
  </si>
  <si>
    <t>11285.31</t>
  </si>
  <si>
    <t>11139.88</t>
  </si>
  <si>
    <t>11007.85</t>
  </si>
  <si>
    <t>10878.41</t>
  </si>
  <si>
    <t>10718.27</t>
  </si>
  <si>
    <t>10591.25</t>
  </si>
  <si>
    <t>10473.88</t>
  </si>
  <si>
    <t>10363.05</t>
  </si>
  <si>
    <t>10225.92</t>
  </si>
  <si>
    <t>10092.07</t>
  </si>
  <si>
    <t>9910.24</t>
  </si>
  <si>
    <t>9769.27</t>
  </si>
  <si>
    <t>9642.80</t>
  </si>
  <si>
    <t>9520.22</t>
  </si>
  <si>
    <t>9392.78</t>
  </si>
  <si>
    <t>9266.17</t>
  </si>
  <si>
    <t>9136.01</t>
  </si>
  <si>
    <t>9024.61</t>
  </si>
  <si>
    <t>8909.04</t>
  </si>
  <si>
    <t>8799.89</t>
  </si>
  <si>
    <t>8702.43</t>
  </si>
  <si>
    <t>8603.62</t>
  </si>
  <si>
    <t>8483.68</t>
  </si>
  <si>
    <t>8379.04</t>
  </si>
  <si>
    <t>8279.16</t>
  </si>
  <si>
    <t>8189.15</t>
  </si>
  <si>
    <t>8070.06</t>
  </si>
  <si>
    <t>8015.36</t>
  </si>
  <si>
    <t>7939.28</t>
  </si>
  <si>
    <t>7862.49</t>
  </si>
  <si>
    <t>7813.73</t>
  </si>
  <si>
    <t>7750.23</t>
  </si>
  <si>
    <t>7720.81</t>
  </si>
  <si>
    <t>7700.03</t>
  </si>
  <si>
    <t>7670.96</t>
  </si>
  <si>
    <t>7635.02</t>
  </si>
  <si>
    <t>7608.10</t>
  </si>
  <si>
    <t>7599.86</t>
  </si>
  <si>
    <t>7581.77</t>
  </si>
  <si>
    <t>7560.26</t>
  </si>
  <si>
    <t>7526.41</t>
  </si>
  <si>
    <t>7491.42</t>
  </si>
  <si>
    <t>7427.93</t>
  </si>
  <si>
    <t>7355.58</t>
  </si>
  <si>
    <t>7300.77</t>
  </si>
  <si>
    <t>7232.57</t>
  </si>
  <si>
    <t>7174.69</t>
  </si>
  <si>
    <t>7135.14</t>
  </si>
  <si>
    <t>7081.51</t>
  </si>
  <si>
    <t>7013.60</t>
  </si>
  <si>
    <t>0.19</t>
  </si>
  <si>
    <t>12.60</t>
  </si>
  <si>
    <t>38.89</t>
  </si>
  <si>
    <t>95.20</t>
  </si>
  <si>
    <t>185.88</t>
  </si>
  <si>
    <t>301.76</t>
  </si>
  <si>
    <t>415.45</t>
  </si>
  <si>
    <t>552.99</t>
  </si>
  <si>
    <t>688.48</t>
  </si>
  <si>
    <t>859.44</t>
  </si>
  <si>
    <t>1058.17</t>
  </si>
  <si>
    <t>1245.88</t>
  </si>
  <si>
    <t>1425.20</t>
  </si>
  <si>
    <t>1628.63</t>
  </si>
  <si>
    <t>1830.10</t>
  </si>
  <si>
    <t>2031.51</t>
  </si>
  <si>
    <t>2204.84</t>
  </si>
  <si>
    <t>2379.08</t>
  </si>
  <si>
    <t>2512.85</t>
  </si>
  <si>
    <t>2618.69</t>
  </si>
  <si>
    <t>2690.24</t>
  </si>
  <si>
    <t>2774.48</t>
  </si>
  <si>
    <t>2849.01</t>
  </si>
  <si>
    <t>2936.58</t>
  </si>
  <si>
    <t>3011.57</t>
  </si>
  <si>
    <t>3088.48</t>
  </si>
  <si>
    <t>3147.83</t>
  </si>
  <si>
    <t>3217.46</t>
  </si>
  <si>
    <t>3273.40</t>
  </si>
  <si>
    <t>3302.27</t>
  </si>
  <si>
    <t>3319.12</t>
  </si>
  <si>
    <t>3328.19</t>
  </si>
  <si>
    <t>3324.53</t>
  </si>
  <si>
    <t>3322.24</t>
  </si>
  <si>
    <t>3306.17</t>
  </si>
  <si>
    <t>3283.22</t>
  </si>
  <si>
    <t>3249.36</t>
  </si>
  <si>
    <t>3176.87</t>
  </si>
  <si>
    <t>3118.56</t>
  </si>
  <si>
    <t>3034.34</t>
  </si>
  <si>
    <t>2937.79</t>
  </si>
  <si>
    <t>2826.00</t>
  </si>
  <si>
    <t>2706.27</t>
  </si>
  <si>
    <t>2561.77</t>
  </si>
  <si>
    <t>2415.72</t>
  </si>
  <si>
    <t>2251.93</t>
  </si>
  <si>
    <t>2083.08</t>
  </si>
  <si>
    <t>1900.38</t>
  </si>
  <si>
    <t>1709.42</t>
  </si>
  <si>
    <t>1509.88</t>
  </si>
  <si>
    <t>1305.66</t>
  </si>
  <si>
    <t>1078.35</t>
  </si>
  <si>
    <t>869.07</t>
  </si>
  <si>
    <t>681.16</t>
  </si>
  <si>
    <t>508.32</t>
  </si>
  <si>
    <t>360.43</t>
  </si>
  <si>
    <t>233.17</t>
  </si>
  <si>
    <t>141.26</t>
  </si>
  <si>
    <t>75.74</t>
  </si>
  <si>
    <t>11.13</t>
  </si>
  <si>
    <t>0.79</t>
  </si>
  <si>
    <t>直调负荷</t>
    <phoneticPr fontId="2" type="noConversion"/>
  </si>
  <si>
    <t>联络线受电负荷</t>
    <phoneticPr fontId="2" type="noConversion"/>
  </si>
  <si>
    <t>风电总加</t>
    <phoneticPr fontId="2" type="noConversion"/>
  </si>
  <si>
    <t>光伏总加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</si>
</sst>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0"/>
      <name val="黑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>
      <alignment vertical="center"/>
    </xf>
    <xf numFmtId="0" fontId="4" fillId="0" borderId="0"/>
    <xf numFmtId="0" fontId="5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58" fontId="0" fillId="0" borderId="0" xfId="0" applyNumberFormat="1"/>
    <xf numFmtId="9" fontId="0" fillId="0" borderId="0" xfId="1" applyFont="1" applyAlignment="1">
      <alignment horizontal="center" vertical="center"/>
    </xf>
  </cellXfs>
  <cellStyles count="4">
    <cellStyle name="百分比" xfId="1" builtinId="5"/>
    <cellStyle name="常规" xfId="0" builtinId="0"/>
    <cellStyle name="常规 2" xfId="2" xr:uid="{00000000-0005-0000-0000-00002F000000}"/>
    <cellStyle name="常规 3" xfId="3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6"/>
          <c:order val="6"/>
          <c:tx>
            <c:v>竞价空间/最大机组计划</c:v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</a:ln>
            <a:effectLst/>
          </c:spPr>
          <c:invertIfNegative val="0"/>
          <c:val>
            <c:numRef>
              <c:f>Sheet1!$B$9:$CS$9</c:f>
              <c:numCache>
                <c:formatCode>0%</c:formatCode>
                <c:ptCount val="96"/>
                <c:pt idx="0">
                  <c:v>0.45368788175092895</c:v>
                </c:pt>
                <c:pt idx="1">
                  <c:v>0.44769815279209624</c:v>
                </c:pt>
                <c:pt idx="2">
                  <c:v>0.43922406572729716</c:v>
                </c:pt>
                <c:pt idx="3">
                  <c:v>0.43063063031157717</c:v>
                </c:pt>
                <c:pt idx="4">
                  <c:v>0.42592363051308813</c:v>
                </c:pt>
                <c:pt idx="5">
                  <c:v>0.41941153117559543</c:v>
                </c:pt>
                <c:pt idx="6">
                  <c:v>0.41562833011116401</c:v>
                </c:pt>
                <c:pt idx="7">
                  <c:v>0.41027872620957079</c:v>
                </c:pt>
                <c:pt idx="8">
                  <c:v>0.40578846584954947</c:v>
                </c:pt>
                <c:pt idx="9">
                  <c:v>0.40136992074490369</c:v>
                </c:pt>
                <c:pt idx="10">
                  <c:v>0.40239394376178217</c:v>
                </c:pt>
                <c:pt idx="11">
                  <c:v>0.40422950014998232</c:v>
                </c:pt>
                <c:pt idx="12">
                  <c:v>0.40451512164855136</c:v>
                </c:pt>
                <c:pt idx="13">
                  <c:v>0.4038454251156387</c:v>
                </c:pt>
                <c:pt idx="14">
                  <c:v>0.40508512512275707</c:v>
                </c:pt>
                <c:pt idx="15">
                  <c:v>0.41160129717845628</c:v>
                </c:pt>
                <c:pt idx="16">
                  <c:v>0.41985740528185506</c:v>
                </c:pt>
                <c:pt idx="17">
                  <c:v>0.43143100797650719</c:v>
                </c:pt>
                <c:pt idx="18">
                  <c:v>0.44278326729037104</c:v>
                </c:pt>
                <c:pt idx="19">
                  <c:v>0.46194292740609993</c:v>
                </c:pt>
                <c:pt idx="20">
                  <c:v>0.47969006260299113</c:v>
                </c:pt>
                <c:pt idx="21">
                  <c:v>0.47692344741784359</c:v>
                </c:pt>
                <c:pt idx="22">
                  <c:v>0.47725245221904716</c:v>
                </c:pt>
                <c:pt idx="23">
                  <c:v>0.48791766167894446</c:v>
                </c:pt>
                <c:pt idx="24">
                  <c:v>0.48604332593043009</c:v>
                </c:pt>
                <c:pt idx="25">
                  <c:v>0.49662814347442535</c:v>
                </c:pt>
                <c:pt idx="26">
                  <c:v>0.499083107179423</c:v>
                </c:pt>
                <c:pt idx="27">
                  <c:v>0.49261187882938418</c:v>
                </c:pt>
                <c:pt idx="28">
                  <c:v>0.50871882511091215</c:v>
                </c:pt>
                <c:pt idx="29">
                  <c:v>0.53616668180412008</c:v>
                </c:pt>
                <c:pt idx="30">
                  <c:v>0.57366337157367242</c:v>
                </c:pt>
                <c:pt idx="31">
                  <c:v>0.61211128498883149</c:v>
                </c:pt>
                <c:pt idx="32">
                  <c:v>0.65465135661160478</c:v>
                </c:pt>
                <c:pt idx="33">
                  <c:v>0.67248849640546393</c:v>
                </c:pt>
                <c:pt idx="34">
                  <c:v>0.68793026471055974</c:v>
                </c:pt>
                <c:pt idx="35">
                  <c:v>0.70128602235401682</c:v>
                </c:pt>
                <c:pt idx="36">
                  <c:v>0.71547729782191183</c:v>
                </c:pt>
                <c:pt idx="37">
                  <c:v>0.72413626909450557</c:v>
                </c:pt>
                <c:pt idx="38">
                  <c:v>0.73932418056789462</c:v>
                </c:pt>
                <c:pt idx="39">
                  <c:v>0.75453105735633252</c:v>
                </c:pt>
                <c:pt idx="40">
                  <c:v>0.79100744797500888</c:v>
                </c:pt>
                <c:pt idx="41">
                  <c:v>0.80407246211895811</c:v>
                </c:pt>
                <c:pt idx="42">
                  <c:v>0.80917030400530043</c:v>
                </c:pt>
                <c:pt idx="43">
                  <c:v>0.82263445973385219</c:v>
                </c:pt>
                <c:pt idx="44">
                  <c:v>0.84340565556134373</c:v>
                </c:pt>
                <c:pt idx="45">
                  <c:v>0.82348459303043808</c:v>
                </c:pt>
                <c:pt idx="46">
                  <c:v>0.80021014961023684</c:v>
                </c:pt>
                <c:pt idx="47">
                  <c:v>0.77342729689974521</c:v>
                </c:pt>
                <c:pt idx="48">
                  <c:v>0.75519553935790051</c:v>
                </c:pt>
                <c:pt idx="49">
                  <c:v>0.74678764101755712</c:v>
                </c:pt>
                <c:pt idx="50">
                  <c:v>0.75673660170089307</c:v>
                </c:pt>
                <c:pt idx="51">
                  <c:v>0.76899759088300768</c:v>
                </c:pt>
                <c:pt idx="52">
                  <c:v>0.78241442032079589</c:v>
                </c:pt>
                <c:pt idx="53">
                  <c:v>0.79290345749872904</c:v>
                </c:pt>
                <c:pt idx="54">
                  <c:v>0.7974222482980805</c:v>
                </c:pt>
                <c:pt idx="55">
                  <c:v>0.79714177042781931</c:v>
                </c:pt>
                <c:pt idx="56">
                  <c:v>0.79295600360097407</c:v>
                </c:pt>
                <c:pt idx="57">
                  <c:v>0.77998564203855214</c:v>
                </c:pt>
                <c:pt idx="58">
                  <c:v>0.76861045486481216</c:v>
                </c:pt>
                <c:pt idx="59">
                  <c:v>0.75639279011799221</c:v>
                </c:pt>
                <c:pt idx="60">
                  <c:v>0.74231878641470994</c:v>
                </c:pt>
                <c:pt idx="61">
                  <c:v>0.73572338061438569</c:v>
                </c:pt>
                <c:pt idx="62">
                  <c:v>0.73538391887438603</c:v>
                </c:pt>
                <c:pt idx="63">
                  <c:v>0.72673938908022406</c:v>
                </c:pt>
                <c:pt idx="64">
                  <c:v>0.72622436768073706</c:v>
                </c:pt>
                <c:pt idx="65">
                  <c:v>0.72354538643482369</c:v>
                </c:pt>
                <c:pt idx="66">
                  <c:v>0.72087806276788524</c:v>
                </c:pt>
                <c:pt idx="67">
                  <c:v>0.71534889045947214</c:v>
                </c:pt>
                <c:pt idx="68">
                  <c:v>0.70405582831970448</c:v>
                </c:pt>
                <c:pt idx="69">
                  <c:v>0.70485167557688477</c:v>
                </c:pt>
                <c:pt idx="70">
                  <c:v>0.70810518407317202</c:v>
                </c:pt>
                <c:pt idx="71">
                  <c:v>0.71380539220445516</c:v>
                </c:pt>
                <c:pt idx="72">
                  <c:v>0.71268365471712636</c:v>
                </c:pt>
                <c:pt idx="73">
                  <c:v>0.72689685339324295</c:v>
                </c:pt>
                <c:pt idx="74">
                  <c:v>0.74136425688849827</c:v>
                </c:pt>
                <c:pt idx="75">
                  <c:v>0.76696433805706332</c:v>
                </c:pt>
                <c:pt idx="76">
                  <c:v>0.78388751651210919</c:v>
                </c:pt>
                <c:pt idx="77">
                  <c:v>0.79676073054519891</c:v>
                </c:pt>
                <c:pt idx="78">
                  <c:v>0.78751131669654606</c:v>
                </c:pt>
                <c:pt idx="79">
                  <c:v>0.77923411195481973</c:v>
                </c:pt>
                <c:pt idx="80">
                  <c:v>0.77056953304826448</c:v>
                </c:pt>
                <c:pt idx="81">
                  <c:v>0.76848469828168753</c:v>
                </c:pt>
                <c:pt idx="82">
                  <c:v>0.76796866745042502</c:v>
                </c:pt>
                <c:pt idx="83">
                  <c:v>0.76276307479954675</c:v>
                </c:pt>
                <c:pt idx="84">
                  <c:v>0.76137768998622857</c:v>
                </c:pt>
                <c:pt idx="85">
                  <c:v>0.75189395601521691</c:v>
                </c:pt>
                <c:pt idx="86">
                  <c:v>0.74611651695336811</c:v>
                </c:pt>
                <c:pt idx="87">
                  <c:v>0.74694926845127285</c:v>
                </c:pt>
                <c:pt idx="88">
                  <c:v>0.76011034587293747</c:v>
                </c:pt>
                <c:pt idx="89">
                  <c:v>0.74991898832263149</c:v>
                </c:pt>
                <c:pt idx="90">
                  <c:v>0.74820118661301072</c:v>
                </c:pt>
                <c:pt idx="91">
                  <c:v>0.73793722843380627</c:v>
                </c:pt>
                <c:pt idx="92">
                  <c:v>0.74056785024579741</c:v>
                </c:pt>
                <c:pt idx="93">
                  <c:v>0.71494372388812144</c:v>
                </c:pt>
                <c:pt idx="94">
                  <c:v>0.68849389818275308</c:v>
                </c:pt>
                <c:pt idx="95">
                  <c:v>0.65888293485032057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2F-4911-A999-4C625ECFB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5636640"/>
        <c:axId val="1381992960"/>
      </c:barChart>
      <c:lineChart>
        <c:grouping val="standard"/>
        <c:varyColors val="0"/>
        <c:ser>
          <c:idx val="0"/>
          <c:order val="0"/>
          <c:tx>
            <c:v>竞价空间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Sheet1!$B$7:$CS$7</c:f>
              <c:numCache>
                <c:formatCode>General</c:formatCode>
                <c:ptCount val="96"/>
                <c:pt idx="0">
                  <c:v>25621.270000000004</c:v>
                </c:pt>
                <c:pt idx="1">
                  <c:v>25283.01</c:v>
                </c:pt>
                <c:pt idx="2">
                  <c:v>24804.449999999997</c:v>
                </c:pt>
                <c:pt idx="3">
                  <c:v>24319.15</c:v>
                </c:pt>
                <c:pt idx="4">
                  <c:v>24053.329999999998</c:v>
                </c:pt>
                <c:pt idx="5">
                  <c:v>23685.57</c:v>
                </c:pt>
                <c:pt idx="6">
                  <c:v>23471.920000000002</c:v>
                </c:pt>
                <c:pt idx="7">
                  <c:v>23169.81</c:v>
                </c:pt>
                <c:pt idx="8">
                  <c:v>22916.229999999996</c:v>
                </c:pt>
                <c:pt idx="9">
                  <c:v>22666.699999999997</c:v>
                </c:pt>
                <c:pt idx="10">
                  <c:v>22724.530000000002</c:v>
                </c:pt>
                <c:pt idx="11">
                  <c:v>22828.190000000002</c:v>
                </c:pt>
                <c:pt idx="12">
                  <c:v>22844.32</c:v>
                </c:pt>
                <c:pt idx="13">
                  <c:v>22806.500000000004</c:v>
                </c:pt>
                <c:pt idx="14">
                  <c:v>22876.510000000002</c:v>
                </c:pt>
                <c:pt idx="15">
                  <c:v>23244.5</c:v>
                </c:pt>
                <c:pt idx="16">
                  <c:v>23710.749999999996</c:v>
                </c:pt>
                <c:pt idx="17">
                  <c:v>24364.350000000002</c:v>
                </c:pt>
                <c:pt idx="18">
                  <c:v>25005.45</c:v>
                </c:pt>
                <c:pt idx="19">
                  <c:v>26087.46</c:v>
                </c:pt>
                <c:pt idx="20">
                  <c:v>27089.7</c:v>
                </c:pt>
                <c:pt idx="21">
                  <c:v>26933.460000000003</c:v>
                </c:pt>
                <c:pt idx="22">
                  <c:v>26952.040000000005</c:v>
                </c:pt>
                <c:pt idx="23">
                  <c:v>27554.34</c:v>
                </c:pt>
                <c:pt idx="24">
                  <c:v>27448.489999999994</c:v>
                </c:pt>
                <c:pt idx="25">
                  <c:v>28046.250000000004</c:v>
                </c:pt>
                <c:pt idx="26">
                  <c:v>28184.889999999996</c:v>
                </c:pt>
                <c:pt idx="27">
                  <c:v>28312.049999999996</c:v>
                </c:pt>
                <c:pt idx="28">
                  <c:v>29237.769999999993</c:v>
                </c:pt>
                <c:pt idx="29">
                  <c:v>30815.290000000005</c:v>
                </c:pt>
                <c:pt idx="30">
                  <c:v>32970.350000000006</c:v>
                </c:pt>
                <c:pt idx="31">
                  <c:v>35180.080000000009</c:v>
                </c:pt>
                <c:pt idx="32">
                  <c:v>37625.000000000007</c:v>
                </c:pt>
                <c:pt idx="33">
                  <c:v>38650.160000000003</c:v>
                </c:pt>
                <c:pt idx="34">
                  <c:v>39537.65</c:v>
                </c:pt>
                <c:pt idx="35">
                  <c:v>40305.250000000007</c:v>
                </c:pt>
                <c:pt idx="36">
                  <c:v>41120.869999999995</c:v>
                </c:pt>
                <c:pt idx="37">
                  <c:v>41618.530000000006</c:v>
                </c:pt>
                <c:pt idx="38">
                  <c:v>42491.43</c:v>
                </c:pt>
                <c:pt idx="39">
                  <c:v>43365.42</c:v>
                </c:pt>
                <c:pt idx="40">
                  <c:v>45461.84</c:v>
                </c:pt>
                <c:pt idx="41">
                  <c:v>46212.729999999996</c:v>
                </c:pt>
                <c:pt idx="42">
                  <c:v>46505.719999999994</c:v>
                </c:pt>
                <c:pt idx="43">
                  <c:v>47279.549999999996</c:v>
                </c:pt>
                <c:pt idx="44">
                  <c:v>48473.34</c:v>
                </c:pt>
                <c:pt idx="45">
                  <c:v>47328.409999999996</c:v>
                </c:pt>
                <c:pt idx="46">
                  <c:v>45990.750000000007</c:v>
                </c:pt>
                <c:pt idx="47">
                  <c:v>44451.45</c:v>
                </c:pt>
                <c:pt idx="48">
                  <c:v>43403.609999999993</c:v>
                </c:pt>
                <c:pt idx="49">
                  <c:v>42920.380000000005</c:v>
                </c:pt>
                <c:pt idx="50">
                  <c:v>43492.18</c:v>
                </c:pt>
                <c:pt idx="51">
                  <c:v>44196.86</c:v>
                </c:pt>
                <c:pt idx="52">
                  <c:v>44967.970000000008</c:v>
                </c:pt>
                <c:pt idx="53">
                  <c:v>45570.81</c:v>
                </c:pt>
                <c:pt idx="54">
                  <c:v>45830.52</c:v>
                </c:pt>
                <c:pt idx="55">
                  <c:v>45814.400000000001</c:v>
                </c:pt>
                <c:pt idx="56">
                  <c:v>45573.83</c:v>
                </c:pt>
                <c:pt idx="57">
                  <c:v>44828.38</c:v>
                </c:pt>
                <c:pt idx="58">
                  <c:v>44174.61</c:v>
                </c:pt>
                <c:pt idx="59">
                  <c:v>43472.420000000006</c:v>
                </c:pt>
                <c:pt idx="60">
                  <c:v>42663.54</c:v>
                </c:pt>
                <c:pt idx="61">
                  <c:v>42284.479999999996</c:v>
                </c:pt>
                <c:pt idx="62">
                  <c:v>42264.97</c:v>
                </c:pt>
                <c:pt idx="63">
                  <c:v>41768.14</c:v>
                </c:pt>
                <c:pt idx="64">
                  <c:v>41738.540000000008</c:v>
                </c:pt>
                <c:pt idx="65">
                  <c:v>41584.570000000007</c:v>
                </c:pt>
                <c:pt idx="66">
                  <c:v>41431.270000000004</c:v>
                </c:pt>
                <c:pt idx="67">
                  <c:v>41113.49</c:v>
                </c:pt>
                <c:pt idx="68">
                  <c:v>40464.44</c:v>
                </c:pt>
                <c:pt idx="69">
                  <c:v>40510.179999999993</c:v>
                </c:pt>
                <c:pt idx="70">
                  <c:v>40697.17</c:v>
                </c:pt>
                <c:pt idx="71">
                  <c:v>41024.78</c:v>
                </c:pt>
                <c:pt idx="72">
                  <c:v>40960.310000000005</c:v>
                </c:pt>
                <c:pt idx="73">
                  <c:v>41777.19</c:v>
                </c:pt>
                <c:pt idx="74">
                  <c:v>42608.68</c:v>
                </c:pt>
                <c:pt idx="75">
                  <c:v>43696.520000000004</c:v>
                </c:pt>
                <c:pt idx="76">
                  <c:v>44660.69000000001</c:v>
                </c:pt>
                <c:pt idx="77">
                  <c:v>45394.12</c:v>
                </c:pt>
                <c:pt idx="78">
                  <c:v>44867.149999999994</c:v>
                </c:pt>
                <c:pt idx="79">
                  <c:v>44395.570000000007</c:v>
                </c:pt>
                <c:pt idx="80">
                  <c:v>43901.920000000006</c:v>
                </c:pt>
                <c:pt idx="81">
                  <c:v>43783.14</c:v>
                </c:pt>
                <c:pt idx="82">
                  <c:v>43753.74</c:v>
                </c:pt>
                <c:pt idx="83">
                  <c:v>43457.16</c:v>
                </c:pt>
                <c:pt idx="84">
                  <c:v>43378.229999999996</c:v>
                </c:pt>
                <c:pt idx="85">
                  <c:v>42837.909999999996</c:v>
                </c:pt>
                <c:pt idx="86">
                  <c:v>42508.75</c:v>
                </c:pt>
                <c:pt idx="87">
                  <c:v>42182.720000000001</c:v>
                </c:pt>
                <c:pt idx="88">
                  <c:v>42925.969999999994</c:v>
                </c:pt>
                <c:pt idx="89">
                  <c:v>42350.429999999993</c:v>
                </c:pt>
                <c:pt idx="90">
                  <c:v>42253.42</c:v>
                </c:pt>
                <c:pt idx="91">
                  <c:v>41673.780000000006</c:v>
                </c:pt>
                <c:pt idx="92">
                  <c:v>41822.339999999997</c:v>
                </c:pt>
                <c:pt idx="93">
                  <c:v>40375.26</c:v>
                </c:pt>
                <c:pt idx="94">
                  <c:v>38881.549999999996</c:v>
                </c:pt>
                <c:pt idx="95">
                  <c:v>37209.32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FD-489B-B445-9CBCE2B92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138560"/>
        <c:axId val="31945577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12月8号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Sheet1!$B$24:$CS$24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30029.64</c:v>
                      </c:pt>
                      <c:pt idx="1">
                        <c:v>29747.96</c:v>
                      </c:pt>
                      <c:pt idx="2">
                        <c:v>29514.300000000003</c:v>
                      </c:pt>
                      <c:pt idx="3">
                        <c:v>29280.309999999998</c:v>
                      </c:pt>
                      <c:pt idx="4">
                        <c:v>29137.059999999998</c:v>
                      </c:pt>
                      <c:pt idx="5">
                        <c:v>29336.889999999996</c:v>
                      </c:pt>
                      <c:pt idx="6">
                        <c:v>28802.789999999997</c:v>
                      </c:pt>
                      <c:pt idx="7">
                        <c:v>28870.080000000002</c:v>
                      </c:pt>
                      <c:pt idx="8">
                        <c:v>30183.86</c:v>
                      </c:pt>
                      <c:pt idx="9">
                        <c:v>30217.050000000003</c:v>
                      </c:pt>
                      <c:pt idx="10">
                        <c:v>30178.6</c:v>
                      </c:pt>
                      <c:pt idx="11">
                        <c:v>30212.82</c:v>
                      </c:pt>
                      <c:pt idx="12">
                        <c:v>30386.21</c:v>
                      </c:pt>
                      <c:pt idx="13">
                        <c:v>30509</c:v>
                      </c:pt>
                      <c:pt idx="14">
                        <c:v>30776.229999999996</c:v>
                      </c:pt>
                      <c:pt idx="15">
                        <c:v>31290.95</c:v>
                      </c:pt>
                      <c:pt idx="16">
                        <c:v>31616.170000000006</c:v>
                      </c:pt>
                      <c:pt idx="17">
                        <c:v>32183</c:v>
                      </c:pt>
                      <c:pt idx="18">
                        <c:v>33119.279999999999</c:v>
                      </c:pt>
                      <c:pt idx="19">
                        <c:v>33685.94</c:v>
                      </c:pt>
                      <c:pt idx="20">
                        <c:v>35163.4</c:v>
                      </c:pt>
                      <c:pt idx="21">
                        <c:v>34965.72</c:v>
                      </c:pt>
                      <c:pt idx="22">
                        <c:v>35283.300000000003</c:v>
                      </c:pt>
                      <c:pt idx="23">
                        <c:v>35585.619999999995</c:v>
                      </c:pt>
                      <c:pt idx="24">
                        <c:v>36595.080000000009</c:v>
                      </c:pt>
                      <c:pt idx="25">
                        <c:v>38396.079999999994</c:v>
                      </c:pt>
                      <c:pt idx="26">
                        <c:v>39938</c:v>
                      </c:pt>
                      <c:pt idx="27">
                        <c:v>41451.119999999995</c:v>
                      </c:pt>
                      <c:pt idx="28">
                        <c:v>43003.149999999994</c:v>
                      </c:pt>
                      <c:pt idx="29">
                        <c:v>43615.789999999994</c:v>
                      </c:pt>
                      <c:pt idx="30">
                        <c:v>44345.55</c:v>
                      </c:pt>
                      <c:pt idx="31">
                        <c:v>42779.34</c:v>
                      </c:pt>
                      <c:pt idx="32">
                        <c:v>42836.07</c:v>
                      </c:pt>
                      <c:pt idx="33">
                        <c:v>41372.139999999992</c:v>
                      </c:pt>
                      <c:pt idx="34">
                        <c:v>38264.49</c:v>
                      </c:pt>
                      <c:pt idx="35">
                        <c:v>36015.199999999997</c:v>
                      </c:pt>
                      <c:pt idx="36">
                        <c:v>33840.450000000004</c:v>
                      </c:pt>
                      <c:pt idx="37">
                        <c:v>31441.659999999996</c:v>
                      </c:pt>
                      <c:pt idx="38">
                        <c:v>28965.730000000003</c:v>
                      </c:pt>
                      <c:pt idx="39">
                        <c:v>27426.21</c:v>
                      </c:pt>
                      <c:pt idx="40">
                        <c:v>26670.799999999996</c:v>
                      </c:pt>
                      <c:pt idx="41">
                        <c:v>25532.359999999997</c:v>
                      </c:pt>
                      <c:pt idx="42">
                        <c:v>24508.880000000005</c:v>
                      </c:pt>
                      <c:pt idx="43">
                        <c:v>23453.760000000002</c:v>
                      </c:pt>
                      <c:pt idx="44">
                        <c:v>23458.68</c:v>
                      </c:pt>
                      <c:pt idx="45">
                        <c:v>21993.079999999998</c:v>
                      </c:pt>
                      <c:pt idx="46">
                        <c:v>20866.190000000002</c:v>
                      </c:pt>
                      <c:pt idx="47">
                        <c:v>19254.41</c:v>
                      </c:pt>
                      <c:pt idx="48">
                        <c:v>19759.86</c:v>
                      </c:pt>
                      <c:pt idx="49">
                        <c:v>19267.689999999999</c:v>
                      </c:pt>
                      <c:pt idx="50">
                        <c:v>20644.579999999998</c:v>
                      </c:pt>
                      <c:pt idx="51">
                        <c:v>21779.920000000002</c:v>
                      </c:pt>
                      <c:pt idx="52">
                        <c:v>24358.950000000004</c:v>
                      </c:pt>
                      <c:pt idx="53">
                        <c:v>25939.200000000001</c:v>
                      </c:pt>
                      <c:pt idx="54">
                        <c:v>27513.17</c:v>
                      </c:pt>
                      <c:pt idx="55">
                        <c:v>29646.990000000005</c:v>
                      </c:pt>
                      <c:pt idx="56">
                        <c:v>31495.199999999997</c:v>
                      </c:pt>
                      <c:pt idx="57">
                        <c:v>33840.509999999995</c:v>
                      </c:pt>
                      <c:pt idx="58">
                        <c:v>36407.540000000008</c:v>
                      </c:pt>
                      <c:pt idx="59">
                        <c:v>38734.270000000004</c:v>
                      </c:pt>
                      <c:pt idx="60">
                        <c:v>41553.37999999999</c:v>
                      </c:pt>
                      <c:pt idx="61">
                        <c:v>43985.909999999996</c:v>
                      </c:pt>
                      <c:pt idx="62">
                        <c:v>46671.270000000004</c:v>
                      </c:pt>
                      <c:pt idx="63">
                        <c:v>48591.08</c:v>
                      </c:pt>
                      <c:pt idx="64">
                        <c:v>50278.29</c:v>
                      </c:pt>
                      <c:pt idx="65">
                        <c:v>51892.19999999999</c:v>
                      </c:pt>
                      <c:pt idx="66">
                        <c:v>52708.28</c:v>
                      </c:pt>
                      <c:pt idx="67">
                        <c:v>53409.220000000008</c:v>
                      </c:pt>
                      <c:pt idx="68">
                        <c:v>53260.420000000006</c:v>
                      </c:pt>
                      <c:pt idx="69">
                        <c:v>52953.210000000006</c:v>
                      </c:pt>
                      <c:pt idx="70">
                        <c:v>52231.5</c:v>
                      </c:pt>
                      <c:pt idx="71">
                        <c:v>51467.789999999994</c:v>
                      </c:pt>
                      <c:pt idx="72">
                        <c:v>50534.080000000002</c:v>
                      </c:pt>
                      <c:pt idx="73">
                        <c:v>49798.85</c:v>
                      </c:pt>
                      <c:pt idx="74">
                        <c:v>49177.8</c:v>
                      </c:pt>
                      <c:pt idx="75">
                        <c:v>48722.18</c:v>
                      </c:pt>
                      <c:pt idx="76">
                        <c:v>48161.829999999994</c:v>
                      </c:pt>
                      <c:pt idx="77">
                        <c:v>47785.11</c:v>
                      </c:pt>
                      <c:pt idx="78">
                        <c:v>47396.659999999996</c:v>
                      </c:pt>
                      <c:pt idx="79">
                        <c:v>46679.15</c:v>
                      </c:pt>
                      <c:pt idx="80">
                        <c:v>46239.130000000005</c:v>
                      </c:pt>
                      <c:pt idx="81">
                        <c:v>45875.500000000007</c:v>
                      </c:pt>
                      <c:pt idx="82">
                        <c:v>45481.959999999992</c:v>
                      </c:pt>
                      <c:pt idx="83">
                        <c:v>45006.299999999996</c:v>
                      </c:pt>
                      <c:pt idx="84">
                        <c:v>45194.039999999994</c:v>
                      </c:pt>
                      <c:pt idx="85">
                        <c:v>44407.26</c:v>
                      </c:pt>
                      <c:pt idx="86">
                        <c:v>43483.72</c:v>
                      </c:pt>
                      <c:pt idx="87">
                        <c:v>42290.909999999996</c:v>
                      </c:pt>
                      <c:pt idx="88">
                        <c:v>41212.639999999999</c:v>
                      </c:pt>
                      <c:pt idx="89">
                        <c:v>40722.57</c:v>
                      </c:pt>
                      <c:pt idx="90">
                        <c:v>40535.090000000004</c:v>
                      </c:pt>
                      <c:pt idx="91">
                        <c:v>40310.009999999995</c:v>
                      </c:pt>
                      <c:pt idx="92">
                        <c:v>40560.58</c:v>
                      </c:pt>
                      <c:pt idx="93">
                        <c:v>39427.589999999997</c:v>
                      </c:pt>
                      <c:pt idx="94">
                        <c:v>38410.200000000004</c:v>
                      </c:pt>
                      <c:pt idx="95">
                        <c:v>37446.369999999995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03A-4194-AD27-37E4EEC05AB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12月12日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Sheet1!$B$25:$CS$25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32858.579999999994</c:v>
                      </c:pt>
                      <c:pt idx="1">
                        <c:v>32663.789999999997</c:v>
                      </c:pt>
                      <c:pt idx="2">
                        <c:v>32531.94</c:v>
                      </c:pt>
                      <c:pt idx="3">
                        <c:v>32481.9</c:v>
                      </c:pt>
                      <c:pt idx="4">
                        <c:v>32761.06</c:v>
                      </c:pt>
                      <c:pt idx="5">
                        <c:v>32479.409999999996</c:v>
                      </c:pt>
                      <c:pt idx="6">
                        <c:v>32295.750000000004</c:v>
                      </c:pt>
                      <c:pt idx="7">
                        <c:v>32382.649999999994</c:v>
                      </c:pt>
                      <c:pt idx="8">
                        <c:v>34073.96</c:v>
                      </c:pt>
                      <c:pt idx="9">
                        <c:v>34160.879999999997</c:v>
                      </c:pt>
                      <c:pt idx="10">
                        <c:v>34089.58</c:v>
                      </c:pt>
                      <c:pt idx="11">
                        <c:v>33983.520000000004</c:v>
                      </c:pt>
                      <c:pt idx="12">
                        <c:v>33950.550000000003</c:v>
                      </c:pt>
                      <c:pt idx="13">
                        <c:v>33875.18</c:v>
                      </c:pt>
                      <c:pt idx="14">
                        <c:v>33828.17</c:v>
                      </c:pt>
                      <c:pt idx="15">
                        <c:v>33991.730000000003</c:v>
                      </c:pt>
                      <c:pt idx="16">
                        <c:v>34592.869999999995</c:v>
                      </c:pt>
                      <c:pt idx="17">
                        <c:v>34689.839999999997</c:v>
                      </c:pt>
                      <c:pt idx="18">
                        <c:v>35221.630000000005</c:v>
                      </c:pt>
                      <c:pt idx="19">
                        <c:v>35683.279999999999</c:v>
                      </c:pt>
                      <c:pt idx="20">
                        <c:v>36573.160000000003</c:v>
                      </c:pt>
                      <c:pt idx="21">
                        <c:v>36163.460000000006</c:v>
                      </c:pt>
                      <c:pt idx="22">
                        <c:v>36236.57</c:v>
                      </c:pt>
                      <c:pt idx="23">
                        <c:v>35953.19</c:v>
                      </c:pt>
                      <c:pt idx="24">
                        <c:v>36726.619999999995</c:v>
                      </c:pt>
                      <c:pt idx="25">
                        <c:v>38379.570000000007</c:v>
                      </c:pt>
                      <c:pt idx="26">
                        <c:v>39902.28</c:v>
                      </c:pt>
                      <c:pt idx="27">
                        <c:v>41076.169999999991</c:v>
                      </c:pt>
                      <c:pt idx="28">
                        <c:v>43275.560000000005</c:v>
                      </c:pt>
                      <c:pt idx="29">
                        <c:v>45200.569999999992</c:v>
                      </c:pt>
                      <c:pt idx="30">
                        <c:v>47421.869999999995</c:v>
                      </c:pt>
                      <c:pt idx="31">
                        <c:v>49689.229999999996</c:v>
                      </c:pt>
                      <c:pt idx="32">
                        <c:v>51390.079999999994</c:v>
                      </c:pt>
                      <c:pt idx="33">
                        <c:v>52292.03</c:v>
                      </c:pt>
                      <c:pt idx="34">
                        <c:v>53072.86</c:v>
                      </c:pt>
                      <c:pt idx="35">
                        <c:v>53508.719999999994</c:v>
                      </c:pt>
                      <c:pt idx="36">
                        <c:v>54316.439999999995</c:v>
                      </c:pt>
                      <c:pt idx="37">
                        <c:v>54133.32</c:v>
                      </c:pt>
                      <c:pt idx="38">
                        <c:v>54007.29</c:v>
                      </c:pt>
                      <c:pt idx="39">
                        <c:v>54336.469999999994</c:v>
                      </c:pt>
                      <c:pt idx="40">
                        <c:v>56134.720000000001</c:v>
                      </c:pt>
                      <c:pt idx="41">
                        <c:v>56993.18</c:v>
                      </c:pt>
                      <c:pt idx="42">
                        <c:v>57097.09</c:v>
                      </c:pt>
                      <c:pt idx="43">
                        <c:v>57529.88</c:v>
                      </c:pt>
                      <c:pt idx="44">
                        <c:v>59016.41</c:v>
                      </c:pt>
                      <c:pt idx="45">
                        <c:v>57786.51</c:v>
                      </c:pt>
                      <c:pt idx="46">
                        <c:v>57186.45</c:v>
                      </c:pt>
                      <c:pt idx="47">
                        <c:v>55789.03</c:v>
                      </c:pt>
                      <c:pt idx="48">
                        <c:v>56384.45</c:v>
                      </c:pt>
                      <c:pt idx="49">
                        <c:v>56458.450000000004</c:v>
                      </c:pt>
                      <c:pt idx="50">
                        <c:v>57735.930000000008</c:v>
                      </c:pt>
                      <c:pt idx="51">
                        <c:v>58661.7</c:v>
                      </c:pt>
                      <c:pt idx="52">
                        <c:v>60014.930000000008</c:v>
                      </c:pt>
                      <c:pt idx="53">
                        <c:v>61106.74</c:v>
                      </c:pt>
                      <c:pt idx="54">
                        <c:v>61258.55</c:v>
                      </c:pt>
                      <c:pt idx="55">
                        <c:v>61153.320000000007</c:v>
                      </c:pt>
                      <c:pt idx="56">
                        <c:v>61217.8</c:v>
                      </c:pt>
                      <c:pt idx="57">
                        <c:v>61379.7</c:v>
                      </c:pt>
                      <c:pt idx="58">
                        <c:v>61442.909999999996</c:v>
                      </c:pt>
                      <c:pt idx="59">
                        <c:v>60777.469999999994</c:v>
                      </c:pt>
                      <c:pt idx="60">
                        <c:v>60344.899999999994</c:v>
                      </c:pt>
                      <c:pt idx="61">
                        <c:v>59667.869999999995</c:v>
                      </c:pt>
                      <c:pt idx="62">
                        <c:v>58919.95</c:v>
                      </c:pt>
                      <c:pt idx="63">
                        <c:v>57050.06</c:v>
                      </c:pt>
                      <c:pt idx="64">
                        <c:v>56202.920000000006</c:v>
                      </c:pt>
                      <c:pt idx="65">
                        <c:v>55945.450000000004</c:v>
                      </c:pt>
                      <c:pt idx="66">
                        <c:v>56192.05</c:v>
                      </c:pt>
                      <c:pt idx="67">
                        <c:v>56430.7</c:v>
                      </c:pt>
                      <c:pt idx="68">
                        <c:v>56579.47</c:v>
                      </c:pt>
                      <c:pt idx="69">
                        <c:v>56433.69</c:v>
                      </c:pt>
                      <c:pt idx="70">
                        <c:v>55325.17</c:v>
                      </c:pt>
                      <c:pt idx="71">
                        <c:v>54466.63</c:v>
                      </c:pt>
                      <c:pt idx="72">
                        <c:v>53432.29</c:v>
                      </c:pt>
                      <c:pt idx="73">
                        <c:v>52669.37</c:v>
                      </c:pt>
                      <c:pt idx="74">
                        <c:v>52046.610000000008</c:v>
                      </c:pt>
                      <c:pt idx="75">
                        <c:v>51695.869999999995</c:v>
                      </c:pt>
                      <c:pt idx="76">
                        <c:v>51447.549999999996</c:v>
                      </c:pt>
                      <c:pt idx="77">
                        <c:v>51457.289999999994</c:v>
                      </c:pt>
                      <c:pt idx="78">
                        <c:v>51226.110000000008</c:v>
                      </c:pt>
                      <c:pt idx="79">
                        <c:v>51032.86</c:v>
                      </c:pt>
                      <c:pt idx="80">
                        <c:v>50953.22</c:v>
                      </c:pt>
                      <c:pt idx="81">
                        <c:v>50655.88</c:v>
                      </c:pt>
                      <c:pt idx="82">
                        <c:v>50801.720000000008</c:v>
                      </c:pt>
                      <c:pt idx="83">
                        <c:v>50828.130000000005</c:v>
                      </c:pt>
                      <c:pt idx="84">
                        <c:v>51552.109999999993</c:v>
                      </c:pt>
                      <c:pt idx="85">
                        <c:v>51322.590000000004</c:v>
                      </c:pt>
                      <c:pt idx="86">
                        <c:v>50603.27</c:v>
                      </c:pt>
                      <c:pt idx="87">
                        <c:v>49761.209999999992</c:v>
                      </c:pt>
                      <c:pt idx="88">
                        <c:v>48941.120000000003</c:v>
                      </c:pt>
                      <c:pt idx="89">
                        <c:v>48884.909999999996</c:v>
                      </c:pt>
                      <c:pt idx="90">
                        <c:v>48734.63</c:v>
                      </c:pt>
                      <c:pt idx="91">
                        <c:v>48877.400000000009</c:v>
                      </c:pt>
                      <c:pt idx="92">
                        <c:v>49705.09</c:v>
                      </c:pt>
                      <c:pt idx="93">
                        <c:v>48801.94</c:v>
                      </c:pt>
                      <c:pt idx="94">
                        <c:v>47797.7</c:v>
                      </c:pt>
                      <c:pt idx="95">
                        <c:v>47222.99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06E-4EA5-9B74-6D3706F2E47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11月14日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Sheet1!$B$26:$CS$26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42377.79</c:v>
                      </c:pt>
                      <c:pt idx="1">
                        <c:v>41876.54</c:v>
                      </c:pt>
                      <c:pt idx="2">
                        <c:v>41376.83</c:v>
                      </c:pt>
                      <c:pt idx="3">
                        <c:v>41007.06</c:v>
                      </c:pt>
                      <c:pt idx="4">
                        <c:v>40667.18</c:v>
                      </c:pt>
                      <c:pt idx="5">
                        <c:v>40329.9</c:v>
                      </c:pt>
                      <c:pt idx="6">
                        <c:v>40131.81</c:v>
                      </c:pt>
                      <c:pt idx="7">
                        <c:v>39869.01</c:v>
                      </c:pt>
                      <c:pt idx="8">
                        <c:v>39383.160000000003</c:v>
                      </c:pt>
                      <c:pt idx="9">
                        <c:v>38966.270000000004</c:v>
                      </c:pt>
                      <c:pt idx="10">
                        <c:v>38692.32</c:v>
                      </c:pt>
                      <c:pt idx="11">
                        <c:v>38566.639999999999</c:v>
                      </c:pt>
                      <c:pt idx="12">
                        <c:v>38440.810000000005</c:v>
                      </c:pt>
                      <c:pt idx="13">
                        <c:v>38242.33</c:v>
                      </c:pt>
                      <c:pt idx="14">
                        <c:v>38178.28</c:v>
                      </c:pt>
                      <c:pt idx="15">
                        <c:v>38193.460000000006</c:v>
                      </c:pt>
                      <c:pt idx="16">
                        <c:v>38496</c:v>
                      </c:pt>
                      <c:pt idx="17">
                        <c:v>38526.339999999997</c:v>
                      </c:pt>
                      <c:pt idx="18">
                        <c:v>38745.67</c:v>
                      </c:pt>
                      <c:pt idx="19">
                        <c:v>39375.919999999998</c:v>
                      </c:pt>
                      <c:pt idx="20">
                        <c:v>40207.47</c:v>
                      </c:pt>
                      <c:pt idx="21">
                        <c:v>40127.29</c:v>
                      </c:pt>
                      <c:pt idx="22">
                        <c:v>40879.599999999999</c:v>
                      </c:pt>
                      <c:pt idx="23">
                        <c:v>41214.439999999995</c:v>
                      </c:pt>
                      <c:pt idx="24">
                        <c:v>42442.82</c:v>
                      </c:pt>
                      <c:pt idx="25">
                        <c:v>44076.899999999994</c:v>
                      </c:pt>
                      <c:pt idx="26">
                        <c:v>45432.33</c:v>
                      </c:pt>
                      <c:pt idx="27">
                        <c:v>45792.700000000004</c:v>
                      </c:pt>
                      <c:pt idx="28">
                        <c:v>45663.22</c:v>
                      </c:pt>
                      <c:pt idx="29">
                        <c:v>44583.94</c:v>
                      </c:pt>
                      <c:pt idx="30">
                        <c:v>42712.549999999996</c:v>
                      </c:pt>
                      <c:pt idx="31">
                        <c:v>40247.249999999993</c:v>
                      </c:pt>
                      <c:pt idx="32">
                        <c:v>37903.25</c:v>
                      </c:pt>
                      <c:pt idx="33">
                        <c:v>34588.97</c:v>
                      </c:pt>
                      <c:pt idx="34">
                        <c:v>30577.75</c:v>
                      </c:pt>
                      <c:pt idx="35">
                        <c:v>27223.260000000002</c:v>
                      </c:pt>
                      <c:pt idx="36">
                        <c:v>24266.249999999996</c:v>
                      </c:pt>
                      <c:pt idx="37">
                        <c:v>21528.13</c:v>
                      </c:pt>
                      <c:pt idx="38">
                        <c:v>19187.3</c:v>
                      </c:pt>
                      <c:pt idx="39">
                        <c:v>17382.59</c:v>
                      </c:pt>
                      <c:pt idx="40">
                        <c:v>17575.66</c:v>
                      </c:pt>
                      <c:pt idx="41">
                        <c:v>16301.98</c:v>
                      </c:pt>
                      <c:pt idx="42">
                        <c:v>14904.460000000003</c:v>
                      </c:pt>
                      <c:pt idx="43">
                        <c:v>14159.759999999998</c:v>
                      </c:pt>
                      <c:pt idx="44">
                        <c:v>14438.710000000003</c:v>
                      </c:pt>
                      <c:pt idx="45">
                        <c:v>12291.780000000002</c:v>
                      </c:pt>
                      <c:pt idx="46">
                        <c:v>11341.75</c:v>
                      </c:pt>
                      <c:pt idx="47">
                        <c:v>9965.9900000000016</c:v>
                      </c:pt>
                      <c:pt idx="48">
                        <c:v>9653.8299999999981</c:v>
                      </c:pt>
                      <c:pt idx="49">
                        <c:v>10040.32</c:v>
                      </c:pt>
                      <c:pt idx="50">
                        <c:v>11694.75</c:v>
                      </c:pt>
                      <c:pt idx="51">
                        <c:v>13351.759999999998</c:v>
                      </c:pt>
                      <c:pt idx="52">
                        <c:v>15913.399999999998</c:v>
                      </c:pt>
                      <c:pt idx="53">
                        <c:v>17919.18</c:v>
                      </c:pt>
                      <c:pt idx="54">
                        <c:v>20129.490000000002</c:v>
                      </c:pt>
                      <c:pt idx="55">
                        <c:v>22060.42</c:v>
                      </c:pt>
                      <c:pt idx="56">
                        <c:v>24511.439999999999</c:v>
                      </c:pt>
                      <c:pt idx="57">
                        <c:v>27131.409999999996</c:v>
                      </c:pt>
                      <c:pt idx="58">
                        <c:v>29999.759999999995</c:v>
                      </c:pt>
                      <c:pt idx="59">
                        <c:v>32396.68</c:v>
                      </c:pt>
                      <c:pt idx="60">
                        <c:v>35037.160000000003</c:v>
                      </c:pt>
                      <c:pt idx="61">
                        <c:v>37556.109999999993</c:v>
                      </c:pt>
                      <c:pt idx="62">
                        <c:v>39710.62000000001</c:v>
                      </c:pt>
                      <c:pt idx="63">
                        <c:v>40627.049999999996</c:v>
                      </c:pt>
                      <c:pt idx="64">
                        <c:v>42495.590000000004</c:v>
                      </c:pt>
                      <c:pt idx="65">
                        <c:v>44586.650000000009</c:v>
                      </c:pt>
                      <c:pt idx="66">
                        <c:v>46245.670000000006</c:v>
                      </c:pt>
                      <c:pt idx="67">
                        <c:v>46720.119999999995</c:v>
                      </c:pt>
                      <c:pt idx="68">
                        <c:v>47295.87</c:v>
                      </c:pt>
                      <c:pt idx="69">
                        <c:v>47466.6</c:v>
                      </c:pt>
                      <c:pt idx="70">
                        <c:v>47509.210000000006</c:v>
                      </c:pt>
                      <c:pt idx="71">
                        <c:v>46235.490000000005</c:v>
                      </c:pt>
                      <c:pt idx="72">
                        <c:v>45147.95</c:v>
                      </c:pt>
                      <c:pt idx="73">
                        <c:v>44102.380000000005</c:v>
                      </c:pt>
                      <c:pt idx="74">
                        <c:v>43113.31</c:v>
                      </c:pt>
                      <c:pt idx="75">
                        <c:v>42267.369999999995</c:v>
                      </c:pt>
                      <c:pt idx="76">
                        <c:v>41726.83</c:v>
                      </c:pt>
                      <c:pt idx="77">
                        <c:v>41256.810000000005</c:v>
                      </c:pt>
                      <c:pt idx="78">
                        <c:v>40783.15</c:v>
                      </c:pt>
                      <c:pt idx="79">
                        <c:v>40083.700000000004</c:v>
                      </c:pt>
                      <c:pt idx="80">
                        <c:v>39531.949999999997</c:v>
                      </c:pt>
                      <c:pt idx="81">
                        <c:v>39830.980000000003</c:v>
                      </c:pt>
                      <c:pt idx="82">
                        <c:v>39766.320000000007</c:v>
                      </c:pt>
                      <c:pt idx="83">
                        <c:v>39755.15</c:v>
                      </c:pt>
                      <c:pt idx="84">
                        <c:v>41052.979999999996</c:v>
                      </c:pt>
                      <c:pt idx="85">
                        <c:v>40448.729999999996</c:v>
                      </c:pt>
                      <c:pt idx="86">
                        <c:v>39210.470000000008</c:v>
                      </c:pt>
                      <c:pt idx="87">
                        <c:v>38297.64</c:v>
                      </c:pt>
                      <c:pt idx="88">
                        <c:v>37518.75</c:v>
                      </c:pt>
                      <c:pt idx="89">
                        <c:v>37158.250000000007</c:v>
                      </c:pt>
                      <c:pt idx="90">
                        <c:v>36683.550000000003</c:v>
                      </c:pt>
                      <c:pt idx="91">
                        <c:v>36128.519999999997</c:v>
                      </c:pt>
                      <c:pt idx="92">
                        <c:v>36578.86</c:v>
                      </c:pt>
                      <c:pt idx="93">
                        <c:v>35529.17</c:v>
                      </c:pt>
                      <c:pt idx="94">
                        <c:v>34681.479999999996</c:v>
                      </c:pt>
                      <c:pt idx="95">
                        <c:v>34089.18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DF5-48DF-8375-81C20417707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11月24号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Sheet1!$B$27:$CS$27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36714.320000000007</c:v>
                      </c:pt>
                      <c:pt idx="1">
                        <c:v>36419.97</c:v>
                      </c:pt>
                      <c:pt idx="2">
                        <c:v>35974.410000000003</c:v>
                      </c:pt>
                      <c:pt idx="3">
                        <c:v>35831.25</c:v>
                      </c:pt>
                      <c:pt idx="4">
                        <c:v>35685.42</c:v>
                      </c:pt>
                      <c:pt idx="5">
                        <c:v>35501.43</c:v>
                      </c:pt>
                      <c:pt idx="6">
                        <c:v>35197.520000000004</c:v>
                      </c:pt>
                      <c:pt idx="7">
                        <c:v>35164.979999999996</c:v>
                      </c:pt>
                      <c:pt idx="8">
                        <c:v>34858.93</c:v>
                      </c:pt>
                      <c:pt idx="9">
                        <c:v>34678.719999999994</c:v>
                      </c:pt>
                      <c:pt idx="10">
                        <c:v>34706.68</c:v>
                      </c:pt>
                      <c:pt idx="11">
                        <c:v>34416.509999999995</c:v>
                      </c:pt>
                      <c:pt idx="12">
                        <c:v>34182.299999999996</c:v>
                      </c:pt>
                      <c:pt idx="13">
                        <c:v>34049.229999999996</c:v>
                      </c:pt>
                      <c:pt idx="14">
                        <c:v>34273.480000000003</c:v>
                      </c:pt>
                      <c:pt idx="15">
                        <c:v>34219.229999999996</c:v>
                      </c:pt>
                      <c:pt idx="16">
                        <c:v>34689.83</c:v>
                      </c:pt>
                      <c:pt idx="17">
                        <c:v>35009.39</c:v>
                      </c:pt>
                      <c:pt idx="18">
                        <c:v>35311.879999999997</c:v>
                      </c:pt>
                      <c:pt idx="19">
                        <c:v>35782.79</c:v>
                      </c:pt>
                      <c:pt idx="20">
                        <c:v>36679.68</c:v>
                      </c:pt>
                      <c:pt idx="21">
                        <c:v>36861.54</c:v>
                      </c:pt>
                      <c:pt idx="22">
                        <c:v>36981.15</c:v>
                      </c:pt>
                      <c:pt idx="23">
                        <c:v>37337.730000000003</c:v>
                      </c:pt>
                      <c:pt idx="24">
                        <c:v>38479.93</c:v>
                      </c:pt>
                      <c:pt idx="25">
                        <c:v>40120.939999999995</c:v>
                      </c:pt>
                      <c:pt idx="26">
                        <c:v>41459.99</c:v>
                      </c:pt>
                      <c:pt idx="27">
                        <c:v>42724.650000000009</c:v>
                      </c:pt>
                      <c:pt idx="28">
                        <c:v>42720.590000000004</c:v>
                      </c:pt>
                      <c:pt idx="29">
                        <c:v>42590.930000000008</c:v>
                      </c:pt>
                      <c:pt idx="30">
                        <c:v>41222.1</c:v>
                      </c:pt>
                      <c:pt idx="31">
                        <c:v>39569.689999999995</c:v>
                      </c:pt>
                      <c:pt idx="32">
                        <c:v>37850.22</c:v>
                      </c:pt>
                      <c:pt idx="33">
                        <c:v>34814.25</c:v>
                      </c:pt>
                      <c:pt idx="34">
                        <c:v>31827.79</c:v>
                      </c:pt>
                      <c:pt idx="35">
                        <c:v>28270.550000000003</c:v>
                      </c:pt>
                      <c:pt idx="36">
                        <c:v>24742.390000000007</c:v>
                      </c:pt>
                      <c:pt idx="37">
                        <c:v>22083.49</c:v>
                      </c:pt>
                      <c:pt idx="38">
                        <c:v>19839.540000000005</c:v>
                      </c:pt>
                      <c:pt idx="39">
                        <c:v>18182.249999999996</c:v>
                      </c:pt>
                      <c:pt idx="40">
                        <c:v>18005.839999999997</c:v>
                      </c:pt>
                      <c:pt idx="41">
                        <c:v>16943.850000000002</c:v>
                      </c:pt>
                      <c:pt idx="42">
                        <c:v>15440.470000000005</c:v>
                      </c:pt>
                      <c:pt idx="43">
                        <c:v>14270.52</c:v>
                      </c:pt>
                      <c:pt idx="44">
                        <c:v>14121.090000000004</c:v>
                      </c:pt>
                      <c:pt idx="45">
                        <c:v>12613.150000000001</c:v>
                      </c:pt>
                      <c:pt idx="46">
                        <c:v>11252.29</c:v>
                      </c:pt>
                      <c:pt idx="47">
                        <c:v>8985.7300000000032</c:v>
                      </c:pt>
                      <c:pt idx="48">
                        <c:v>8723.1499999999978</c:v>
                      </c:pt>
                      <c:pt idx="49">
                        <c:v>8380.39</c:v>
                      </c:pt>
                      <c:pt idx="50">
                        <c:v>9662.7000000000044</c:v>
                      </c:pt>
                      <c:pt idx="51">
                        <c:v>10758.09</c:v>
                      </c:pt>
                      <c:pt idx="52">
                        <c:v>13250.869999999999</c:v>
                      </c:pt>
                      <c:pt idx="53">
                        <c:v>14520.270000000004</c:v>
                      </c:pt>
                      <c:pt idx="54">
                        <c:v>16730.82</c:v>
                      </c:pt>
                      <c:pt idx="55">
                        <c:v>18586.440000000002</c:v>
                      </c:pt>
                      <c:pt idx="56">
                        <c:v>20484.62</c:v>
                      </c:pt>
                      <c:pt idx="57">
                        <c:v>22511.81</c:v>
                      </c:pt>
                      <c:pt idx="58">
                        <c:v>24627.3</c:v>
                      </c:pt>
                      <c:pt idx="59">
                        <c:v>26641.000000000007</c:v>
                      </c:pt>
                      <c:pt idx="60">
                        <c:v>28427.800000000003</c:v>
                      </c:pt>
                      <c:pt idx="61">
                        <c:v>30459.509999999995</c:v>
                      </c:pt>
                      <c:pt idx="62">
                        <c:v>32589.210000000006</c:v>
                      </c:pt>
                      <c:pt idx="63">
                        <c:v>33772.499999999993</c:v>
                      </c:pt>
                      <c:pt idx="64">
                        <c:v>35270.319999999992</c:v>
                      </c:pt>
                      <c:pt idx="65">
                        <c:v>37132.76</c:v>
                      </c:pt>
                      <c:pt idx="66">
                        <c:v>38491.56</c:v>
                      </c:pt>
                      <c:pt idx="67">
                        <c:v>38451.289999999994</c:v>
                      </c:pt>
                      <c:pt idx="68">
                        <c:v>38359.000000000007</c:v>
                      </c:pt>
                      <c:pt idx="69">
                        <c:v>38491.39</c:v>
                      </c:pt>
                      <c:pt idx="70">
                        <c:v>37379.230000000003</c:v>
                      </c:pt>
                      <c:pt idx="71">
                        <c:v>36154.650000000009</c:v>
                      </c:pt>
                      <c:pt idx="72">
                        <c:v>35043.839999999997</c:v>
                      </c:pt>
                      <c:pt idx="73">
                        <c:v>33842.759999999995</c:v>
                      </c:pt>
                      <c:pt idx="74">
                        <c:v>32866.699999999997</c:v>
                      </c:pt>
                      <c:pt idx="75">
                        <c:v>32319.810000000005</c:v>
                      </c:pt>
                      <c:pt idx="76">
                        <c:v>31696.069999999996</c:v>
                      </c:pt>
                      <c:pt idx="77">
                        <c:v>31563.339999999997</c:v>
                      </c:pt>
                      <c:pt idx="78">
                        <c:v>30790.729999999996</c:v>
                      </c:pt>
                      <c:pt idx="79">
                        <c:v>30325.449999999997</c:v>
                      </c:pt>
                      <c:pt idx="80">
                        <c:v>29946.189999999995</c:v>
                      </c:pt>
                      <c:pt idx="81">
                        <c:v>30114.66</c:v>
                      </c:pt>
                      <c:pt idx="82">
                        <c:v>29981.120000000006</c:v>
                      </c:pt>
                      <c:pt idx="83">
                        <c:v>29838.769999999997</c:v>
                      </c:pt>
                      <c:pt idx="84">
                        <c:v>30997.66</c:v>
                      </c:pt>
                      <c:pt idx="85">
                        <c:v>30451.069999999996</c:v>
                      </c:pt>
                      <c:pt idx="86">
                        <c:v>29443.29</c:v>
                      </c:pt>
                      <c:pt idx="87">
                        <c:v>28470.699999999993</c:v>
                      </c:pt>
                      <c:pt idx="88">
                        <c:v>27728.450000000004</c:v>
                      </c:pt>
                      <c:pt idx="89">
                        <c:v>27557.95</c:v>
                      </c:pt>
                      <c:pt idx="90">
                        <c:v>27195.279999999999</c:v>
                      </c:pt>
                      <c:pt idx="91">
                        <c:v>26959.49</c:v>
                      </c:pt>
                      <c:pt idx="92">
                        <c:v>27721.540000000005</c:v>
                      </c:pt>
                      <c:pt idx="93">
                        <c:v>26769.95</c:v>
                      </c:pt>
                      <c:pt idx="94">
                        <c:v>25997.760000000002</c:v>
                      </c:pt>
                      <c:pt idx="95">
                        <c:v>25378.12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DF5-48DF-8375-81C20417707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12月3号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Sheet1!$B$28:$CS$28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36220.65</c:v>
                      </c:pt>
                      <c:pt idx="1">
                        <c:v>35685.589999999997</c:v>
                      </c:pt>
                      <c:pt idx="2">
                        <c:v>35308.339999999997</c:v>
                      </c:pt>
                      <c:pt idx="3">
                        <c:v>34928.869999999995</c:v>
                      </c:pt>
                      <c:pt idx="4">
                        <c:v>34139.58</c:v>
                      </c:pt>
                      <c:pt idx="5">
                        <c:v>33691.78</c:v>
                      </c:pt>
                      <c:pt idx="6">
                        <c:v>33154.93</c:v>
                      </c:pt>
                      <c:pt idx="7">
                        <c:v>33666.520000000004</c:v>
                      </c:pt>
                      <c:pt idx="8">
                        <c:v>33795.149999999994</c:v>
                      </c:pt>
                      <c:pt idx="9">
                        <c:v>33304.039999999994</c:v>
                      </c:pt>
                      <c:pt idx="10">
                        <c:v>33072.800000000003</c:v>
                      </c:pt>
                      <c:pt idx="11">
                        <c:v>32750.6</c:v>
                      </c:pt>
                      <c:pt idx="12">
                        <c:v>32599.420000000006</c:v>
                      </c:pt>
                      <c:pt idx="13">
                        <c:v>32275.040000000001</c:v>
                      </c:pt>
                      <c:pt idx="14">
                        <c:v>31858.93</c:v>
                      </c:pt>
                      <c:pt idx="15">
                        <c:v>31706.99</c:v>
                      </c:pt>
                      <c:pt idx="16">
                        <c:v>31772.010000000002</c:v>
                      </c:pt>
                      <c:pt idx="17">
                        <c:v>31768.109999999997</c:v>
                      </c:pt>
                      <c:pt idx="18">
                        <c:v>32210.21</c:v>
                      </c:pt>
                      <c:pt idx="19">
                        <c:v>32927.83</c:v>
                      </c:pt>
                      <c:pt idx="20">
                        <c:v>33355.599999999999</c:v>
                      </c:pt>
                      <c:pt idx="21">
                        <c:v>33282.869999999995</c:v>
                      </c:pt>
                      <c:pt idx="22">
                        <c:v>32855.510000000009</c:v>
                      </c:pt>
                      <c:pt idx="23">
                        <c:v>33215.51</c:v>
                      </c:pt>
                      <c:pt idx="24">
                        <c:v>33675.150000000009</c:v>
                      </c:pt>
                      <c:pt idx="25">
                        <c:v>35492.030000000006</c:v>
                      </c:pt>
                      <c:pt idx="26">
                        <c:v>36931.22</c:v>
                      </c:pt>
                      <c:pt idx="27">
                        <c:v>38001.269999999997</c:v>
                      </c:pt>
                      <c:pt idx="28">
                        <c:v>39417.219999999994</c:v>
                      </c:pt>
                      <c:pt idx="29">
                        <c:v>39847.240000000005</c:v>
                      </c:pt>
                      <c:pt idx="30">
                        <c:v>39670.12000000001</c:v>
                      </c:pt>
                      <c:pt idx="31">
                        <c:v>38608.07</c:v>
                      </c:pt>
                      <c:pt idx="32">
                        <c:v>36936.930000000008</c:v>
                      </c:pt>
                      <c:pt idx="33">
                        <c:v>34464.539999999994</c:v>
                      </c:pt>
                      <c:pt idx="34">
                        <c:v>31364.350000000002</c:v>
                      </c:pt>
                      <c:pt idx="35">
                        <c:v>27962.699999999993</c:v>
                      </c:pt>
                      <c:pt idx="36">
                        <c:v>25424.25</c:v>
                      </c:pt>
                      <c:pt idx="37">
                        <c:v>22221.050000000003</c:v>
                      </c:pt>
                      <c:pt idx="38">
                        <c:v>19675.350000000006</c:v>
                      </c:pt>
                      <c:pt idx="39">
                        <c:v>17705.510000000009</c:v>
                      </c:pt>
                      <c:pt idx="40">
                        <c:v>17543.82</c:v>
                      </c:pt>
                      <c:pt idx="41">
                        <c:v>16925.62999999999</c:v>
                      </c:pt>
                      <c:pt idx="42">
                        <c:v>15935.670000000002</c:v>
                      </c:pt>
                      <c:pt idx="43">
                        <c:v>14749.59</c:v>
                      </c:pt>
                      <c:pt idx="44">
                        <c:v>14926.299999999992</c:v>
                      </c:pt>
                      <c:pt idx="45">
                        <c:v>13425.350000000002</c:v>
                      </c:pt>
                      <c:pt idx="46">
                        <c:v>12076.329999999998</c:v>
                      </c:pt>
                      <c:pt idx="47">
                        <c:v>10227.729999999996</c:v>
                      </c:pt>
                      <c:pt idx="48">
                        <c:v>10197.540000000001</c:v>
                      </c:pt>
                      <c:pt idx="49">
                        <c:v>10176.18</c:v>
                      </c:pt>
                      <c:pt idx="50">
                        <c:v>11556.43</c:v>
                      </c:pt>
                      <c:pt idx="51">
                        <c:v>12911.500000000004</c:v>
                      </c:pt>
                      <c:pt idx="52">
                        <c:v>15101</c:v>
                      </c:pt>
                      <c:pt idx="53">
                        <c:v>16990.170000000002</c:v>
                      </c:pt>
                      <c:pt idx="54">
                        <c:v>18943.269999999997</c:v>
                      </c:pt>
                      <c:pt idx="55">
                        <c:v>20700.480000000003</c:v>
                      </c:pt>
                      <c:pt idx="56">
                        <c:v>22847.760000000006</c:v>
                      </c:pt>
                      <c:pt idx="57">
                        <c:v>25385.55999999999</c:v>
                      </c:pt>
                      <c:pt idx="58">
                        <c:v>27726.019999999997</c:v>
                      </c:pt>
                      <c:pt idx="59">
                        <c:v>30246.87000000001</c:v>
                      </c:pt>
                      <c:pt idx="60">
                        <c:v>33377.359999999993</c:v>
                      </c:pt>
                      <c:pt idx="61">
                        <c:v>36271.58</c:v>
                      </c:pt>
                      <c:pt idx="62">
                        <c:v>39131.420000000006</c:v>
                      </c:pt>
                      <c:pt idx="63">
                        <c:v>41512.350000000006</c:v>
                      </c:pt>
                      <c:pt idx="64">
                        <c:v>44291.08</c:v>
                      </c:pt>
                      <c:pt idx="65">
                        <c:v>47387.47</c:v>
                      </c:pt>
                      <c:pt idx="66">
                        <c:v>49554.44</c:v>
                      </c:pt>
                      <c:pt idx="67">
                        <c:v>50794.43</c:v>
                      </c:pt>
                      <c:pt idx="68">
                        <c:v>51222.740000000005</c:v>
                      </c:pt>
                      <c:pt idx="69">
                        <c:v>51377.47</c:v>
                      </c:pt>
                      <c:pt idx="70">
                        <c:v>50684.780000000006</c:v>
                      </c:pt>
                      <c:pt idx="71">
                        <c:v>50034.709999999992</c:v>
                      </c:pt>
                      <c:pt idx="72">
                        <c:v>48786.659999999996</c:v>
                      </c:pt>
                      <c:pt idx="73">
                        <c:v>48473.48</c:v>
                      </c:pt>
                      <c:pt idx="74">
                        <c:v>47521.499999999993</c:v>
                      </c:pt>
                      <c:pt idx="75">
                        <c:v>47255.25</c:v>
                      </c:pt>
                      <c:pt idx="76">
                        <c:v>46795.22</c:v>
                      </c:pt>
                      <c:pt idx="77">
                        <c:v>46177.829999999994</c:v>
                      </c:pt>
                      <c:pt idx="78">
                        <c:v>45641.909999999996</c:v>
                      </c:pt>
                      <c:pt idx="79">
                        <c:v>45080.560000000005</c:v>
                      </c:pt>
                      <c:pt idx="80">
                        <c:v>44558.26999999999</c:v>
                      </c:pt>
                      <c:pt idx="81">
                        <c:v>44179.999999999993</c:v>
                      </c:pt>
                      <c:pt idx="82">
                        <c:v>43975.41</c:v>
                      </c:pt>
                      <c:pt idx="83">
                        <c:v>43684.06</c:v>
                      </c:pt>
                      <c:pt idx="84">
                        <c:v>44433.599999999991</c:v>
                      </c:pt>
                      <c:pt idx="85">
                        <c:v>43444.639999999999</c:v>
                      </c:pt>
                      <c:pt idx="86">
                        <c:v>42106.399999999994</c:v>
                      </c:pt>
                      <c:pt idx="87">
                        <c:v>41245.1</c:v>
                      </c:pt>
                      <c:pt idx="88">
                        <c:v>39818.15</c:v>
                      </c:pt>
                      <c:pt idx="89">
                        <c:v>39330.800000000003</c:v>
                      </c:pt>
                      <c:pt idx="90">
                        <c:v>38953.870000000003</c:v>
                      </c:pt>
                      <c:pt idx="91">
                        <c:v>38203.17</c:v>
                      </c:pt>
                      <c:pt idx="92">
                        <c:v>38045.86</c:v>
                      </c:pt>
                      <c:pt idx="93">
                        <c:v>36460.320000000007</c:v>
                      </c:pt>
                      <c:pt idx="94">
                        <c:v>34964.9</c:v>
                      </c:pt>
                      <c:pt idx="95">
                        <c:v>33811.300000000003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DF5-48DF-8375-81C20417707F}"/>
                  </c:ext>
                </c:extLst>
              </c15:ser>
            </c15:filteredLineSeries>
          </c:ext>
        </c:extLst>
      </c:lineChart>
      <c:catAx>
        <c:axId val="488138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9455776"/>
        <c:crosses val="autoZero"/>
        <c:auto val="1"/>
        <c:lblAlgn val="ctr"/>
        <c:lblOffset val="100"/>
        <c:noMultiLvlLbl val="0"/>
      </c:catAx>
      <c:valAx>
        <c:axId val="3194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8138560"/>
        <c:crosses val="autoZero"/>
        <c:crossBetween val="between"/>
      </c:valAx>
      <c:valAx>
        <c:axId val="138199296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5636640"/>
        <c:crosses val="max"/>
        <c:crossBetween val="between"/>
      </c:valAx>
      <c:catAx>
        <c:axId val="1335636640"/>
        <c:scaling>
          <c:orientation val="minMax"/>
        </c:scaling>
        <c:delete val="1"/>
        <c:axPos val="b"/>
        <c:majorTickMark val="out"/>
        <c:minorTickMark val="none"/>
        <c:tickLblPos val="nextTo"/>
        <c:crossAx val="13819929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sng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Sheet3!$A$2</c:f>
              <c:strCache>
                <c:ptCount val="1"/>
                <c:pt idx="0">
                  <c:v>竞价空间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Sheet3!$B$1:$GK$1</c:f>
              <c:strCache>
                <c:ptCount val="192"/>
                <c:pt idx="0">
                  <c:v>00:15</c:v>
                </c:pt>
                <c:pt idx="1">
                  <c:v>00:30</c:v>
                </c:pt>
                <c:pt idx="2">
                  <c:v>00:45</c:v>
                </c:pt>
                <c:pt idx="3">
                  <c:v>01:00</c:v>
                </c:pt>
                <c:pt idx="4">
                  <c:v>01:15</c:v>
                </c:pt>
                <c:pt idx="5">
                  <c:v>01:30</c:v>
                </c:pt>
                <c:pt idx="6">
                  <c:v>01:45</c:v>
                </c:pt>
                <c:pt idx="7">
                  <c:v>02:00</c:v>
                </c:pt>
                <c:pt idx="8">
                  <c:v>02:15</c:v>
                </c:pt>
                <c:pt idx="9">
                  <c:v>02:30</c:v>
                </c:pt>
                <c:pt idx="10">
                  <c:v>02:45</c:v>
                </c:pt>
                <c:pt idx="11">
                  <c:v>03:00</c:v>
                </c:pt>
                <c:pt idx="12">
                  <c:v>03:15</c:v>
                </c:pt>
                <c:pt idx="13">
                  <c:v>03:30</c:v>
                </c:pt>
                <c:pt idx="14">
                  <c:v>03:45</c:v>
                </c:pt>
                <c:pt idx="15">
                  <c:v>04:00</c:v>
                </c:pt>
                <c:pt idx="16">
                  <c:v>04:15</c:v>
                </c:pt>
                <c:pt idx="17">
                  <c:v>04:30</c:v>
                </c:pt>
                <c:pt idx="18">
                  <c:v>04:45</c:v>
                </c:pt>
                <c:pt idx="19">
                  <c:v>05:00</c:v>
                </c:pt>
                <c:pt idx="20">
                  <c:v>05:15</c:v>
                </c:pt>
                <c:pt idx="21">
                  <c:v>05:30</c:v>
                </c:pt>
                <c:pt idx="22">
                  <c:v>05:45</c:v>
                </c:pt>
                <c:pt idx="23">
                  <c:v>06:00</c:v>
                </c:pt>
                <c:pt idx="24">
                  <c:v>06:15</c:v>
                </c:pt>
                <c:pt idx="25">
                  <c:v>06:30</c:v>
                </c:pt>
                <c:pt idx="26">
                  <c:v>06:45</c:v>
                </c:pt>
                <c:pt idx="27">
                  <c:v>07:00</c:v>
                </c:pt>
                <c:pt idx="28">
                  <c:v>07:15</c:v>
                </c:pt>
                <c:pt idx="29">
                  <c:v>07:30</c:v>
                </c:pt>
                <c:pt idx="30">
                  <c:v>07:45</c:v>
                </c:pt>
                <c:pt idx="31">
                  <c:v>08:00</c:v>
                </c:pt>
                <c:pt idx="32">
                  <c:v>08:15</c:v>
                </c:pt>
                <c:pt idx="33">
                  <c:v>08:30</c:v>
                </c:pt>
                <c:pt idx="34">
                  <c:v>08:45</c:v>
                </c:pt>
                <c:pt idx="35">
                  <c:v>09:00</c:v>
                </c:pt>
                <c:pt idx="36">
                  <c:v>09:15</c:v>
                </c:pt>
                <c:pt idx="37">
                  <c:v>09:30</c:v>
                </c:pt>
                <c:pt idx="38">
                  <c:v>09:45</c:v>
                </c:pt>
                <c:pt idx="39">
                  <c:v>10:00</c:v>
                </c:pt>
                <c:pt idx="40">
                  <c:v>10:15</c:v>
                </c:pt>
                <c:pt idx="41">
                  <c:v>10:30</c:v>
                </c:pt>
                <c:pt idx="42">
                  <c:v>10:45</c:v>
                </c:pt>
                <c:pt idx="43">
                  <c:v>11:00</c:v>
                </c:pt>
                <c:pt idx="44">
                  <c:v>11:15</c:v>
                </c:pt>
                <c:pt idx="45">
                  <c:v>11:30</c:v>
                </c:pt>
                <c:pt idx="46">
                  <c:v>11:45</c:v>
                </c:pt>
                <c:pt idx="47">
                  <c:v>12:00</c:v>
                </c:pt>
                <c:pt idx="48">
                  <c:v>12:15</c:v>
                </c:pt>
                <c:pt idx="49">
                  <c:v>12:30</c:v>
                </c:pt>
                <c:pt idx="50">
                  <c:v>12:45</c:v>
                </c:pt>
                <c:pt idx="51">
                  <c:v>13:00</c:v>
                </c:pt>
                <c:pt idx="52">
                  <c:v>13:15</c:v>
                </c:pt>
                <c:pt idx="53">
                  <c:v>13:30</c:v>
                </c:pt>
                <c:pt idx="54">
                  <c:v>13:45</c:v>
                </c:pt>
                <c:pt idx="55">
                  <c:v>14:00</c:v>
                </c:pt>
                <c:pt idx="56">
                  <c:v>14:15</c:v>
                </c:pt>
                <c:pt idx="57">
                  <c:v>14:30</c:v>
                </c:pt>
                <c:pt idx="58">
                  <c:v>14:45</c:v>
                </c:pt>
                <c:pt idx="59">
                  <c:v>15:00</c:v>
                </c:pt>
                <c:pt idx="60">
                  <c:v>15:15</c:v>
                </c:pt>
                <c:pt idx="61">
                  <c:v>15:30</c:v>
                </c:pt>
                <c:pt idx="62">
                  <c:v>15:45</c:v>
                </c:pt>
                <c:pt idx="63">
                  <c:v>16:00</c:v>
                </c:pt>
                <c:pt idx="64">
                  <c:v>16:15</c:v>
                </c:pt>
                <c:pt idx="65">
                  <c:v>16:30</c:v>
                </c:pt>
                <c:pt idx="66">
                  <c:v>16:45</c:v>
                </c:pt>
                <c:pt idx="67">
                  <c:v>17:00</c:v>
                </c:pt>
                <c:pt idx="68">
                  <c:v>17:15</c:v>
                </c:pt>
                <c:pt idx="69">
                  <c:v>17:30</c:v>
                </c:pt>
                <c:pt idx="70">
                  <c:v>17:45</c:v>
                </c:pt>
                <c:pt idx="71">
                  <c:v>18:00</c:v>
                </c:pt>
                <c:pt idx="72">
                  <c:v>18:15</c:v>
                </c:pt>
                <c:pt idx="73">
                  <c:v>18:30</c:v>
                </c:pt>
                <c:pt idx="74">
                  <c:v>18:45</c:v>
                </c:pt>
                <c:pt idx="75">
                  <c:v>19:00</c:v>
                </c:pt>
                <c:pt idx="76">
                  <c:v>19:15</c:v>
                </c:pt>
                <c:pt idx="77">
                  <c:v>19:30</c:v>
                </c:pt>
                <c:pt idx="78">
                  <c:v>19:45</c:v>
                </c:pt>
                <c:pt idx="79">
                  <c:v>20:00</c:v>
                </c:pt>
                <c:pt idx="80">
                  <c:v>20:15</c:v>
                </c:pt>
                <c:pt idx="81">
                  <c:v>20:30</c:v>
                </c:pt>
                <c:pt idx="82">
                  <c:v>20:45</c:v>
                </c:pt>
                <c:pt idx="83">
                  <c:v>21:00</c:v>
                </c:pt>
                <c:pt idx="84">
                  <c:v>21:15</c:v>
                </c:pt>
                <c:pt idx="85">
                  <c:v>21:30</c:v>
                </c:pt>
                <c:pt idx="86">
                  <c:v>21:45</c:v>
                </c:pt>
                <c:pt idx="87">
                  <c:v>22:00</c:v>
                </c:pt>
                <c:pt idx="88">
                  <c:v>22:15</c:v>
                </c:pt>
                <c:pt idx="89">
                  <c:v>22:30</c:v>
                </c:pt>
                <c:pt idx="90">
                  <c:v>22:45</c:v>
                </c:pt>
                <c:pt idx="91">
                  <c:v>23:00</c:v>
                </c:pt>
                <c:pt idx="92">
                  <c:v>23:15</c:v>
                </c:pt>
                <c:pt idx="93">
                  <c:v>23:30</c:v>
                </c:pt>
                <c:pt idx="94">
                  <c:v>23:45</c:v>
                </c:pt>
                <c:pt idx="95">
                  <c:v>24:00</c:v>
                </c:pt>
                <c:pt idx="96">
                  <c:v>00:15</c:v>
                </c:pt>
                <c:pt idx="97">
                  <c:v>00:30</c:v>
                </c:pt>
                <c:pt idx="98">
                  <c:v>00:45</c:v>
                </c:pt>
                <c:pt idx="99">
                  <c:v>01:00</c:v>
                </c:pt>
                <c:pt idx="100">
                  <c:v>01:15</c:v>
                </c:pt>
                <c:pt idx="101">
                  <c:v>01:30</c:v>
                </c:pt>
                <c:pt idx="102">
                  <c:v>01:45</c:v>
                </c:pt>
                <c:pt idx="103">
                  <c:v>02:00</c:v>
                </c:pt>
                <c:pt idx="104">
                  <c:v>02:15</c:v>
                </c:pt>
                <c:pt idx="105">
                  <c:v>02:30</c:v>
                </c:pt>
                <c:pt idx="106">
                  <c:v>02:45</c:v>
                </c:pt>
                <c:pt idx="107">
                  <c:v>03:00</c:v>
                </c:pt>
                <c:pt idx="108">
                  <c:v>03:15</c:v>
                </c:pt>
                <c:pt idx="109">
                  <c:v>03:30</c:v>
                </c:pt>
                <c:pt idx="110">
                  <c:v>03:45</c:v>
                </c:pt>
                <c:pt idx="111">
                  <c:v>04:00</c:v>
                </c:pt>
                <c:pt idx="112">
                  <c:v>04:15</c:v>
                </c:pt>
                <c:pt idx="113">
                  <c:v>04:30</c:v>
                </c:pt>
                <c:pt idx="114">
                  <c:v>04:45</c:v>
                </c:pt>
                <c:pt idx="115">
                  <c:v>05:00</c:v>
                </c:pt>
                <c:pt idx="116">
                  <c:v>05:15</c:v>
                </c:pt>
                <c:pt idx="117">
                  <c:v>05:30</c:v>
                </c:pt>
                <c:pt idx="118">
                  <c:v>05:45</c:v>
                </c:pt>
                <c:pt idx="119">
                  <c:v>06:00</c:v>
                </c:pt>
                <c:pt idx="120">
                  <c:v>06:15</c:v>
                </c:pt>
                <c:pt idx="121">
                  <c:v>06:30</c:v>
                </c:pt>
                <c:pt idx="122">
                  <c:v>06:45</c:v>
                </c:pt>
                <c:pt idx="123">
                  <c:v>07:00</c:v>
                </c:pt>
                <c:pt idx="124">
                  <c:v>07:15</c:v>
                </c:pt>
                <c:pt idx="125">
                  <c:v>07:30</c:v>
                </c:pt>
                <c:pt idx="126">
                  <c:v>07:45</c:v>
                </c:pt>
                <c:pt idx="127">
                  <c:v>08:00</c:v>
                </c:pt>
                <c:pt idx="128">
                  <c:v>08:15</c:v>
                </c:pt>
                <c:pt idx="129">
                  <c:v>08:30</c:v>
                </c:pt>
                <c:pt idx="130">
                  <c:v>08:45</c:v>
                </c:pt>
                <c:pt idx="131">
                  <c:v>09:00</c:v>
                </c:pt>
                <c:pt idx="132">
                  <c:v>09:15</c:v>
                </c:pt>
                <c:pt idx="133">
                  <c:v>09:30</c:v>
                </c:pt>
                <c:pt idx="134">
                  <c:v>09:45</c:v>
                </c:pt>
                <c:pt idx="135">
                  <c:v>10:00</c:v>
                </c:pt>
                <c:pt idx="136">
                  <c:v>10:15</c:v>
                </c:pt>
                <c:pt idx="137">
                  <c:v>10:30</c:v>
                </c:pt>
                <c:pt idx="138">
                  <c:v>10:45</c:v>
                </c:pt>
                <c:pt idx="139">
                  <c:v>11:00</c:v>
                </c:pt>
                <c:pt idx="140">
                  <c:v>11:15</c:v>
                </c:pt>
                <c:pt idx="141">
                  <c:v>11:30</c:v>
                </c:pt>
                <c:pt idx="142">
                  <c:v>11:45</c:v>
                </c:pt>
                <c:pt idx="143">
                  <c:v>12:00</c:v>
                </c:pt>
                <c:pt idx="144">
                  <c:v>12:15</c:v>
                </c:pt>
                <c:pt idx="145">
                  <c:v>12:30</c:v>
                </c:pt>
                <c:pt idx="146">
                  <c:v>12:45</c:v>
                </c:pt>
                <c:pt idx="147">
                  <c:v>13:00</c:v>
                </c:pt>
                <c:pt idx="148">
                  <c:v>13:15</c:v>
                </c:pt>
                <c:pt idx="149">
                  <c:v>13:30</c:v>
                </c:pt>
                <c:pt idx="150">
                  <c:v>13:45</c:v>
                </c:pt>
                <c:pt idx="151">
                  <c:v>14:00</c:v>
                </c:pt>
                <c:pt idx="152">
                  <c:v>14:15</c:v>
                </c:pt>
                <c:pt idx="153">
                  <c:v>14:30</c:v>
                </c:pt>
                <c:pt idx="154">
                  <c:v>14:45</c:v>
                </c:pt>
                <c:pt idx="155">
                  <c:v>15:00</c:v>
                </c:pt>
                <c:pt idx="156">
                  <c:v>15:15</c:v>
                </c:pt>
                <c:pt idx="157">
                  <c:v>15:30</c:v>
                </c:pt>
                <c:pt idx="158">
                  <c:v>15:45</c:v>
                </c:pt>
                <c:pt idx="159">
                  <c:v>16:00</c:v>
                </c:pt>
                <c:pt idx="160">
                  <c:v>16:15</c:v>
                </c:pt>
                <c:pt idx="161">
                  <c:v>16:30</c:v>
                </c:pt>
                <c:pt idx="162">
                  <c:v>16:45</c:v>
                </c:pt>
                <c:pt idx="163">
                  <c:v>17:00</c:v>
                </c:pt>
                <c:pt idx="164">
                  <c:v>17:15</c:v>
                </c:pt>
                <c:pt idx="165">
                  <c:v>17:30</c:v>
                </c:pt>
                <c:pt idx="166">
                  <c:v>17:45</c:v>
                </c:pt>
                <c:pt idx="167">
                  <c:v>18:00</c:v>
                </c:pt>
                <c:pt idx="168">
                  <c:v>18:15</c:v>
                </c:pt>
                <c:pt idx="169">
                  <c:v>18:30</c:v>
                </c:pt>
                <c:pt idx="170">
                  <c:v>18:45</c:v>
                </c:pt>
                <c:pt idx="171">
                  <c:v>19:00</c:v>
                </c:pt>
                <c:pt idx="172">
                  <c:v>19:15</c:v>
                </c:pt>
                <c:pt idx="173">
                  <c:v>19:30</c:v>
                </c:pt>
                <c:pt idx="174">
                  <c:v>19:45</c:v>
                </c:pt>
                <c:pt idx="175">
                  <c:v>20:00</c:v>
                </c:pt>
                <c:pt idx="176">
                  <c:v>20:15</c:v>
                </c:pt>
                <c:pt idx="177">
                  <c:v>20:30</c:v>
                </c:pt>
                <c:pt idx="178">
                  <c:v>20:45</c:v>
                </c:pt>
                <c:pt idx="179">
                  <c:v>21:00</c:v>
                </c:pt>
                <c:pt idx="180">
                  <c:v>21:15</c:v>
                </c:pt>
                <c:pt idx="181">
                  <c:v>21:30</c:v>
                </c:pt>
                <c:pt idx="182">
                  <c:v>21:45</c:v>
                </c:pt>
                <c:pt idx="183">
                  <c:v>22:00</c:v>
                </c:pt>
                <c:pt idx="184">
                  <c:v>22:15</c:v>
                </c:pt>
                <c:pt idx="185">
                  <c:v>22:30</c:v>
                </c:pt>
                <c:pt idx="186">
                  <c:v>22:45</c:v>
                </c:pt>
                <c:pt idx="187">
                  <c:v>23:00</c:v>
                </c:pt>
                <c:pt idx="188">
                  <c:v>23:15</c:v>
                </c:pt>
                <c:pt idx="189">
                  <c:v>23:30</c:v>
                </c:pt>
                <c:pt idx="190">
                  <c:v>23:45</c:v>
                </c:pt>
                <c:pt idx="191">
                  <c:v>24:00</c:v>
                </c:pt>
              </c:strCache>
            </c:strRef>
          </c:cat>
          <c:val>
            <c:numRef>
              <c:f>Sheet3!$B$2:$GK$2</c:f>
              <c:numCache>
                <c:formatCode>General</c:formatCode>
                <c:ptCount val="192"/>
                <c:pt idx="0">
                  <c:v>43120.55</c:v>
                </c:pt>
                <c:pt idx="1">
                  <c:v>41694.659999999996</c:v>
                </c:pt>
                <c:pt idx="2">
                  <c:v>41488.850000000006</c:v>
                </c:pt>
                <c:pt idx="3">
                  <c:v>41049.520000000004</c:v>
                </c:pt>
                <c:pt idx="4">
                  <c:v>40915.1</c:v>
                </c:pt>
                <c:pt idx="5">
                  <c:v>40663.39</c:v>
                </c:pt>
                <c:pt idx="6">
                  <c:v>40673.96</c:v>
                </c:pt>
                <c:pt idx="7">
                  <c:v>40356.899999999994</c:v>
                </c:pt>
                <c:pt idx="8">
                  <c:v>41531.08</c:v>
                </c:pt>
                <c:pt idx="9">
                  <c:v>41441.370000000003</c:v>
                </c:pt>
                <c:pt idx="10">
                  <c:v>41319.42</c:v>
                </c:pt>
                <c:pt idx="11">
                  <c:v>40937.130000000005</c:v>
                </c:pt>
                <c:pt idx="12">
                  <c:v>40677.94</c:v>
                </c:pt>
                <c:pt idx="13">
                  <c:v>40605.21</c:v>
                </c:pt>
                <c:pt idx="14">
                  <c:v>40450.560000000005</c:v>
                </c:pt>
                <c:pt idx="15">
                  <c:v>40254.71</c:v>
                </c:pt>
                <c:pt idx="16">
                  <c:v>40460.68</c:v>
                </c:pt>
                <c:pt idx="17">
                  <c:v>40547.769999999997</c:v>
                </c:pt>
                <c:pt idx="18">
                  <c:v>40848.660000000003</c:v>
                </c:pt>
                <c:pt idx="19">
                  <c:v>41338.269999999997</c:v>
                </c:pt>
                <c:pt idx="20">
                  <c:v>41682.11</c:v>
                </c:pt>
                <c:pt idx="21">
                  <c:v>41197.950000000004</c:v>
                </c:pt>
                <c:pt idx="22">
                  <c:v>40931.99</c:v>
                </c:pt>
                <c:pt idx="23">
                  <c:v>40531.090000000004</c:v>
                </c:pt>
                <c:pt idx="24">
                  <c:v>40743.389999999992</c:v>
                </c:pt>
                <c:pt idx="25">
                  <c:v>41675.570000000007</c:v>
                </c:pt>
                <c:pt idx="26">
                  <c:v>42762.939999999995</c:v>
                </c:pt>
                <c:pt idx="27">
                  <c:v>43505.920000000006</c:v>
                </c:pt>
                <c:pt idx="28">
                  <c:v>44088.24</c:v>
                </c:pt>
                <c:pt idx="29">
                  <c:v>43998.36</c:v>
                </c:pt>
                <c:pt idx="30">
                  <c:v>44207.420000000006</c:v>
                </c:pt>
                <c:pt idx="31">
                  <c:v>43208.86</c:v>
                </c:pt>
                <c:pt idx="32">
                  <c:v>41674.51</c:v>
                </c:pt>
                <c:pt idx="33">
                  <c:v>38636.36</c:v>
                </c:pt>
                <c:pt idx="34">
                  <c:v>35251.369999999995</c:v>
                </c:pt>
                <c:pt idx="35">
                  <c:v>32030.43</c:v>
                </c:pt>
                <c:pt idx="36">
                  <c:v>29087.46999999999</c:v>
                </c:pt>
                <c:pt idx="37">
                  <c:v>26439.279999999995</c:v>
                </c:pt>
                <c:pt idx="38">
                  <c:v>23581.129999999997</c:v>
                </c:pt>
                <c:pt idx="39">
                  <c:v>21462.28</c:v>
                </c:pt>
                <c:pt idx="40">
                  <c:v>20277.080000000002</c:v>
                </c:pt>
                <c:pt idx="41">
                  <c:v>19450.330000000002</c:v>
                </c:pt>
                <c:pt idx="42">
                  <c:v>18271.79</c:v>
                </c:pt>
                <c:pt idx="43">
                  <c:v>17028.030000000002</c:v>
                </c:pt>
                <c:pt idx="44">
                  <c:v>17095.060000000001</c:v>
                </c:pt>
                <c:pt idx="45">
                  <c:v>15113.429999999997</c:v>
                </c:pt>
                <c:pt idx="46">
                  <c:v>13942.14</c:v>
                </c:pt>
                <c:pt idx="47">
                  <c:v>11983.280000000006</c:v>
                </c:pt>
                <c:pt idx="48">
                  <c:v>11256.419999999998</c:v>
                </c:pt>
                <c:pt idx="49">
                  <c:v>11261.400000000001</c:v>
                </c:pt>
                <c:pt idx="50">
                  <c:v>12408.130000000005</c:v>
                </c:pt>
                <c:pt idx="51">
                  <c:v>13261.970000000001</c:v>
                </c:pt>
                <c:pt idx="52">
                  <c:v>15771.609999999999</c:v>
                </c:pt>
                <c:pt idx="53">
                  <c:v>17263.710000000003</c:v>
                </c:pt>
                <c:pt idx="54">
                  <c:v>18864.399999999998</c:v>
                </c:pt>
                <c:pt idx="55">
                  <c:v>19985.650000000001</c:v>
                </c:pt>
                <c:pt idx="56">
                  <c:v>22122.060000000005</c:v>
                </c:pt>
                <c:pt idx="57">
                  <c:v>24448.430000000008</c:v>
                </c:pt>
                <c:pt idx="58">
                  <c:v>26816.169999999995</c:v>
                </c:pt>
                <c:pt idx="59">
                  <c:v>28716.729999999996</c:v>
                </c:pt>
                <c:pt idx="60">
                  <c:v>31301.120000000006</c:v>
                </c:pt>
                <c:pt idx="61">
                  <c:v>34135.39</c:v>
                </c:pt>
                <c:pt idx="62">
                  <c:v>36482.660000000003</c:v>
                </c:pt>
                <c:pt idx="63">
                  <c:v>37214.080000000002</c:v>
                </c:pt>
                <c:pt idx="64">
                  <c:v>38460.89</c:v>
                </c:pt>
                <c:pt idx="65">
                  <c:v>40029.460000000006</c:v>
                </c:pt>
                <c:pt idx="66">
                  <c:v>41129.209999999992</c:v>
                </c:pt>
                <c:pt idx="67">
                  <c:v>41347.49</c:v>
                </c:pt>
                <c:pt idx="68">
                  <c:v>41289.96</c:v>
                </c:pt>
                <c:pt idx="69">
                  <c:v>40708.540000000008</c:v>
                </c:pt>
                <c:pt idx="70">
                  <c:v>39349.26</c:v>
                </c:pt>
                <c:pt idx="71">
                  <c:v>37493.870000000003</c:v>
                </c:pt>
                <c:pt idx="72">
                  <c:v>36072.289999999994</c:v>
                </c:pt>
                <c:pt idx="73">
                  <c:v>34892.250000000007</c:v>
                </c:pt>
                <c:pt idx="74">
                  <c:v>34331.090000000004</c:v>
                </c:pt>
                <c:pt idx="75">
                  <c:v>33380.240000000005</c:v>
                </c:pt>
                <c:pt idx="76">
                  <c:v>32816.969999999994</c:v>
                </c:pt>
                <c:pt idx="77">
                  <c:v>32369.510000000006</c:v>
                </c:pt>
                <c:pt idx="78">
                  <c:v>31770.69</c:v>
                </c:pt>
                <c:pt idx="79">
                  <c:v>31499.590000000004</c:v>
                </c:pt>
                <c:pt idx="80">
                  <c:v>31112.500000000007</c:v>
                </c:pt>
                <c:pt idx="81">
                  <c:v>30647.809999999994</c:v>
                </c:pt>
                <c:pt idx="82">
                  <c:v>30319.269999999997</c:v>
                </c:pt>
                <c:pt idx="83">
                  <c:v>30376.410000000003</c:v>
                </c:pt>
                <c:pt idx="84">
                  <c:v>30857.419999999995</c:v>
                </c:pt>
                <c:pt idx="85">
                  <c:v>30254.800000000003</c:v>
                </c:pt>
                <c:pt idx="86">
                  <c:v>29459.360000000001</c:v>
                </c:pt>
                <c:pt idx="87">
                  <c:v>28090.599999999995</c:v>
                </c:pt>
                <c:pt idx="88">
                  <c:v>26983.670000000002</c:v>
                </c:pt>
                <c:pt idx="89">
                  <c:v>26742.95</c:v>
                </c:pt>
                <c:pt idx="90">
                  <c:v>26718.09</c:v>
                </c:pt>
                <c:pt idx="91">
                  <c:v>26058.640000000003</c:v>
                </c:pt>
                <c:pt idx="92">
                  <c:v>26893.079999999998</c:v>
                </c:pt>
                <c:pt idx="93">
                  <c:v>25977.450000000004</c:v>
                </c:pt>
                <c:pt idx="94">
                  <c:v>24933.74</c:v>
                </c:pt>
                <c:pt idx="95">
                  <c:v>24081.510000000002</c:v>
                </c:pt>
                <c:pt idx="96">
                  <c:v>24353.79</c:v>
                </c:pt>
                <c:pt idx="97">
                  <c:v>24137.590000000004</c:v>
                </c:pt>
                <c:pt idx="98">
                  <c:v>23797.040000000005</c:v>
                </c:pt>
                <c:pt idx="99">
                  <c:v>23408.250000000004</c:v>
                </c:pt>
                <c:pt idx="100">
                  <c:v>23163.750000000004</c:v>
                </c:pt>
                <c:pt idx="101">
                  <c:v>22796.420000000002</c:v>
                </c:pt>
                <c:pt idx="102">
                  <c:v>22578.83</c:v>
                </c:pt>
                <c:pt idx="103">
                  <c:v>22409.54</c:v>
                </c:pt>
                <c:pt idx="104">
                  <c:v>23479.29</c:v>
                </c:pt>
                <c:pt idx="105">
                  <c:v>24100.100000000002</c:v>
                </c:pt>
                <c:pt idx="106">
                  <c:v>23932.829999999998</c:v>
                </c:pt>
                <c:pt idx="107">
                  <c:v>23842.480000000003</c:v>
                </c:pt>
                <c:pt idx="108">
                  <c:v>23647.070000000003</c:v>
                </c:pt>
                <c:pt idx="109">
                  <c:v>23829.660000000003</c:v>
                </c:pt>
                <c:pt idx="110">
                  <c:v>23795.119999999999</c:v>
                </c:pt>
                <c:pt idx="111">
                  <c:v>23985.14</c:v>
                </c:pt>
                <c:pt idx="112">
                  <c:v>24010.679999999997</c:v>
                </c:pt>
                <c:pt idx="113">
                  <c:v>24484.01</c:v>
                </c:pt>
                <c:pt idx="114">
                  <c:v>25217.86</c:v>
                </c:pt>
                <c:pt idx="115">
                  <c:v>25471.98</c:v>
                </c:pt>
                <c:pt idx="116">
                  <c:v>26421.85</c:v>
                </c:pt>
                <c:pt idx="117">
                  <c:v>26331.919999999998</c:v>
                </c:pt>
                <c:pt idx="118">
                  <c:v>26005.93</c:v>
                </c:pt>
                <c:pt idx="119">
                  <c:v>25795.789999999997</c:v>
                </c:pt>
                <c:pt idx="120">
                  <c:v>25905.83</c:v>
                </c:pt>
                <c:pt idx="121">
                  <c:v>27222.7</c:v>
                </c:pt>
                <c:pt idx="122">
                  <c:v>28182.289999999994</c:v>
                </c:pt>
                <c:pt idx="123">
                  <c:v>29191.35999999999</c:v>
                </c:pt>
                <c:pt idx="124">
                  <c:v>31098.44999999999</c:v>
                </c:pt>
                <c:pt idx="125">
                  <c:v>32530.650000000009</c:v>
                </c:pt>
                <c:pt idx="126">
                  <c:v>33333.61</c:v>
                </c:pt>
                <c:pt idx="127">
                  <c:v>33635.949999999997</c:v>
                </c:pt>
                <c:pt idx="128">
                  <c:v>32331.479999999996</c:v>
                </c:pt>
                <c:pt idx="129">
                  <c:v>30114.76</c:v>
                </c:pt>
                <c:pt idx="130">
                  <c:v>27709.209999999992</c:v>
                </c:pt>
                <c:pt idx="131">
                  <c:v>25281.4</c:v>
                </c:pt>
                <c:pt idx="132">
                  <c:v>22649.399999999994</c:v>
                </c:pt>
                <c:pt idx="133">
                  <c:v>20639.189999999999</c:v>
                </c:pt>
                <c:pt idx="134">
                  <c:v>18138.449999999997</c:v>
                </c:pt>
                <c:pt idx="135">
                  <c:v>17135.479999999996</c:v>
                </c:pt>
                <c:pt idx="136">
                  <c:v>16234.569999999998</c:v>
                </c:pt>
                <c:pt idx="137">
                  <c:v>15392.500000000002</c:v>
                </c:pt>
                <c:pt idx="138">
                  <c:v>14384.529999999997</c:v>
                </c:pt>
                <c:pt idx="139">
                  <c:v>13691.009999999998</c:v>
                </c:pt>
                <c:pt idx="140">
                  <c:v>14201.41</c:v>
                </c:pt>
                <c:pt idx="141">
                  <c:v>12231.380000000001</c:v>
                </c:pt>
                <c:pt idx="142">
                  <c:v>11271.599999999995</c:v>
                </c:pt>
                <c:pt idx="143">
                  <c:v>10152.129999999997</c:v>
                </c:pt>
                <c:pt idx="144">
                  <c:v>10157.609999999997</c:v>
                </c:pt>
                <c:pt idx="145">
                  <c:v>10026.210000000003</c:v>
                </c:pt>
                <c:pt idx="146">
                  <c:v>11222.589999999997</c:v>
                </c:pt>
                <c:pt idx="147">
                  <c:v>12856.340000000004</c:v>
                </c:pt>
                <c:pt idx="148">
                  <c:v>15494.380000000003</c:v>
                </c:pt>
                <c:pt idx="149">
                  <c:v>17520.810000000005</c:v>
                </c:pt>
                <c:pt idx="150">
                  <c:v>19305.46</c:v>
                </c:pt>
                <c:pt idx="151">
                  <c:v>21049.119999999999</c:v>
                </c:pt>
                <c:pt idx="152">
                  <c:v>23476.87</c:v>
                </c:pt>
                <c:pt idx="153">
                  <c:v>26320.080000000002</c:v>
                </c:pt>
                <c:pt idx="154">
                  <c:v>29044.82</c:v>
                </c:pt>
                <c:pt idx="155">
                  <c:v>31862.549999999992</c:v>
                </c:pt>
                <c:pt idx="156">
                  <c:v>34409.51</c:v>
                </c:pt>
                <c:pt idx="157">
                  <c:v>36751.520000000004</c:v>
                </c:pt>
                <c:pt idx="158">
                  <c:v>39569.640000000007</c:v>
                </c:pt>
                <c:pt idx="159">
                  <c:v>41582.819999999992</c:v>
                </c:pt>
                <c:pt idx="160">
                  <c:v>43728.579999999994</c:v>
                </c:pt>
                <c:pt idx="161">
                  <c:v>45881.919999999991</c:v>
                </c:pt>
                <c:pt idx="162">
                  <c:v>47671.39</c:v>
                </c:pt>
                <c:pt idx="163">
                  <c:v>47966.720000000008</c:v>
                </c:pt>
                <c:pt idx="164">
                  <c:v>48162.55</c:v>
                </c:pt>
                <c:pt idx="165">
                  <c:v>47900.069999999992</c:v>
                </c:pt>
                <c:pt idx="166">
                  <c:v>46450.27</c:v>
                </c:pt>
                <c:pt idx="167">
                  <c:v>44961.630000000005</c:v>
                </c:pt>
                <c:pt idx="168">
                  <c:v>43638.66</c:v>
                </c:pt>
                <c:pt idx="169">
                  <c:v>43164.320000000007</c:v>
                </c:pt>
                <c:pt idx="170">
                  <c:v>41879.08</c:v>
                </c:pt>
                <c:pt idx="171">
                  <c:v>41377.259999999995</c:v>
                </c:pt>
                <c:pt idx="172">
                  <c:v>40780.759999999995</c:v>
                </c:pt>
                <c:pt idx="173">
                  <c:v>40274.980000000003</c:v>
                </c:pt>
                <c:pt idx="174">
                  <c:v>39750.51999999999</c:v>
                </c:pt>
                <c:pt idx="175">
                  <c:v>39412.220000000008</c:v>
                </c:pt>
                <c:pt idx="176">
                  <c:v>39362.25</c:v>
                </c:pt>
                <c:pt idx="177">
                  <c:v>39122.959999999999</c:v>
                </c:pt>
                <c:pt idx="178">
                  <c:v>39031.43</c:v>
                </c:pt>
                <c:pt idx="179">
                  <c:v>38865.819999999992</c:v>
                </c:pt>
                <c:pt idx="180">
                  <c:v>39512.879999999997</c:v>
                </c:pt>
                <c:pt idx="181">
                  <c:v>38885.81</c:v>
                </c:pt>
                <c:pt idx="182">
                  <c:v>37978.449999999997</c:v>
                </c:pt>
                <c:pt idx="183">
                  <c:v>37102.22</c:v>
                </c:pt>
                <c:pt idx="184">
                  <c:v>36073.919999999998</c:v>
                </c:pt>
                <c:pt idx="185">
                  <c:v>36304.58</c:v>
                </c:pt>
                <c:pt idx="186">
                  <c:v>35990.14</c:v>
                </c:pt>
                <c:pt idx="187">
                  <c:v>35856.679999999993</c:v>
                </c:pt>
                <c:pt idx="188">
                  <c:v>36493.800000000003</c:v>
                </c:pt>
                <c:pt idx="189">
                  <c:v>35640.21</c:v>
                </c:pt>
                <c:pt idx="190">
                  <c:v>35102.44</c:v>
                </c:pt>
                <c:pt idx="191">
                  <c:v>34308.07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4-47D2-8687-5042BD7E3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124336"/>
        <c:axId val="1022642128"/>
      </c:lineChart>
      <c:catAx>
        <c:axId val="102712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2642128"/>
        <c:crosses val="autoZero"/>
        <c:auto val="1"/>
        <c:lblAlgn val="ctr"/>
        <c:lblOffset val="100"/>
        <c:noMultiLvlLbl val="0"/>
      </c:catAx>
      <c:valAx>
        <c:axId val="102264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712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8</xdr:row>
      <xdr:rowOff>129540</xdr:rowOff>
    </xdr:from>
    <xdr:to>
      <xdr:col>18</xdr:col>
      <xdr:colOff>556260</xdr:colOff>
      <xdr:row>24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5B67362-AE25-4581-905F-2A831FA4D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99060</xdr:colOff>
      <xdr:row>5</xdr:row>
      <xdr:rowOff>99060</xdr:rowOff>
    </xdr:from>
    <xdr:to>
      <xdr:col>93</xdr:col>
      <xdr:colOff>121920</xdr:colOff>
      <xdr:row>21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A21AD08-B7AD-40F8-9EE3-D190D973D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S28"/>
  <sheetViews>
    <sheetView tabSelected="1" workbookViewId="0">
      <selection activeCell="A7" sqref="A7"/>
    </sheetView>
  </sheetViews>
  <sheetFormatPr defaultRowHeight="13.8" x14ac:dyDescent="0.25"/>
  <cols>
    <col min="1" max="1" width="16.109375" bestFit="1" customWidth="1"/>
  </cols>
  <sheetData>
    <row r="2" spans="1:97" ht="37.049999999999997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</row>
    <row r="3" spans="1:97" ht="27.6" x14ac:dyDescent="0.25">
      <c r="A3" s="2" t="s">
        <v>451</v>
      </c>
      <c r="B3" s="2" t="s">
        <v>110</v>
      </c>
      <c r="C3" s="2" t="s">
        <v>111</v>
      </c>
      <c r="D3" s="2" t="s">
        <v>112</v>
      </c>
      <c r="E3" s="2" t="s">
        <v>113</v>
      </c>
      <c r="F3" s="2" t="s">
        <v>114</v>
      </c>
      <c r="G3" s="2" t="s">
        <v>115</v>
      </c>
      <c r="H3" s="2" t="s">
        <v>116</v>
      </c>
      <c r="I3" s="2" t="s">
        <v>117</v>
      </c>
      <c r="J3" s="2" t="s">
        <v>118</v>
      </c>
      <c r="K3" s="2" t="s">
        <v>119</v>
      </c>
      <c r="L3" s="2" t="s">
        <v>120</v>
      </c>
      <c r="M3" s="2" t="s">
        <v>120</v>
      </c>
      <c r="N3" s="2" t="s">
        <v>121</v>
      </c>
      <c r="O3" s="2" t="s">
        <v>122</v>
      </c>
      <c r="P3" s="2" t="s">
        <v>123</v>
      </c>
      <c r="Q3" s="2" t="s">
        <v>124</v>
      </c>
      <c r="R3" s="2" t="s">
        <v>119</v>
      </c>
      <c r="S3" s="2" t="s">
        <v>125</v>
      </c>
      <c r="T3" s="2" t="s">
        <v>126</v>
      </c>
      <c r="U3" s="2" t="s">
        <v>127</v>
      </c>
      <c r="V3" s="2" t="s">
        <v>128</v>
      </c>
      <c r="W3" s="2" t="s">
        <v>129</v>
      </c>
      <c r="X3" s="2" t="s">
        <v>130</v>
      </c>
      <c r="Y3" s="2" t="s">
        <v>131</v>
      </c>
      <c r="Z3" s="2" t="s">
        <v>132</v>
      </c>
      <c r="AA3" s="2" t="s">
        <v>133</v>
      </c>
      <c r="AB3" s="2" t="s">
        <v>134</v>
      </c>
      <c r="AC3" s="2" t="s">
        <v>135</v>
      </c>
      <c r="AD3" s="2" t="s">
        <v>136</v>
      </c>
      <c r="AE3" s="2" t="s">
        <v>137</v>
      </c>
      <c r="AF3" s="2" t="s">
        <v>138</v>
      </c>
      <c r="AG3" s="2" t="s">
        <v>139</v>
      </c>
      <c r="AH3" s="2" t="s">
        <v>140</v>
      </c>
      <c r="AI3" s="2" t="s">
        <v>141</v>
      </c>
      <c r="AJ3" s="2" t="s">
        <v>142</v>
      </c>
      <c r="AK3" s="2" t="s">
        <v>143</v>
      </c>
      <c r="AL3" s="2" t="s">
        <v>144</v>
      </c>
      <c r="AM3" s="2" t="s">
        <v>145</v>
      </c>
      <c r="AN3" s="2" t="s">
        <v>146</v>
      </c>
      <c r="AO3" s="2" t="s">
        <v>147</v>
      </c>
      <c r="AP3" s="2" t="s">
        <v>148</v>
      </c>
      <c r="AQ3" s="2" t="s">
        <v>149</v>
      </c>
      <c r="AR3" s="2" t="s">
        <v>150</v>
      </c>
      <c r="AS3" s="2" t="s">
        <v>151</v>
      </c>
      <c r="AT3" s="2" t="s">
        <v>152</v>
      </c>
      <c r="AU3" s="2" t="s">
        <v>153</v>
      </c>
      <c r="AV3" s="2" t="s">
        <v>154</v>
      </c>
      <c r="AW3" s="2" t="s">
        <v>155</v>
      </c>
      <c r="AX3" s="2" t="s">
        <v>156</v>
      </c>
      <c r="AY3" s="2" t="s">
        <v>157</v>
      </c>
      <c r="AZ3" s="2" t="s">
        <v>158</v>
      </c>
      <c r="BA3" s="2" t="s">
        <v>159</v>
      </c>
      <c r="BB3" s="2" t="s">
        <v>160</v>
      </c>
      <c r="BC3" s="2" t="s">
        <v>161</v>
      </c>
      <c r="BD3" s="2" t="s">
        <v>162</v>
      </c>
      <c r="BE3" s="2" t="s">
        <v>163</v>
      </c>
      <c r="BF3" s="2" t="s">
        <v>164</v>
      </c>
      <c r="BG3" s="2" t="s">
        <v>165</v>
      </c>
      <c r="BH3" s="2" t="s">
        <v>166</v>
      </c>
      <c r="BI3" s="2" t="s">
        <v>167</v>
      </c>
      <c r="BJ3" s="2" t="s">
        <v>168</v>
      </c>
      <c r="BK3" s="2" t="s">
        <v>169</v>
      </c>
      <c r="BL3" s="2" t="s">
        <v>170</v>
      </c>
      <c r="BM3" s="2" t="s">
        <v>171</v>
      </c>
      <c r="BN3" s="2" t="s">
        <v>172</v>
      </c>
      <c r="BO3" s="2" t="s">
        <v>173</v>
      </c>
      <c r="BP3" s="2" t="s">
        <v>174</v>
      </c>
      <c r="BQ3" s="2" t="s">
        <v>175</v>
      </c>
      <c r="BR3" s="2" t="s">
        <v>176</v>
      </c>
      <c r="BS3" s="2" t="s">
        <v>177</v>
      </c>
      <c r="BT3" s="2" t="s">
        <v>178</v>
      </c>
      <c r="BU3" s="2" t="s">
        <v>179</v>
      </c>
      <c r="BV3" s="2" t="s">
        <v>180</v>
      </c>
      <c r="BW3" s="2" t="s">
        <v>181</v>
      </c>
      <c r="BX3" s="2" t="s">
        <v>182</v>
      </c>
      <c r="BY3" s="2" t="s">
        <v>183</v>
      </c>
      <c r="BZ3" s="2" t="s">
        <v>184</v>
      </c>
      <c r="CA3" s="2" t="s">
        <v>185</v>
      </c>
      <c r="CB3" s="2" t="s">
        <v>186</v>
      </c>
      <c r="CC3" s="2" t="s">
        <v>187</v>
      </c>
      <c r="CD3" s="2" t="s">
        <v>188</v>
      </c>
      <c r="CE3" s="2" t="s">
        <v>189</v>
      </c>
      <c r="CF3" s="2" t="s">
        <v>190</v>
      </c>
      <c r="CG3" s="2" t="s">
        <v>191</v>
      </c>
      <c r="CH3" s="2" t="s">
        <v>192</v>
      </c>
      <c r="CI3" s="2" t="s">
        <v>193</v>
      </c>
      <c r="CJ3" s="2" t="s">
        <v>194</v>
      </c>
      <c r="CK3" s="2" t="s">
        <v>195</v>
      </c>
      <c r="CL3" s="2" t="s">
        <v>196</v>
      </c>
      <c r="CM3" s="2" t="s">
        <v>197</v>
      </c>
      <c r="CN3" s="2" t="s">
        <v>198</v>
      </c>
      <c r="CO3" s="2" t="s">
        <v>199</v>
      </c>
      <c r="CP3" s="2" t="s">
        <v>200</v>
      </c>
      <c r="CQ3" s="2" t="s">
        <v>201</v>
      </c>
      <c r="CR3" s="2" t="s">
        <v>202</v>
      </c>
      <c r="CS3" s="2" t="s">
        <v>203</v>
      </c>
    </row>
    <row r="4" spans="1:97" x14ac:dyDescent="0.25">
      <c r="A4" s="2" t="s">
        <v>452</v>
      </c>
      <c r="B4" s="2" t="s">
        <v>204</v>
      </c>
      <c r="C4" s="2" t="s">
        <v>205</v>
      </c>
      <c r="D4" s="2" t="s">
        <v>206</v>
      </c>
      <c r="E4" s="2" t="s">
        <v>207</v>
      </c>
      <c r="F4" s="2" t="s">
        <v>208</v>
      </c>
      <c r="G4" s="2" t="s">
        <v>209</v>
      </c>
      <c r="H4" s="2" t="s">
        <v>210</v>
      </c>
      <c r="I4" s="2" t="s">
        <v>211</v>
      </c>
      <c r="J4" s="2" t="s">
        <v>212</v>
      </c>
      <c r="K4" s="2" t="s">
        <v>213</v>
      </c>
      <c r="L4" s="2" t="s">
        <v>214</v>
      </c>
      <c r="M4" s="2" t="s">
        <v>215</v>
      </c>
      <c r="N4" s="2" t="s">
        <v>215</v>
      </c>
      <c r="O4" s="2" t="s">
        <v>216</v>
      </c>
      <c r="P4" s="2" t="s">
        <v>217</v>
      </c>
      <c r="Q4" s="2" t="s">
        <v>218</v>
      </c>
      <c r="R4" s="2" t="s">
        <v>219</v>
      </c>
      <c r="S4" s="2" t="s">
        <v>220</v>
      </c>
      <c r="T4" s="2" t="s">
        <v>221</v>
      </c>
      <c r="U4" s="2" t="s">
        <v>222</v>
      </c>
      <c r="V4" s="2" t="s">
        <v>223</v>
      </c>
      <c r="W4" s="2" t="s">
        <v>224</v>
      </c>
      <c r="X4" s="2" t="s">
        <v>225</v>
      </c>
      <c r="Y4" s="2" t="s">
        <v>226</v>
      </c>
      <c r="Z4" s="2" t="s">
        <v>227</v>
      </c>
      <c r="AA4" s="2" t="s">
        <v>228</v>
      </c>
      <c r="AB4" s="2" t="s">
        <v>229</v>
      </c>
      <c r="AC4" s="2" t="s">
        <v>230</v>
      </c>
      <c r="AD4" s="2" t="s">
        <v>231</v>
      </c>
      <c r="AE4" s="2" t="s">
        <v>232</v>
      </c>
      <c r="AF4" s="2" t="s">
        <v>233</v>
      </c>
      <c r="AG4" s="2" t="s">
        <v>234</v>
      </c>
      <c r="AH4" s="2" t="s">
        <v>235</v>
      </c>
      <c r="AI4" s="2" t="s">
        <v>236</v>
      </c>
      <c r="AJ4" s="2" t="s">
        <v>237</v>
      </c>
      <c r="AK4" s="2" t="s">
        <v>238</v>
      </c>
      <c r="AL4" s="2" t="s">
        <v>239</v>
      </c>
      <c r="AM4" s="2" t="s">
        <v>240</v>
      </c>
      <c r="AN4" s="2" t="s">
        <v>241</v>
      </c>
      <c r="AO4" s="2" t="s">
        <v>242</v>
      </c>
      <c r="AP4" s="2" t="s">
        <v>243</v>
      </c>
      <c r="AQ4" s="2" t="s">
        <v>244</v>
      </c>
      <c r="AR4" s="2" t="s">
        <v>245</v>
      </c>
      <c r="AS4" s="2" t="s">
        <v>246</v>
      </c>
      <c r="AT4" s="2" t="s">
        <v>247</v>
      </c>
      <c r="AU4" s="2" t="s">
        <v>247</v>
      </c>
      <c r="AV4" s="2" t="s">
        <v>247</v>
      </c>
      <c r="AW4" s="2" t="s">
        <v>247</v>
      </c>
      <c r="AX4" s="2" t="s">
        <v>247</v>
      </c>
      <c r="AY4" s="2" t="s">
        <v>248</v>
      </c>
      <c r="AZ4" s="2" t="s">
        <v>249</v>
      </c>
      <c r="BA4" s="2" t="s">
        <v>250</v>
      </c>
      <c r="BB4" s="2" t="s">
        <v>251</v>
      </c>
      <c r="BC4" s="2" t="s">
        <v>252</v>
      </c>
      <c r="BD4" s="2" t="s">
        <v>253</v>
      </c>
      <c r="BE4" s="2" t="s">
        <v>254</v>
      </c>
      <c r="BF4" s="2" t="s">
        <v>255</v>
      </c>
      <c r="BG4" s="2" t="s">
        <v>256</v>
      </c>
      <c r="BH4" s="2" t="s">
        <v>257</v>
      </c>
      <c r="BI4" s="2" t="s">
        <v>258</v>
      </c>
      <c r="BJ4" s="2" t="s">
        <v>259</v>
      </c>
      <c r="BK4" s="2" t="s">
        <v>260</v>
      </c>
      <c r="BL4" s="2" t="s">
        <v>261</v>
      </c>
      <c r="BM4" s="2" t="s">
        <v>262</v>
      </c>
      <c r="BN4" s="2" t="s">
        <v>263</v>
      </c>
      <c r="BO4" s="2" t="s">
        <v>264</v>
      </c>
      <c r="BP4" s="2" t="s">
        <v>265</v>
      </c>
      <c r="BQ4" s="2" t="s">
        <v>266</v>
      </c>
      <c r="BR4" s="2" t="s">
        <v>267</v>
      </c>
      <c r="BS4" s="2" t="s">
        <v>268</v>
      </c>
      <c r="BT4" s="2" t="s">
        <v>268</v>
      </c>
      <c r="BU4" s="2" t="s">
        <v>269</v>
      </c>
      <c r="BV4" s="2" t="s">
        <v>270</v>
      </c>
      <c r="BW4" s="2" t="s">
        <v>271</v>
      </c>
      <c r="BX4" s="2" t="s">
        <v>272</v>
      </c>
      <c r="BY4" s="2" t="s">
        <v>273</v>
      </c>
      <c r="BZ4" s="2" t="s">
        <v>274</v>
      </c>
      <c r="CA4" s="2" t="s">
        <v>275</v>
      </c>
      <c r="CB4" s="2" t="s">
        <v>276</v>
      </c>
      <c r="CC4" s="2" t="s">
        <v>277</v>
      </c>
      <c r="CD4" s="2" t="s">
        <v>278</v>
      </c>
      <c r="CE4" s="2" t="s">
        <v>279</v>
      </c>
      <c r="CF4" s="2" t="s">
        <v>280</v>
      </c>
      <c r="CG4" s="2" t="s">
        <v>281</v>
      </c>
      <c r="CH4" s="2" t="s">
        <v>282</v>
      </c>
      <c r="CI4" s="2" t="s">
        <v>283</v>
      </c>
      <c r="CJ4" s="2" t="s">
        <v>284</v>
      </c>
      <c r="CK4" s="2" t="s">
        <v>285</v>
      </c>
      <c r="CL4" s="2" t="s">
        <v>286</v>
      </c>
      <c r="CM4" s="2" t="s">
        <v>287</v>
      </c>
      <c r="CN4" s="2" t="s">
        <v>288</v>
      </c>
      <c r="CO4" s="2" t="s">
        <v>289</v>
      </c>
      <c r="CP4" s="2" t="s">
        <v>290</v>
      </c>
      <c r="CQ4" s="2" t="s">
        <v>291</v>
      </c>
      <c r="CR4" s="2" t="s">
        <v>292</v>
      </c>
      <c r="CS4" s="2" t="s">
        <v>293</v>
      </c>
    </row>
    <row r="5" spans="1:97" x14ac:dyDescent="0.25">
      <c r="A5" s="2" t="s">
        <v>453</v>
      </c>
      <c r="B5" s="2" t="s">
        <v>294</v>
      </c>
      <c r="C5" s="2" t="s">
        <v>295</v>
      </c>
      <c r="D5" s="2" t="s">
        <v>296</v>
      </c>
      <c r="E5" s="2" t="s">
        <v>297</v>
      </c>
      <c r="F5" s="2" t="s">
        <v>298</v>
      </c>
      <c r="G5" s="2" t="s">
        <v>299</v>
      </c>
      <c r="H5" s="2" t="s">
        <v>300</v>
      </c>
      <c r="I5" s="2" t="s">
        <v>301</v>
      </c>
      <c r="J5" s="2" t="s">
        <v>302</v>
      </c>
      <c r="K5" s="2" t="s">
        <v>303</v>
      </c>
      <c r="L5" s="2" t="s">
        <v>304</v>
      </c>
      <c r="M5" s="2" t="s">
        <v>305</v>
      </c>
      <c r="N5" s="2" t="s">
        <v>306</v>
      </c>
      <c r="O5" s="2" t="s">
        <v>307</v>
      </c>
      <c r="P5" s="2" t="s">
        <v>308</v>
      </c>
      <c r="Q5" s="2" t="s">
        <v>309</v>
      </c>
      <c r="R5" s="2" t="s">
        <v>310</v>
      </c>
      <c r="S5" s="2" t="s">
        <v>311</v>
      </c>
      <c r="T5" s="2" t="s">
        <v>312</v>
      </c>
      <c r="U5" s="2" t="s">
        <v>313</v>
      </c>
      <c r="V5" s="2" t="s">
        <v>314</v>
      </c>
      <c r="W5" s="2" t="s">
        <v>315</v>
      </c>
      <c r="X5" s="2" t="s">
        <v>316</v>
      </c>
      <c r="Y5" s="2" t="s">
        <v>317</v>
      </c>
      <c r="Z5" s="2" t="s">
        <v>318</v>
      </c>
      <c r="AA5" s="2" t="s">
        <v>319</v>
      </c>
      <c r="AB5" s="2" t="s">
        <v>320</v>
      </c>
      <c r="AC5" s="2" t="s">
        <v>321</v>
      </c>
      <c r="AD5" s="2" t="s">
        <v>322</v>
      </c>
      <c r="AE5" s="2" t="s">
        <v>323</v>
      </c>
      <c r="AF5" s="2" t="s">
        <v>324</v>
      </c>
      <c r="AG5" s="2" t="s">
        <v>325</v>
      </c>
      <c r="AH5" s="2" t="s">
        <v>326</v>
      </c>
      <c r="AI5" s="2" t="s">
        <v>327</v>
      </c>
      <c r="AJ5" s="2" t="s">
        <v>328</v>
      </c>
      <c r="AK5" s="2" t="s">
        <v>329</v>
      </c>
      <c r="AL5" s="2" t="s">
        <v>330</v>
      </c>
      <c r="AM5" s="2" t="s">
        <v>331</v>
      </c>
      <c r="AN5" s="2" t="s">
        <v>332</v>
      </c>
      <c r="AO5" s="2" t="s">
        <v>333</v>
      </c>
      <c r="AP5" s="2" t="s">
        <v>334</v>
      </c>
      <c r="AQ5" s="2" t="s">
        <v>335</v>
      </c>
      <c r="AR5" s="2" t="s">
        <v>336</v>
      </c>
      <c r="AS5" s="2" t="s">
        <v>337</v>
      </c>
      <c r="AT5" s="2" t="s">
        <v>338</v>
      </c>
      <c r="AU5" s="2" t="s">
        <v>339</v>
      </c>
      <c r="AV5" s="2" t="s">
        <v>340</v>
      </c>
      <c r="AW5" s="2" t="s">
        <v>341</v>
      </c>
      <c r="AX5" s="2" t="s">
        <v>342</v>
      </c>
      <c r="AY5" s="2" t="s">
        <v>343</v>
      </c>
      <c r="AZ5" s="2" t="s">
        <v>344</v>
      </c>
      <c r="BA5" s="2" t="s">
        <v>345</v>
      </c>
      <c r="BB5" s="2" t="s">
        <v>346</v>
      </c>
      <c r="BC5" s="2" t="s">
        <v>347</v>
      </c>
      <c r="BD5" s="2" t="s">
        <v>348</v>
      </c>
      <c r="BE5" s="2" t="s">
        <v>349</v>
      </c>
      <c r="BF5" s="2" t="s">
        <v>350</v>
      </c>
      <c r="BG5" s="2" t="s">
        <v>351</v>
      </c>
      <c r="BH5" s="2" t="s">
        <v>352</v>
      </c>
      <c r="BI5" s="2" t="s">
        <v>353</v>
      </c>
      <c r="BJ5" s="2" t="s">
        <v>354</v>
      </c>
      <c r="BK5" s="2" t="s">
        <v>355</v>
      </c>
      <c r="BL5" s="2" t="s">
        <v>356</v>
      </c>
      <c r="BM5" s="2" t="s">
        <v>357</v>
      </c>
      <c r="BN5" s="2" t="s">
        <v>358</v>
      </c>
      <c r="BO5" s="2" t="s">
        <v>359</v>
      </c>
      <c r="BP5" s="2" t="s">
        <v>360</v>
      </c>
      <c r="BQ5" s="2" t="s">
        <v>361</v>
      </c>
      <c r="BR5" s="2" t="s">
        <v>362</v>
      </c>
      <c r="BS5" s="2" t="s">
        <v>363</v>
      </c>
      <c r="BT5" s="2" t="s">
        <v>364</v>
      </c>
      <c r="BU5" s="2" t="s">
        <v>365</v>
      </c>
      <c r="BV5" s="2" t="s">
        <v>366</v>
      </c>
      <c r="BW5" s="2" t="s">
        <v>367</v>
      </c>
      <c r="BX5" s="2" t="s">
        <v>368</v>
      </c>
      <c r="BY5" s="2" t="s">
        <v>369</v>
      </c>
      <c r="BZ5" s="2" t="s">
        <v>370</v>
      </c>
      <c r="CA5" s="2" t="s">
        <v>371</v>
      </c>
      <c r="CB5" s="2" t="s">
        <v>372</v>
      </c>
      <c r="CC5" s="2" t="s">
        <v>373</v>
      </c>
      <c r="CD5" s="2" t="s">
        <v>374</v>
      </c>
      <c r="CE5" s="2" t="s">
        <v>375</v>
      </c>
      <c r="CF5" s="2" t="s">
        <v>376</v>
      </c>
      <c r="CG5" s="2" t="s">
        <v>377</v>
      </c>
      <c r="CH5" s="2" t="s">
        <v>378</v>
      </c>
      <c r="CI5" s="2" t="s">
        <v>379</v>
      </c>
      <c r="CJ5" s="2" t="s">
        <v>380</v>
      </c>
      <c r="CK5" s="2" t="s">
        <v>381</v>
      </c>
      <c r="CL5" s="2" t="s">
        <v>382</v>
      </c>
      <c r="CM5" s="2" t="s">
        <v>383</v>
      </c>
      <c r="CN5" s="2" t="s">
        <v>384</v>
      </c>
      <c r="CO5" s="2" t="s">
        <v>385</v>
      </c>
      <c r="CP5" s="2" t="s">
        <v>386</v>
      </c>
      <c r="CQ5" s="2" t="s">
        <v>387</v>
      </c>
      <c r="CR5" s="2" t="s">
        <v>388</v>
      </c>
      <c r="CS5" s="2" t="s">
        <v>389</v>
      </c>
    </row>
    <row r="6" spans="1:97" x14ac:dyDescent="0.25">
      <c r="A6" s="2" t="s">
        <v>454</v>
      </c>
      <c r="B6" s="2" t="s">
        <v>107</v>
      </c>
      <c r="C6" s="2" t="s">
        <v>107</v>
      </c>
      <c r="D6" s="2" t="s">
        <v>107</v>
      </c>
      <c r="E6" s="2" t="s">
        <v>107</v>
      </c>
      <c r="F6" s="2" t="s">
        <v>107</v>
      </c>
      <c r="G6" s="2" t="s">
        <v>107</v>
      </c>
      <c r="H6" s="2" t="s">
        <v>107</v>
      </c>
      <c r="I6" s="2" t="s">
        <v>107</v>
      </c>
      <c r="J6" s="2" t="s">
        <v>107</v>
      </c>
      <c r="K6" s="2" t="s">
        <v>107</v>
      </c>
      <c r="L6" s="2" t="s">
        <v>107</v>
      </c>
      <c r="M6" s="2" t="s">
        <v>107</v>
      </c>
      <c r="N6" s="2" t="s">
        <v>107</v>
      </c>
      <c r="O6" s="2" t="s">
        <v>107</v>
      </c>
      <c r="P6" s="2" t="s">
        <v>107</v>
      </c>
      <c r="Q6" s="2" t="s">
        <v>107</v>
      </c>
      <c r="R6" s="2" t="s">
        <v>108</v>
      </c>
      <c r="S6" s="2" t="s">
        <v>390</v>
      </c>
      <c r="T6" s="2" t="s">
        <v>391</v>
      </c>
      <c r="U6" s="2" t="s">
        <v>392</v>
      </c>
      <c r="V6" s="2" t="s">
        <v>393</v>
      </c>
      <c r="W6" s="2" t="s">
        <v>394</v>
      </c>
      <c r="X6" s="2" t="s">
        <v>395</v>
      </c>
      <c r="Y6" s="2" t="s">
        <v>396</v>
      </c>
      <c r="Z6" s="2" t="s">
        <v>397</v>
      </c>
      <c r="AA6" s="2" t="s">
        <v>398</v>
      </c>
      <c r="AB6" s="2" t="s">
        <v>399</v>
      </c>
      <c r="AC6" s="2" t="s">
        <v>400</v>
      </c>
      <c r="AD6" s="2" t="s">
        <v>401</v>
      </c>
      <c r="AE6" s="2" t="s">
        <v>402</v>
      </c>
      <c r="AF6" s="2" t="s">
        <v>403</v>
      </c>
      <c r="AG6" s="2" t="s">
        <v>404</v>
      </c>
      <c r="AH6" s="2" t="s">
        <v>405</v>
      </c>
      <c r="AI6" s="2" t="s">
        <v>406</v>
      </c>
      <c r="AJ6" s="2" t="s">
        <v>407</v>
      </c>
      <c r="AK6" s="2" t="s">
        <v>408</v>
      </c>
      <c r="AL6" s="2" t="s">
        <v>409</v>
      </c>
      <c r="AM6" s="2" t="s">
        <v>410</v>
      </c>
      <c r="AN6" s="2" t="s">
        <v>411</v>
      </c>
      <c r="AO6" s="2" t="s">
        <v>412</v>
      </c>
      <c r="AP6" s="2" t="s">
        <v>413</v>
      </c>
      <c r="AQ6" s="2" t="s">
        <v>414</v>
      </c>
      <c r="AR6" s="2" t="s">
        <v>415</v>
      </c>
      <c r="AS6" s="2" t="s">
        <v>416</v>
      </c>
      <c r="AT6" s="2" t="s">
        <v>417</v>
      </c>
      <c r="AU6" s="2" t="s">
        <v>418</v>
      </c>
      <c r="AV6" s="2" t="s">
        <v>419</v>
      </c>
      <c r="AW6" s="2" t="s">
        <v>420</v>
      </c>
      <c r="AX6" s="2" t="s">
        <v>421</v>
      </c>
      <c r="AY6" s="2" t="s">
        <v>422</v>
      </c>
      <c r="AZ6" s="2" t="s">
        <v>423</v>
      </c>
      <c r="BA6" s="2" t="s">
        <v>424</v>
      </c>
      <c r="BB6" s="2" t="s">
        <v>425</v>
      </c>
      <c r="BC6" s="2" t="s">
        <v>426</v>
      </c>
      <c r="BD6" s="2" t="s">
        <v>427</v>
      </c>
      <c r="BE6" s="2" t="s">
        <v>428</v>
      </c>
      <c r="BF6" s="2" t="s">
        <v>429</v>
      </c>
      <c r="BG6" s="2" t="s">
        <v>430</v>
      </c>
      <c r="BH6" s="2" t="s">
        <v>431</v>
      </c>
      <c r="BI6" s="2" t="s">
        <v>432</v>
      </c>
      <c r="BJ6" s="2" t="s">
        <v>433</v>
      </c>
      <c r="BK6" s="2" t="s">
        <v>434</v>
      </c>
      <c r="BL6" s="2" t="s">
        <v>435</v>
      </c>
      <c r="BM6" s="2" t="s">
        <v>436</v>
      </c>
      <c r="BN6" s="2" t="s">
        <v>437</v>
      </c>
      <c r="BO6" s="2" t="s">
        <v>438</v>
      </c>
      <c r="BP6" s="2" t="s">
        <v>439</v>
      </c>
      <c r="BQ6" s="2" t="s">
        <v>440</v>
      </c>
      <c r="BR6" s="2" t="s">
        <v>441</v>
      </c>
      <c r="BS6" s="2" t="s">
        <v>442</v>
      </c>
      <c r="BT6" s="2" t="s">
        <v>443</v>
      </c>
      <c r="BU6" s="2" t="s">
        <v>444</v>
      </c>
      <c r="BV6" s="2" t="s">
        <v>445</v>
      </c>
      <c r="BW6" s="2" t="s">
        <v>446</v>
      </c>
      <c r="BX6" s="2" t="s">
        <v>447</v>
      </c>
      <c r="BY6" s="2" t="s">
        <v>448</v>
      </c>
      <c r="BZ6" s="2" t="s">
        <v>449</v>
      </c>
      <c r="CA6" s="2" t="s">
        <v>450</v>
      </c>
      <c r="CB6" s="2" t="s">
        <v>109</v>
      </c>
      <c r="CC6" s="2" t="s">
        <v>107</v>
      </c>
      <c r="CD6" s="2" t="s">
        <v>107</v>
      </c>
      <c r="CE6" s="2" t="s">
        <v>107</v>
      </c>
      <c r="CF6" s="2" t="s">
        <v>107</v>
      </c>
      <c r="CG6" s="2" t="s">
        <v>107</v>
      </c>
      <c r="CH6" s="2" t="s">
        <v>107</v>
      </c>
      <c r="CI6" s="2" t="s">
        <v>107</v>
      </c>
      <c r="CJ6" s="2" t="s">
        <v>107</v>
      </c>
      <c r="CK6" s="2" t="s">
        <v>107</v>
      </c>
      <c r="CL6" s="2" t="s">
        <v>107</v>
      </c>
      <c r="CM6" s="2" t="s">
        <v>107</v>
      </c>
      <c r="CN6" s="2" t="s">
        <v>107</v>
      </c>
      <c r="CO6" s="2" t="s">
        <v>107</v>
      </c>
      <c r="CP6" s="2" t="s">
        <v>107</v>
      </c>
      <c r="CQ6" s="2" t="s">
        <v>107</v>
      </c>
      <c r="CR6" s="2" t="s">
        <v>107</v>
      </c>
      <c r="CS6" s="2" t="s">
        <v>107</v>
      </c>
    </row>
    <row r="7" spans="1:97" x14ac:dyDescent="0.25">
      <c r="A7" s="3" t="s">
        <v>97</v>
      </c>
      <c r="B7">
        <f>B3-B4-B5-B6</f>
        <v>25621.270000000004</v>
      </c>
      <c r="C7">
        <f t="shared" ref="C7:BN7" si="0">C3-C4-C5-C6</f>
        <v>25283.01</v>
      </c>
      <c r="D7">
        <f t="shared" si="0"/>
        <v>24804.449999999997</v>
      </c>
      <c r="E7">
        <f t="shared" si="0"/>
        <v>24319.15</v>
      </c>
      <c r="F7">
        <f t="shared" si="0"/>
        <v>24053.329999999998</v>
      </c>
      <c r="G7">
        <f t="shared" si="0"/>
        <v>23685.57</v>
      </c>
      <c r="H7">
        <f t="shared" si="0"/>
        <v>23471.920000000002</v>
      </c>
      <c r="I7">
        <f t="shared" si="0"/>
        <v>23169.81</v>
      </c>
      <c r="J7">
        <f t="shared" si="0"/>
        <v>22916.229999999996</v>
      </c>
      <c r="K7">
        <f t="shared" si="0"/>
        <v>22666.699999999997</v>
      </c>
      <c r="L7">
        <f t="shared" si="0"/>
        <v>22724.530000000002</v>
      </c>
      <c r="M7">
        <f t="shared" si="0"/>
        <v>22828.190000000002</v>
      </c>
      <c r="N7">
        <f t="shared" si="0"/>
        <v>22844.32</v>
      </c>
      <c r="O7">
        <f t="shared" si="0"/>
        <v>22806.500000000004</v>
      </c>
      <c r="P7">
        <f t="shared" si="0"/>
        <v>22876.510000000002</v>
      </c>
      <c r="Q7">
        <f t="shared" si="0"/>
        <v>23244.5</v>
      </c>
      <c r="R7">
        <f t="shared" si="0"/>
        <v>23710.749999999996</v>
      </c>
      <c r="S7">
        <f t="shared" si="0"/>
        <v>24364.350000000002</v>
      </c>
      <c r="T7">
        <f t="shared" si="0"/>
        <v>25005.45</v>
      </c>
      <c r="U7">
        <f t="shared" si="0"/>
        <v>26087.46</v>
      </c>
      <c r="V7">
        <f t="shared" si="0"/>
        <v>27089.7</v>
      </c>
      <c r="W7">
        <f t="shared" si="0"/>
        <v>26933.460000000003</v>
      </c>
      <c r="X7">
        <f t="shared" si="0"/>
        <v>26952.040000000005</v>
      </c>
      <c r="Y7">
        <f t="shared" si="0"/>
        <v>27554.34</v>
      </c>
      <c r="Z7">
        <f t="shared" si="0"/>
        <v>27448.489999999994</v>
      </c>
      <c r="AA7">
        <f t="shared" si="0"/>
        <v>28046.250000000004</v>
      </c>
      <c r="AB7">
        <f t="shared" si="0"/>
        <v>28184.889999999996</v>
      </c>
      <c r="AC7">
        <f t="shared" si="0"/>
        <v>28312.049999999996</v>
      </c>
      <c r="AD7">
        <f t="shared" si="0"/>
        <v>29237.769999999993</v>
      </c>
      <c r="AE7">
        <f t="shared" si="0"/>
        <v>30815.290000000005</v>
      </c>
      <c r="AF7">
        <f t="shared" si="0"/>
        <v>32970.350000000006</v>
      </c>
      <c r="AG7">
        <f t="shared" si="0"/>
        <v>35180.080000000009</v>
      </c>
      <c r="AH7">
        <f t="shared" si="0"/>
        <v>37625.000000000007</v>
      </c>
      <c r="AI7">
        <f t="shared" si="0"/>
        <v>38650.160000000003</v>
      </c>
      <c r="AJ7">
        <f t="shared" si="0"/>
        <v>39537.65</v>
      </c>
      <c r="AK7">
        <f t="shared" si="0"/>
        <v>40305.250000000007</v>
      </c>
      <c r="AL7">
        <f t="shared" si="0"/>
        <v>41120.869999999995</v>
      </c>
      <c r="AM7">
        <f t="shared" si="0"/>
        <v>41618.530000000006</v>
      </c>
      <c r="AN7">
        <f t="shared" si="0"/>
        <v>42491.43</v>
      </c>
      <c r="AO7">
        <f t="shared" si="0"/>
        <v>43365.42</v>
      </c>
      <c r="AP7">
        <f t="shared" si="0"/>
        <v>45461.84</v>
      </c>
      <c r="AQ7">
        <f t="shared" si="0"/>
        <v>46212.729999999996</v>
      </c>
      <c r="AR7">
        <f t="shared" si="0"/>
        <v>46505.719999999994</v>
      </c>
      <c r="AS7">
        <f t="shared" si="0"/>
        <v>47279.549999999996</v>
      </c>
      <c r="AT7">
        <f t="shared" si="0"/>
        <v>48473.34</v>
      </c>
      <c r="AU7">
        <f t="shared" si="0"/>
        <v>47328.409999999996</v>
      </c>
      <c r="AV7">
        <f t="shared" si="0"/>
        <v>45990.750000000007</v>
      </c>
      <c r="AW7">
        <f t="shared" si="0"/>
        <v>44451.45</v>
      </c>
      <c r="AX7">
        <f t="shared" si="0"/>
        <v>43403.609999999993</v>
      </c>
      <c r="AY7">
        <f t="shared" si="0"/>
        <v>42920.380000000005</v>
      </c>
      <c r="AZ7">
        <f t="shared" si="0"/>
        <v>43492.18</v>
      </c>
      <c r="BA7">
        <f t="shared" si="0"/>
        <v>44196.86</v>
      </c>
      <c r="BB7">
        <f t="shared" si="0"/>
        <v>44967.970000000008</v>
      </c>
      <c r="BC7">
        <f t="shared" si="0"/>
        <v>45570.81</v>
      </c>
      <c r="BD7">
        <f t="shared" si="0"/>
        <v>45830.52</v>
      </c>
      <c r="BE7">
        <f t="shared" si="0"/>
        <v>45814.400000000001</v>
      </c>
      <c r="BF7">
        <f t="shared" si="0"/>
        <v>45573.83</v>
      </c>
      <c r="BG7">
        <f t="shared" si="0"/>
        <v>44828.38</v>
      </c>
      <c r="BH7">
        <f t="shared" si="0"/>
        <v>44174.61</v>
      </c>
      <c r="BI7">
        <f t="shared" si="0"/>
        <v>43472.420000000006</v>
      </c>
      <c r="BJ7">
        <f t="shared" si="0"/>
        <v>42663.54</v>
      </c>
      <c r="BK7">
        <f t="shared" si="0"/>
        <v>42284.479999999996</v>
      </c>
      <c r="BL7">
        <f t="shared" si="0"/>
        <v>42264.97</v>
      </c>
      <c r="BM7">
        <f t="shared" si="0"/>
        <v>41768.14</v>
      </c>
      <c r="BN7">
        <f t="shared" si="0"/>
        <v>41738.540000000008</v>
      </c>
      <c r="BO7">
        <f t="shared" ref="BO7:CS7" si="1">BO3-BO4-BO5-BO6</f>
        <v>41584.570000000007</v>
      </c>
      <c r="BP7">
        <f t="shared" si="1"/>
        <v>41431.270000000004</v>
      </c>
      <c r="BQ7">
        <f t="shared" si="1"/>
        <v>41113.49</v>
      </c>
      <c r="BR7">
        <f t="shared" si="1"/>
        <v>40464.44</v>
      </c>
      <c r="BS7">
        <f t="shared" si="1"/>
        <v>40510.179999999993</v>
      </c>
      <c r="BT7">
        <f t="shared" si="1"/>
        <v>40697.17</v>
      </c>
      <c r="BU7">
        <f t="shared" si="1"/>
        <v>41024.78</v>
      </c>
      <c r="BV7">
        <f t="shared" si="1"/>
        <v>40960.310000000005</v>
      </c>
      <c r="BW7">
        <f t="shared" si="1"/>
        <v>41777.19</v>
      </c>
      <c r="BX7">
        <f t="shared" si="1"/>
        <v>42608.68</v>
      </c>
      <c r="BY7">
        <f t="shared" si="1"/>
        <v>43696.520000000004</v>
      </c>
      <c r="BZ7">
        <f t="shared" si="1"/>
        <v>44660.69000000001</v>
      </c>
      <c r="CA7">
        <f t="shared" si="1"/>
        <v>45394.12</v>
      </c>
      <c r="CB7">
        <f t="shared" si="1"/>
        <v>44867.149999999994</v>
      </c>
      <c r="CC7">
        <f t="shared" si="1"/>
        <v>44395.570000000007</v>
      </c>
      <c r="CD7">
        <f t="shared" si="1"/>
        <v>43901.920000000006</v>
      </c>
      <c r="CE7">
        <f t="shared" si="1"/>
        <v>43783.14</v>
      </c>
      <c r="CF7">
        <f t="shared" si="1"/>
        <v>43753.74</v>
      </c>
      <c r="CG7">
        <f t="shared" si="1"/>
        <v>43457.16</v>
      </c>
      <c r="CH7">
        <f t="shared" si="1"/>
        <v>43378.229999999996</v>
      </c>
      <c r="CI7">
        <f t="shared" si="1"/>
        <v>42837.909999999996</v>
      </c>
      <c r="CJ7">
        <f t="shared" si="1"/>
        <v>42508.75</v>
      </c>
      <c r="CK7">
        <f t="shared" si="1"/>
        <v>42182.720000000001</v>
      </c>
      <c r="CL7">
        <f t="shared" si="1"/>
        <v>42925.969999999994</v>
      </c>
      <c r="CM7">
        <f t="shared" si="1"/>
        <v>42350.429999999993</v>
      </c>
      <c r="CN7">
        <f t="shared" si="1"/>
        <v>42253.42</v>
      </c>
      <c r="CO7">
        <f t="shared" si="1"/>
        <v>41673.780000000006</v>
      </c>
      <c r="CP7">
        <f t="shared" si="1"/>
        <v>41822.339999999997</v>
      </c>
      <c r="CQ7">
        <f t="shared" si="1"/>
        <v>40375.26</v>
      </c>
      <c r="CR7">
        <f t="shared" si="1"/>
        <v>38881.549999999996</v>
      </c>
      <c r="CS7">
        <f t="shared" si="1"/>
        <v>37209.32</v>
      </c>
    </row>
    <row r="8" spans="1:97" ht="27.6" x14ac:dyDescent="0.25">
      <c r="A8" s="3" t="s">
        <v>106</v>
      </c>
      <c r="B8">
        <f>MAX(B7:CS7)+4000+4000</f>
        <v>56473.34</v>
      </c>
      <c r="C8">
        <f>B8</f>
        <v>56473.34</v>
      </c>
      <c r="D8">
        <f t="shared" ref="D8:AB8" si="2">C8</f>
        <v>56473.34</v>
      </c>
      <c r="E8">
        <f t="shared" si="2"/>
        <v>56473.34</v>
      </c>
      <c r="F8">
        <f t="shared" si="2"/>
        <v>56473.34</v>
      </c>
      <c r="G8">
        <f t="shared" si="2"/>
        <v>56473.34</v>
      </c>
      <c r="H8">
        <f t="shared" si="2"/>
        <v>56473.34</v>
      </c>
      <c r="I8">
        <f t="shared" si="2"/>
        <v>56473.34</v>
      </c>
      <c r="J8">
        <f t="shared" si="2"/>
        <v>56473.34</v>
      </c>
      <c r="K8">
        <f t="shared" si="2"/>
        <v>56473.34</v>
      </c>
      <c r="L8">
        <f t="shared" si="2"/>
        <v>56473.34</v>
      </c>
      <c r="M8">
        <f t="shared" si="2"/>
        <v>56473.34</v>
      </c>
      <c r="N8">
        <f t="shared" si="2"/>
        <v>56473.34</v>
      </c>
      <c r="O8">
        <f t="shared" si="2"/>
        <v>56473.34</v>
      </c>
      <c r="P8">
        <f t="shared" si="2"/>
        <v>56473.34</v>
      </c>
      <c r="Q8">
        <f t="shared" si="2"/>
        <v>56473.34</v>
      </c>
      <c r="R8">
        <f t="shared" si="2"/>
        <v>56473.34</v>
      </c>
      <c r="S8">
        <f t="shared" si="2"/>
        <v>56473.34</v>
      </c>
      <c r="T8">
        <f t="shared" si="2"/>
        <v>56473.34</v>
      </c>
      <c r="U8">
        <f t="shared" si="2"/>
        <v>56473.34</v>
      </c>
      <c r="V8">
        <f t="shared" si="2"/>
        <v>56473.34</v>
      </c>
      <c r="W8">
        <f t="shared" si="2"/>
        <v>56473.34</v>
      </c>
      <c r="X8">
        <f t="shared" si="2"/>
        <v>56473.34</v>
      </c>
      <c r="Y8">
        <f t="shared" si="2"/>
        <v>56473.34</v>
      </c>
      <c r="Z8">
        <f t="shared" si="2"/>
        <v>56473.34</v>
      </c>
      <c r="AA8">
        <f t="shared" si="2"/>
        <v>56473.34</v>
      </c>
      <c r="AB8">
        <f t="shared" si="2"/>
        <v>56473.34</v>
      </c>
      <c r="AC8">
        <f>MAX(B7:CS7)+4000+5000</f>
        <v>57473.34</v>
      </c>
      <c r="AD8">
        <f>AC8</f>
        <v>57473.34</v>
      </c>
      <c r="AE8">
        <f t="shared" ref="AE8:BX8" si="3">AD8</f>
        <v>57473.34</v>
      </c>
      <c r="AF8">
        <f t="shared" si="3"/>
        <v>57473.34</v>
      </c>
      <c r="AG8">
        <f t="shared" si="3"/>
        <v>57473.34</v>
      </c>
      <c r="AH8">
        <f t="shared" si="3"/>
        <v>57473.34</v>
      </c>
      <c r="AI8">
        <f t="shared" si="3"/>
        <v>57473.34</v>
      </c>
      <c r="AJ8">
        <f t="shared" si="3"/>
        <v>57473.34</v>
      </c>
      <c r="AK8">
        <f t="shared" si="3"/>
        <v>57473.34</v>
      </c>
      <c r="AL8">
        <f t="shared" si="3"/>
        <v>57473.34</v>
      </c>
      <c r="AM8">
        <f t="shared" si="3"/>
        <v>57473.34</v>
      </c>
      <c r="AN8">
        <f t="shared" si="3"/>
        <v>57473.34</v>
      </c>
      <c r="AO8">
        <f t="shared" si="3"/>
        <v>57473.34</v>
      </c>
      <c r="AP8">
        <f t="shared" si="3"/>
        <v>57473.34</v>
      </c>
      <c r="AQ8">
        <f t="shared" si="3"/>
        <v>57473.34</v>
      </c>
      <c r="AR8">
        <f t="shared" si="3"/>
        <v>57473.34</v>
      </c>
      <c r="AS8">
        <f t="shared" si="3"/>
        <v>57473.34</v>
      </c>
      <c r="AT8">
        <f t="shared" si="3"/>
        <v>57473.34</v>
      </c>
      <c r="AU8">
        <f t="shared" si="3"/>
        <v>57473.34</v>
      </c>
      <c r="AV8">
        <f t="shared" si="3"/>
        <v>57473.34</v>
      </c>
      <c r="AW8">
        <f t="shared" si="3"/>
        <v>57473.34</v>
      </c>
      <c r="AX8">
        <f t="shared" si="3"/>
        <v>57473.34</v>
      </c>
      <c r="AY8">
        <f t="shared" si="3"/>
        <v>57473.34</v>
      </c>
      <c r="AZ8">
        <f t="shared" si="3"/>
        <v>57473.34</v>
      </c>
      <c r="BA8">
        <f t="shared" si="3"/>
        <v>57473.34</v>
      </c>
      <c r="BB8">
        <f t="shared" si="3"/>
        <v>57473.34</v>
      </c>
      <c r="BC8">
        <f t="shared" si="3"/>
        <v>57473.34</v>
      </c>
      <c r="BD8">
        <f t="shared" si="3"/>
        <v>57473.34</v>
      </c>
      <c r="BE8">
        <f t="shared" si="3"/>
        <v>57473.34</v>
      </c>
      <c r="BF8">
        <f t="shared" si="3"/>
        <v>57473.34</v>
      </c>
      <c r="BG8">
        <f t="shared" si="3"/>
        <v>57473.34</v>
      </c>
      <c r="BH8">
        <f t="shared" si="3"/>
        <v>57473.34</v>
      </c>
      <c r="BI8">
        <f t="shared" si="3"/>
        <v>57473.34</v>
      </c>
      <c r="BJ8">
        <f t="shared" si="3"/>
        <v>57473.34</v>
      </c>
      <c r="BK8">
        <f t="shared" si="3"/>
        <v>57473.34</v>
      </c>
      <c r="BL8">
        <f t="shared" si="3"/>
        <v>57473.34</v>
      </c>
      <c r="BM8">
        <f t="shared" si="3"/>
        <v>57473.34</v>
      </c>
      <c r="BN8">
        <f t="shared" si="3"/>
        <v>57473.34</v>
      </c>
      <c r="BO8">
        <f t="shared" si="3"/>
        <v>57473.34</v>
      </c>
      <c r="BP8">
        <f t="shared" si="3"/>
        <v>57473.34</v>
      </c>
      <c r="BQ8">
        <f t="shared" si="3"/>
        <v>57473.34</v>
      </c>
      <c r="BR8">
        <f t="shared" si="3"/>
        <v>57473.34</v>
      </c>
      <c r="BS8">
        <f t="shared" si="3"/>
        <v>57473.34</v>
      </c>
      <c r="BT8">
        <f t="shared" si="3"/>
        <v>57473.34</v>
      </c>
      <c r="BU8">
        <f t="shared" si="3"/>
        <v>57473.34</v>
      </c>
      <c r="BV8">
        <f t="shared" si="3"/>
        <v>57473.34</v>
      </c>
      <c r="BW8">
        <f t="shared" si="3"/>
        <v>57473.34</v>
      </c>
      <c r="BX8">
        <f t="shared" si="3"/>
        <v>57473.34</v>
      </c>
      <c r="BY8">
        <f>MAX(B7:CS7)+4000+4500</f>
        <v>56973.34</v>
      </c>
      <c r="BZ8">
        <f>BY8</f>
        <v>56973.34</v>
      </c>
      <c r="CA8">
        <f t="shared" ref="CA8:CJ8" si="4">BZ8</f>
        <v>56973.34</v>
      </c>
      <c r="CB8">
        <f t="shared" si="4"/>
        <v>56973.34</v>
      </c>
      <c r="CC8">
        <f t="shared" si="4"/>
        <v>56973.34</v>
      </c>
      <c r="CD8">
        <f t="shared" si="4"/>
        <v>56973.34</v>
      </c>
      <c r="CE8">
        <f t="shared" si="4"/>
        <v>56973.34</v>
      </c>
      <c r="CF8">
        <f t="shared" si="4"/>
        <v>56973.34</v>
      </c>
      <c r="CG8">
        <f t="shared" si="4"/>
        <v>56973.34</v>
      </c>
      <c r="CH8">
        <f t="shared" si="4"/>
        <v>56973.34</v>
      </c>
      <c r="CI8">
        <f t="shared" si="4"/>
        <v>56973.34</v>
      </c>
      <c r="CJ8">
        <f t="shared" si="4"/>
        <v>56973.34</v>
      </c>
      <c r="CK8">
        <f>MAX(B7:CS7)+4000+4000</f>
        <v>56473.34</v>
      </c>
      <c r="CL8">
        <f>CK8</f>
        <v>56473.34</v>
      </c>
      <c r="CM8">
        <f t="shared" ref="CM8:CS8" si="5">CL8</f>
        <v>56473.34</v>
      </c>
      <c r="CN8">
        <f t="shared" si="5"/>
        <v>56473.34</v>
      </c>
      <c r="CO8">
        <f t="shared" si="5"/>
        <v>56473.34</v>
      </c>
      <c r="CP8">
        <f t="shared" si="5"/>
        <v>56473.34</v>
      </c>
      <c r="CQ8">
        <f t="shared" si="5"/>
        <v>56473.34</v>
      </c>
      <c r="CR8">
        <f t="shared" si="5"/>
        <v>56473.34</v>
      </c>
      <c r="CS8">
        <f t="shared" si="5"/>
        <v>56473.34</v>
      </c>
    </row>
    <row r="9" spans="1:97" ht="27.6" x14ac:dyDescent="0.25">
      <c r="A9" s="3" t="s">
        <v>105</v>
      </c>
      <c r="B9" s="5">
        <f>B7/B8</f>
        <v>0.45368788175092895</v>
      </c>
      <c r="C9" s="5">
        <f t="shared" ref="C9:BN9" si="6">C7/C8</f>
        <v>0.44769815279209624</v>
      </c>
      <c r="D9" s="5">
        <f t="shared" si="6"/>
        <v>0.43922406572729716</v>
      </c>
      <c r="E9" s="5">
        <f t="shared" si="6"/>
        <v>0.43063063031157717</v>
      </c>
      <c r="F9" s="5">
        <f t="shared" si="6"/>
        <v>0.42592363051308813</v>
      </c>
      <c r="G9" s="5">
        <f t="shared" si="6"/>
        <v>0.41941153117559543</v>
      </c>
      <c r="H9" s="5">
        <f t="shared" si="6"/>
        <v>0.41562833011116401</v>
      </c>
      <c r="I9" s="5">
        <f t="shared" si="6"/>
        <v>0.41027872620957079</v>
      </c>
      <c r="J9" s="5">
        <f t="shared" si="6"/>
        <v>0.40578846584954947</v>
      </c>
      <c r="K9" s="5">
        <f t="shared" si="6"/>
        <v>0.40136992074490369</v>
      </c>
      <c r="L9" s="5">
        <f t="shared" si="6"/>
        <v>0.40239394376178217</v>
      </c>
      <c r="M9" s="5">
        <f t="shared" si="6"/>
        <v>0.40422950014998232</v>
      </c>
      <c r="N9" s="5">
        <f t="shared" si="6"/>
        <v>0.40451512164855136</v>
      </c>
      <c r="O9" s="5">
        <f t="shared" si="6"/>
        <v>0.4038454251156387</v>
      </c>
      <c r="P9" s="5">
        <f t="shared" si="6"/>
        <v>0.40508512512275707</v>
      </c>
      <c r="Q9" s="5">
        <f t="shared" si="6"/>
        <v>0.41160129717845628</v>
      </c>
      <c r="R9" s="5">
        <f t="shared" si="6"/>
        <v>0.41985740528185506</v>
      </c>
      <c r="S9" s="5">
        <f t="shared" si="6"/>
        <v>0.43143100797650719</v>
      </c>
      <c r="T9" s="5">
        <f t="shared" si="6"/>
        <v>0.44278326729037104</v>
      </c>
      <c r="U9" s="5">
        <f t="shared" si="6"/>
        <v>0.46194292740609993</v>
      </c>
      <c r="V9" s="5">
        <f t="shared" si="6"/>
        <v>0.47969006260299113</v>
      </c>
      <c r="W9" s="5">
        <f t="shared" si="6"/>
        <v>0.47692344741784359</v>
      </c>
      <c r="X9" s="5">
        <f t="shared" si="6"/>
        <v>0.47725245221904716</v>
      </c>
      <c r="Y9" s="5">
        <f t="shared" si="6"/>
        <v>0.48791766167894446</v>
      </c>
      <c r="Z9" s="5">
        <f t="shared" si="6"/>
        <v>0.48604332593043009</v>
      </c>
      <c r="AA9" s="5">
        <f t="shared" si="6"/>
        <v>0.49662814347442535</v>
      </c>
      <c r="AB9" s="5">
        <f t="shared" si="6"/>
        <v>0.499083107179423</v>
      </c>
      <c r="AC9" s="5">
        <f t="shared" si="6"/>
        <v>0.49261187882938418</v>
      </c>
      <c r="AD9" s="5">
        <f t="shared" si="6"/>
        <v>0.50871882511091215</v>
      </c>
      <c r="AE9" s="5">
        <f t="shared" si="6"/>
        <v>0.53616668180412008</v>
      </c>
      <c r="AF9" s="5">
        <f t="shared" si="6"/>
        <v>0.57366337157367242</v>
      </c>
      <c r="AG9" s="5">
        <f t="shared" si="6"/>
        <v>0.61211128498883149</v>
      </c>
      <c r="AH9" s="5">
        <f t="shared" si="6"/>
        <v>0.65465135661160478</v>
      </c>
      <c r="AI9" s="5">
        <f t="shared" si="6"/>
        <v>0.67248849640546393</v>
      </c>
      <c r="AJ9" s="5">
        <f t="shared" si="6"/>
        <v>0.68793026471055974</v>
      </c>
      <c r="AK9" s="5">
        <f t="shared" si="6"/>
        <v>0.70128602235401682</v>
      </c>
      <c r="AL9" s="5">
        <f t="shared" si="6"/>
        <v>0.71547729782191183</v>
      </c>
      <c r="AM9" s="5">
        <f t="shared" si="6"/>
        <v>0.72413626909450557</v>
      </c>
      <c r="AN9" s="5">
        <f t="shared" si="6"/>
        <v>0.73932418056789462</v>
      </c>
      <c r="AO9" s="5">
        <f t="shared" si="6"/>
        <v>0.75453105735633252</v>
      </c>
      <c r="AP9" s="5">
        <f t="shared" si="6"/>
        <v>0.79100744797500888</v>
      </c>
      <c r="AQ9" s="5">
        <f t="shared" si="6"/>
        <v>0.80407246211895811</v>
      </c>
      <c r="AR9" s="5">
        <f t="shared" si="6"/>
        <v>0.80917030400530043</v>
      </c>
      <c r="AS9" s="5">
        <f t="shared" si="6"/>
        <v>0.82263445973385219</v>
      </c>
      <c r="AT9" s="5">
        <f t="shared" si="6"/>
        <v>0.84340565556134373</v>
      </c>
      <c r="AU9" s="5">
        <f t="shared" si="6"/>
        <v>0.82348459303043808</v>
      </c>
      <c r="AV9" s="5">
        <f t="shared" si="6"/>
        <v>0.80021014961023684</v>
      </c>
      <c r="AW9" s="5">
        <f t="shared" si="6"/>
        <v>0.77342729689974521</v>
      </c>
      <c r="AX9" s="5">
        <f t="shared" si="6"/>
        <v>0.75519553935790051</v>
      </c>
      <c r="AY9" s="5">
        <f t="shared" si="6"/>
        <v>0.74678764101755712</v>
      </c>
      <c r="AZ9" s="5">
        <f t="shared" si="6"/>
        <v>0.75673660170089307</v>
      </c>
      <c r="BA9" s="5">
        <f t="shared" si="6"/>
        <v>0.76899759088300768</v>
      </c>
      <c r="BB9" s="5">
        <f t="shared" si="6"/>
        <v>0.78241442032079589</v>
      </c>
      <c r="BC9" s="5">
        <f t="shared" si="6"/>
        <v>0.79290345749872904</v>
      </c>
      <c r="BD9" s="5">
        <f t="shared" si="6"/>
        <v>0.7974222482980805</v>
      </c>
      <c r="BE9" s="5">
        <f t="shared" si="6"/>
        <v>0.79714177042781931</v>
      </c>
      <c r="BF9" s="5">
        <f t="shared" si="6"/>
        <v>0.79295600360097407</v>
      </c>
      <c r="BG9" s="5">
        <f t="shared" si="6"/>
        <v>0.77998564203855214</v>
      </c>
      <c r="BH9" s="5">
        <f t="shared" si="6"/>
        <v>0.76861045486481216</v>
      </c>
      <c r="BI9" s="5">
        <f t="shared" si="6"/>
        <v>0.75639279011799221</v>
      </c>
      <c r="BJ9" s="5">
        <f t="shared" si="6"/>
        <v>0.74231878641470994</v>
      </c>
      <c r="BK9" s="5">
        <f t="shared" si="6"/>
        <v>0.73572338061438569</v>
      </c>
      <c r="BL9" s="5">
        <f t="shared" si="6"/>
        <v>0.73538391887438603</v>
      </c>
      <c r="BM9" s="5">
        <f t="shared" si="6"/>
        <v>0.72673938908022406</v>
      </c>
      <c r="BN9" s="5">
        <f t="shared" si="6"/>
        <v>0.72622436768073706</v>
      </c>
      <c r="BO9" s="5">
        <f t="shared" ref="BO9:CS9" si="7">BO7/BO8</f>
        <v>0.72354538643482369</v>
      </c>
      <c r="BP9" s="5">
        <f t="shared" si="7"/>
        <v>0.72087806276788524</v>
      </c>
      <c r="BQ9" s="5">
        <f t="shared" si="7"/>
        <v>0.71534889045947214</v>
      </c>
      <c r="BR9" s="5">
        <f t="shared" si="7"/>
        <v>0.70405582831970448</v>
      </c>
      <c r="BS9" s="5">
        <f t="shared" si="7"/>
        <v>0.70485167557688477</v>
      </c>
      <c r="BT9" s="5">
        <f t="shared" si="7"/>
        <v>0.70810518407317202</v>
      </c>
      <c r="BU9" s="5">
        <f t="shared" si="7"/>
        <v>0.71380539220445516</v>
      </c>
      <c r="BV9" s="5">
        <f t="shared" si="7"/>
        <v>0.71268365471712636</v>
      </c>
      <c r="BW9" s="5">
        <f t="shared" si="7"/>
        <v>0.72689685339324295</v>
      </c>
      <c r="BX9" s="5">
        <f t="shared" si="7"/>
        <v>0.74136425688849827</v>
      </c>
      <c r="BY9" s="5">
        <f t="shared" si="7"/>
        <v>0.76696433805706332</v>
      </c>
      <c r="BZ9" s="5">
        <f t="shared" si="7"/>
        <v>0.78388751651210919</v>
      </c>
      <c r="CA9" s="5">
        <f t="shared" si="7"/>
        <v>0.79676073054519891</v>
      </c>
      <c r="CB9" s="5">
        <f t="shared" si="7"/>
        <v>0.78751131669654606</v>
      </c>
      <c r="CC9" s="5">
        <f t="shared" si="7"/>
        <v>0.77923411195481973</v>
      </c>
      <c r="CD9" s="5">
        <f t="shared" si="7"/>
        <v>0.77056953304826448</v>
      </c>
      <c r="CE9" s="5">
        <f t="shared" si="7"/>
        <v>0.76848469828168753</v>
      </c>
      <c r="CF9" s="5">
        <f t="shared" si="7"/>
        <v>0.76796866745042502</v>
      </c>
      <c r="CG9" s="5">
        <f t="shared" si="7"/>
        <v>0.76276307479954675</v>
      </c>
      <c r="CH9" s="5">
        <f t="shared" si="7"/>
        <v>0.76137768998622857</v>
      </c>
      <c r="CI9" s="5">
        <f t="shared" si="7"/>
        <v>0.75189395601521691</v>
      </c>
      <c r="CJ9" s="5">
        <f t="shared" si="7"/>
        <v>0.74611651695336811</v>
      </c>
      <c r="CK9" s="5">
        <f t="shared" si="7"/>
        <v>0.74694926845127285</v>
      </c>
      <c r="CL9" s="5">
        <f t="shared" si="7"/>
        <v>0.76011034587293747</v>
      </c>
      <c r="CM9" s="5">
        <f t="shared" si="7"/>
        <v>0.74991898832263149</v>
      </c>
      <c r="CN9" s="5">
        <f t="shared" si="7"/>
        <v>0.74820118661301072</v>
      </c>
      <c r="CO9" s="5">
        <f t="shared" si="7"/>
        <v>0.73793722843380627</v>
      </c>
      <c r="CP9" s="5">
        <f t="shared" si="7"/>
        <v>0.74056785024579741</v>
      </c>
      <c r="CQ9" s="5">
        <f t="shared" si="7"/>
        <v>0.71494372388812144</v>
      </c>
      <c r="CR9" s="5">
        <f t="shared" si="7"/>
        <v>0.68849389818275308</v>
      </c>
      <c r="CS9" s="5">
        <f t="shared" si="7"/>
        <v>0.65888293485032057</v>
      </c>
    </row>
    <row r="10" spans="1:97" ht="27.6" customHeight="1" x14ac:dyDescent="0.25">
      <c r="A10" s="3" t="s">
        <v>100</v>
      </c>
      <c r="B10">
        <f>B8*0.38</f>
        <v>21459.869199999997</v>
      </c>
    </row>
    <row r="11" spans="1:97" ht="25.8" customHeight="1" x14ac:dyDescent="0.25">
      <c r="A11" s="3" t="s">
        <v>99</v>
      </c>
      <c r="B11">
        <f>MIN(B7:CS7)</f>
        <v>22666.699999999997</v>
      </c>
    </row>
    <row r="12" spans="1:97" ht="27.6" x14ac:dyDescent="0.25">
      <c r="A12" s="3" t="s">
        <v>98</v>
      </c>
      <c r="B12">
        <f>B11-B10</f>
        <v>1206.8307999999997</v>
      </c>
    </row>
    <row r="24" spans="1:97" x14ac:dyDescent="0.25">
      <c r="A24" s="4">
        <v>46013</v>
      </c>
      <c r="B24">
        <v>30029.64</v>
      </c>
      <c r="C24">
        <v>29747.96</v>
      </c>
      <c r="D24">
        <v>29514.300000000003</v>
      </c>
      <c r="E24">
        <v>29280.309999999998</v>
      </c>
      <c r="F24">
        <v>29137.059999999998</v>
      </c>
      <c r="G24">
        <v>29336.889999999996</v>
      </c>
      <c r="H24">
        <v>28802.789999999997</v>
      </c>
      <c r="I24">
        <v>28870.080000000002</v>
      </c>
      <c r="J24">
        <v>30183.86</v>
      </c>
      <c r="K24">
        <v>30217.050000000003</v>
      </c>
      <c r="L24">
        <v>30178.6</v>
      </c>
      <c r="M24">
        <v>30212.82</v>
      </c>
      <c r="N24">
        <v>30386.21</v>
      </c>
      <c r="O24">
        <v>30509</v>
      </c>
      <c r="P24">
        <v>30776.229999999996</v>
      </c>
      <c r="Q24">
        <v>31290.95</v>
      </c>
      <c r="R24">
        <v>31616.170000000006</v>
      </c>
      <c r="S24">
        <v>32183</v>
      </c>
      <c r="T24">
        <v>33119.279999999999</v>
      </c>
      <c r="U24">
        <v>33685.94</v>
      </c>
      <c r="V24">
        <v>35163.4</v>
      </c>
      <c r="W24">
        <v>34965.72</v>
      </c>
      <c r="X24">
        <v>35283.300000000003</v>
      </c>
      <c r="Y24">
        <v>35585.619999999995</v>
      </c>
      <c r="Z24">
        <v>36595.080000000009</v>
      </c>
      <c r="AA24">
        <v>38396.079999999994</v>
      </c>
      <c r="AB24">
        <v>39938</v>
      </c>
      <c r="AC24">
        <v>41451.119999999995</v>
      </c>
      <c r="AD24">
        <v>43003.149999999994</v>
      </c>
      <c r="AE24">
        <v>43615.789999999994</v>
      </c>
      <c r="AF24">
        <v>44345.55</v>
      </c>
      <c r="AG24">
        <v>42779.34</v>
      </c>
      <c r="AH24">
        <v>42836.07</v>
      </c>
      <c r="AI24">
        <v>41372.139999999992</v>
      </c>
      <c r="AJ24">
        <v>38264.49</v>
      </c>
      <c r="AK24">
        <v>36015.199999999997</v>
      </c>
      <c r="AL24">
        <v>33840.450000000004</v>
      </c>
      <c r="AM24">
        <v>31441.659999999996</v>
      </c>
      <c r="AN24">
        <v>28965.730000000003</v>
      </c>
      <c r="AO24">
        <v>27426.21</v>
      </c>
      <c r="AP24">
        <v>26670.799999999996</v>
      </c>
      <c r="AQ24">
        <v>25532.359999999997</v>
      </c>
      <c r="AR24">
        <v>24508.880000000005</v>
      </c>
      <c r="AS24">
        <v>23453.760000000002</v>
      </c>
      <c r="AT24">
        <v>23458.68</v>
      </c>
      <c r="AU24">
        <v>21993.079999999998</v>
      </c>
      <c r="AV24">
        <v>20866.190000000002</v>
      </c>
      <c r="AW24">
        <v>19254.41</v>
      </c>
      <c r="AX24">
        <v>19759.86</v>
      </c>
      <c r="AY24">
        <v>19267.689999999999</v>
      </c>
      <c r="AZ24">
        <v>20644.579999999998</v>
      </c>
      <c r="BA24">
        <v>21779.920000000002</v>
      </c>
      <c r="BB24">
        <v>24358.950000000004</v>
      </c>
      <c r="BC24">
        <v>25939.200000000001</v>
      </c>
      <c r="BD24">
        <v>27513.17</v>
      </c>
      <c r="BE24">
        <v>29646.990000000005</v>
      </c>
      <c r="BF24">
        <v>31495.199999999997</v>
      </c>
      <c r="BG24">
        <v>33840.509999999995</v>
      </c>
      <c r="BH24">
        <v>36407.540000000008</v>
      </c>
      <c r="BI24">
        <v>38734.270000000004</v>
      </c>
      <c r="BJ24">
        <v>41553.37999999999</v>
      </c>
      <c r="BK24">
        <v>43985.909999999996</v>
      </c>
      <c r="BL24">
        <v>46671.270000000004</v>
      </c>
      <c r="BM24">
        <v>48591.08</v>
      </c>
      <c r="BN24">
        <v>50278.29</v>
      </c>
      <c r="BO24">
        <v>51892.19999999999</v>
      </c>
      <c r="BP24">
        <v>52708.28</v>
      </c>
      <c r="BQ24">
        <v>53409.220000000008</v>
      </c>
      <c r="BR24">
        <v>53260.420000000006</v>
      </c>
      <c r="BS24">
        <v>52953.210000000006</v>
      </c>
      <c r="BT24">
        <v>52231.5</v>
      </c>
      <c r="BU24">
        <v>51467.789999999994</v>
      </c>
      <c r="BV24">
        <v>50534.080000000002</v>
      </c>
      <c r="BW24">
        <v>49798.85</v>
      </c>
      <c r="BX24">
        <v>49177.8</v>
      </c>
      <c r="BY24">
        <v>48722.18</v>
      </c>
      <c r="BZ24">
        <v>48161.829999999994</v>
      </c>
      <c r="CA24">
        <v>47785.11</v>
      </c>
      <c r="CB24">
        <v>47396.659999999996</v>
      </c>
      <c r="CC24">
        <v>46679.15</v>
      </c>
      <c r="CD24">
        <v>46239.130000000005</v>
      </c>
      <c r="CE24">
        <v>45875.500000000007</v>
      </c>
      <c r="CF24">
        <v>45481.959999999992</v>
      </c>
      <c r="CG24">
        <v>45006.299999999996</v>
      </c>
      <c r="CH24">
        <v>45194.039999999994</v>
      </c>
      <c r="CI24">
        <v>44407.26</v>
      </c>
      <c r="CJ24">
        <v>43483.72</v>
      </c>
      <c r="CK24">
        <v>42290.909999999996</v>
      </c>
      <c r="CL24">
        <v>41212.639999999999</v>
      </c>
      <c r="CM24">
        <v>40722.57</v>
      </c>
      <c r="CN24">
        <v>40535.090000000004</v>
      </c>
      <c r="CO24">
        <v>40310.009999999995</v>
      </c>
      <c r="CP24">
        <v>40560.58</v>
      </c>
      <c r="CQ24">
        <v>39427.589999999997</v>
      </c>
      <c r="CR24">
        <v>38410.200000000004</v>
      </c>
      <c r="CS24">
        <v>37446.369999999995</v>
      </c>
    </row>
    <row r="25" spans="1:97" x14ac:dyDescent="0.25">
      <c r="A25" s="4">
        <v>46003</v>
      </c>
      <c r="B25">
        <v>32858.579999999994</v>
      </c>
      <c r="C25">
        <v>32663.789999999997</v>
      </c>
      <c r="D25">
        <v>32531.94</v>
      </c>
      <c r="E25">
        <v>32481.9</v>
      </c>
      <c r="F25">
        <v>32761.06</v>
      </c>
      <c r="G25">
        <v>32479.409999999996</v>
      </c>
      <c r="H25">
        <v>32295.750000000004</v>
      </c>
      <c r="I25">
        <v>32382.649999999994</v>
      </c>
      <c r="J25">
        <v>34073.96</v>
      </c>
      <c r="K25">
        <v>34160.879999999997</v>
      </c>
      <c r="L25">
        <v>34089.58</v>
      </c>
      <c r="M25">
        <v>33983.520000000004</v>
      </c>
      <c r="N25">
        <v>33950.550000000003</v>
      </c>
      <c r="O25">
        <v>33875.18</v>
      </c>
      <c r="P25">
        <v>33828.17</v>
      </c>
      <c r="Q25">
        <v>33991.730000000003</v>
      </c>
      <c r="R25">
        <v>34592.869999999995</v>
      </c>
      <c r="S25">
        <v>34689.839999999997</v>
      </c>
      <c r="T25">
        <v>35221.630000000005</v>
      </c>
      <c r="U25">
        <v>35683.279999999999</v>
      </c>
      <c r="V25">
        <v>36573.160000000003</v>
      </c>
      <c r="W25">
        <v>36163.460000000006</v>
      </c>
      <c r="X25">
        <v>36236.57</v>
      </c>
      <c r="Y25">
        <v>35953.19</v>
      </c>
      <c r="Z25">
        <v>36726.619999999995</v>
      </c>
      <c r="AA25">
        <v>38379.570000000007</v>
      </c>
      <c r="AB25">
        <v>39902.28</v>
      </c>
      <c r="AC25">
        <v>41076.169999999991</v>
      </c>
      <c r="AD25">
        <v>43275.560000000005</v>
      </c>
      <c r="AE25">
        <v>45200.569999999992</v>
      </c>
      <c r="AF25">
        <v>47421.869999999995</v>
      </c>
      <c r="AG25">
        <v>49689.229999999996</v>
      </c>
      <c r="AH25">
        <v>51390.079999999994</v>
      </c>
      <c r="AI25">
        <v>52292.03</v>
      </c>
      <c r="AJ25">
        <v>53072.86</v>
      </c>
      <c r="AK25">
        <v>53508.719999999994</v>
      </c>
      <c r="AL25">
        <v>54316.439999999995</v>
      </c>
      <c r="AM25">
        <v>54133.32</v>
      </c>
      <c r="AN25">
        <v>54007.29</v>
      </c>
      <c r="AO25">
        <v>54336.469999999994</v>
      </c>
      <c r="AP25">
        <v>56134.720000000001</v>
      </c>
      <c r="AQ25">
        <v>56993.18</v>
      </c>
      <c r="AR25">
        <v>57097.09</v>
      </c>
      <c r="AS25">
        <v>57529.88</v>
      </c>
      <c r="AT25">
        <v>59016.41</v>
      </c>
      <c r="AU25">
        <v>57786.51</v>
      </c>
      <c r="AV25">
        <v>57186.45</v>
      </c>
      <c r="AW25">
        <v>55789.03</v>
      </c>
      <c r="AX25">
        <v>56384.45</v>
      </c>
      <c r="AY25">
        <v>56458.450000000004</v>
      </c>
      <c r="AZ25">
        <v>57735.930000000008</v>
      </c>
      <c r="BA25">
        <v>58661.7</v>
      </c>
      <c r="BB25">
        <v>60014.930000000008</v>
      </c>
      <c r="BC25">
        <v>61106.74</v>
      </c>
      <c r="BD25">
        <v>61258.55</v>
      </c>
      <c r="BE25">
        <v>61153.320000000007</v>
      </c>
      <c r="BF25">
        <v>61217.8</v>
      </c>
      <c r="BG25">
        <v>61379.7</v>
      </c>
      <c r="BH25">
        <v>61442.909999999996</v>
      </c>
      <c r="BI25">
        <v>60777.469999999994</v>
      </c>
      <c r="BJ25">
        <v>60344.899999999994</v>
      </c>
      <c r="BK25">
        <v>59667.869999999995</v>
      </c>
      <c r="BL25">
        <v>58919.95</v>
      </c>
      <c r="BM25">
        <v>57050.06</v>
      </c>
      <c r="BN25">
        <v>56202.920000000006</v>
      </c>
      <c r="BO25">
        <v>55945.450000000004</v>
      </c>
      <c r="BP25">
        <v>56192.05</v>
      </c>
      <c r="BQ25">
        <v>56430.7</v>
      </c>
      <c r="BR25">
        <v>56579.47</v>
      </c>
      <c r="BS25">
        <v>56433.69</v>
      </c>
      <c r="BT25">
        <v>55325.17</v>
      </c>
      <c r="BU25">
        <v>54466.63</v>
      </c>
      <c r="BV25">
        <v>53432.29</v>
      </c>
      <c r="BW25">
        <v>52669.37</v>
      </c>
      <c r="BX25">
        <v>52046.610000000008</v>
      </c>
      <c r="BY25">
        <v>51695.869999999995</v>
      </c>
      <c r="BZ25">
        <v>51447.549999999996</v>
      </c>
      <c r="CA25">
        <v>51457.289999999994</v>
      </c>
      <c r="CB25">
        <v>51226.110000000008</v>
      </c>
      <c r="CC25">
        <v>51032.86</v>
      </c>
      <c r="CD25">
        <v>50953.22</v>
      </c>
      <c r="CE25">
        <v>50655.88</v>
      </c>
      <c r="CF25">
        <v>50801.720000000008</v>
      </c>
      <c r="CG25">
        <v>50828.130000000005</v>
      </c>
      <c r="CH25">
        <v>51552.109999999993</v>
      </c>
      <c r="CI25">
        <v>51322.590000000004</v>
      </c>
      <c r="CJ25">
        <v>50603.27</v>
      </c>
      <c r="CK25">
        <v>49761.209999999992</v>
      </c>
      <c r="CL25">
        <v>48941.120000000003</v>
      </c>
      <c r="CM25">
        <v>48884.909999999996</v>
      </c>
      <c r="CN25">
        <v>48734.63</v>
      </c>
      <c r="CO25">
        <v>48877.400000000009</v>
      </c>
      <c r="CP25">
        <v>49705.09</v>
      </c>
      <c r="CQ25">
        <v>48801.94</v>
      </c>
      <c r="CR25">
        <v>47797.7</v>
      </c>
      <c r="CS25">
        <v>47222.99</v>
      </c>
    </row>
    <row r="26" spans="1:97" x14ac:dyDescent="0.25">
      <c r="A26" t="s">
        <v>102</v>
      </c>
      <c r="B26">
        <v>42377.79</v>
      </c>
      <c r="C26">
        <v>41876.54</v>
      </c>
      <c r="D26">
        <v>41376.83</v>
      </c>
      <c r="E26">
        <v>41007.06</v>
      </c>
      <c r="F26">
        <v>40667.18</v>
      </c>
      <c r="G26">
        <v>40329.9</v>
      </c>
      <c r="H26">
        <v>40131.81</v>
      </c>
      <c r="I26">
        <v>39869.01</v>
      </c>
      <c r="J26">
        <v>39383.160000000003</v>
      </c>
      <c r="K26">
        <v>38966.270000000004</v>
      </c>
      <c r="L26">
        <v>38692.32</v>
      </c>
      <c r="M26">
        <v>38566.639999999999</v>
      </c>
      <c r="N26">
        <v>38440.810000000005</v>
      </c>
      <c r="O26">
        <v>38242.33</v>
      </c>
      <c r="P26">
        <v>38178.28</v>
      </c>
      <c r="Q26">
        <v>38193.460000000006</v>
      </c>
      <c r="R26">
        <v>38496</v>
      </c>
      <c r="S26">
        <v>38526.339999999997</v>
      </c>
      <c r="T26">
        <v>38745.67</v>
      </c>
      <c r="U26">
        <v>39375.919999999998</v>
      </c>
      <c r="V26">
        <v>40207.47</v>
      </c>
      <c r="W26">
        <v>40127.29</v>
      </c>
      <c r="X26">
        <v>40879.599999999999</v>
      </c>
      <c r="Y26">
        <v>41214.439999999995</v>
      </c>
      <c r="Z26">
        <v>42442.82</v>
      </c>
      <c r="AA26">
        <v>44076.899999999994</v>
      </c>
      <c r="AB26">
        <v>45432.33</v>
      </c>
      <c r="AC26">
        <v>45792.700000000004</v>
      </c>
      <c r="AD26">
        <v>45663.22</v>
      </c>
      <c r="AE26">
        <v>44583.94</v>
      </c>
      <c r="AF26">
        <v>42712.549999999996</v>
      </c>
      <c r="AG26">
        <v>40247.249999999993</v>
      </c>
      <c r="AH26">
        <v>37903.25</v>
      </c>
      <c r="AI26">
        <v>34588.97</v>
      </c>
      <c r="AJ26">
        <v>30577.75</v>
      </c>
      <c r="AK26">
        <v>27223.260000000002</v>
      </c>
      <c r="AL26">
        <v>24266.249999999996</v>
      </c>
      <c r="AM26">
        <v>21528.13</v>
      </c>
      <c r="AN26">
        <v>19187.3</v>
      </c>
      <c r="AO26">
        <v>17382.59</v>
      </c>
      <c r="AP26">
        <v>17575.66</v>
      </c>
      <c r="AQ26">
        <v>16301.98</v>
      </c>
      <c r="AR26">
        <v>14904.460000000003</v>
      </c>
      <c r="AS26">
        <v>14159.759999999998</v>
      </c>
      <c r="AT26">
        <v>14438.710000000003</v>
      </c>
      <c r="AU26">
        <v>12291.780000000002</v>
      </c>
      <c r="AV26">
        <v>11341.75</v>
      </c>
      <c r="AW26">
        <v>9965.9900000000016</v>
      </c>
      <c r="AX26">
        <v>9653.8299999999981</v>
      </c>
      <c r="AY26">
        <v>10040.32</v>
      </c>
      <c r="AZ26">
        <v>11694.75</v>
      </c>
      <c r="BA26">
        <v>13351.759999999998</v>
      </c>
      <c r="BB26">
        <v>15913.399999999998</v>
      </c>
      <c r="BC26">
        <v>17919.18</v>
      </c>
      <c r="BD26">
        <v>20129.490000000002</v>
      </c>
      <c r="BE26">
        <v>22060.42</v>
      </c>
      <c r="BF26">
        <v>24511.439999999999</v>
      </c>
      <c r="BG26">
        <v>27131.409999999996</v>
      </c>
      <c r="BH26">
        <v>29999.759999999995</v>
      </c>
      <c r="BI26">
        <v>32396.68</v>
      </c>
      <c r="BJ26">
        <v>35037.160000000003</v>
      </c>
      <c r="BK26">
        <v>37556.109999999993</v>
      </c>
      <c r="BL26">
        <v>39710.62000000001</v>
      </c>
      <c r="BM26">
        <v>40627.049999999996</v>
      </c>
      <c r="BN26">
        <v>42495.590000000004</v>
      </c>
      <c r="BO26">
        <v>44586.650000000009</v>
      </c>
      <c r="BP26">
        <v>46245.670000000006</v>
      </c>
      <c r="BQ26">
        <v>46720.119999999995</v>
      </c>
      <c r="BR26">
        <v>47295.87</v>
      </c>
      <c r="BS26">
        <v>47466.6</v>
      </c>
      <c r="BT26">
        <v>47509.210000000006</v>
      </c>
      <c r="BU26">
        <v>46235.490000000005</v>
      </c>
      <c r="BV26">
        <v>45147.95</v>
      </c>
      <c r="BW26">
        <v>44102.380000000005</v>
      </c>
      <c r="BX26">
        <v>43113.31</v>
      </c>
      <c r="BY26">
        <v>42267.369999999995</v>
      </c>
      <c r="BZ26">
        <v>41726.83</v>
      </c>
      <c r="CA26">
        <v>41256.810000000005</v>
      </c>
      <c r="CB26">
        <v>40783.15</v>
      </c>
      <c r="CC26">
        <v>40083.700000000004</v>
      </c>
      <c r="CD26">
        <v>39531.949999999997</v>
      </c>
      <c r="CE26">
        <v>39830.980000000003</v>
      </c>
      <c r="CF26">
        <v>39766.320000000007</v>
      </c>
      <c r="CG26">
        <v>39755.15</v>
      </c>
      <c r="CH26">
        <v>41052.979999999996</v>
      </c>
      <c r="CI26">
        <v>40448.729999999996</v>
      </c>
      <c r="CJ26">
        <v>39210.470000000008</v>
      </c>
      <c r="CK26">
        <v>38297.64</v>
      </c>
      <c r="CL26">
        <v>37518.75</v>
      </c>
      <c r="CM26">
        <v>37158.250000000007</v>
      </c>
      <c r="CN26">
        <v>36683.550000000003</v>
      </c>
      <c r="CO26">
        <v>36128.519999999997</v>
      </c>
      <c r="CP26">
        <v>36578.86</v>
      </c>
      <c r="CQ26">
        <v>35529.17</v>
      </c>
      <c r="CR26">
        <v>34681.479999999996</v>
      </c>
      <c r="CS26">
        <v>34089.18</v>
      </c>
    </row>
    <row r="27" spans="1:97" x14ac:dyDescent="0.25">
      <c r="A27" t="s">
        <v>101</v>
      </c>
      <c r="B27">
        <v>36714.320000000007</v>
      </c>
      <c r="C27">
        <v>36419.97</v>
      </c>
      <c r="D27">
        <v>35974.410000000003</v>
      </c>
      <c r="E27">
        <v>35831.25</v>
      </c>
      <c r="F27">
        <v>35685.42</v>
      </c>
      <c r="G27">
        <v>35501.43</v>
      </c>
      <c r="H27">
        <v>35197.520000000004</v>
      </c>
      <c r="I27">
        <v>35164.979999999996</v>
      </c>
      <c r="J27">
        <v>34858.93</v>
      </c>
      <c r="K27">
        <v>34678.719999999994</v>
      </c>
      <c r="L27">
        <v>34706.68</v>
      </c>
      <c r="M27">
        <v>34416.509999999995</v>
      </c>
      <c r="N27">
        <v>34182.299999999996</v>
      </c>
      <c r="O27">
        <v>34049.229999999996</v>
      </c>
      <c r="P27">
        <v>34273.480000000003</v>
      </c>
      <c r="Q27">
        <v>34219.229999999996</v>
      </c>
      <c r="R27">
        <v>34689.83</v>
      </c>
      <c r="S27">
        <v>35009.39</v>
      </c>
      <c r="T27">
        <v>35311.879999999997</v>
      </c>
      <c r="U27">
        <v>35782.79</v>
      </c>
      <c r="V27">
        <v>36679.68</v>
      </c>
      <c r="W27">
        <v>36861.54</v>
      </c>
      <c r="X27">
        <v>36981.15</v>
      </c>
      <c r="Y27">
        <v>37337.730000000003</v>
      </c>
      <c r="Z27">
        <v>38479.93</v>
      </c>
      <c r="AA27">
        <v>40120.939999999995</v>
      </c>
      <c r="AB27">
        <v>41459.99</v>
      </c>
      <c r="AC27">
        <v>42724.650000000009</v>
      </c>
      <c r="AD27">
        <v>42720.590000000004</v>
      </c>
      <c r="AE27">
        <v>42590.930000000008</v>
      </c>
      <c r="AF27">
        <v>41222.1</v>
      </c>
      <c r="AG27">
        <v>39569.689999999995</v>
      </c>
      <c r="AH27">
        <v>37850.22</v>
      </c>
      <c r="AI27">
        <v>34814.25</v>
      </c>
      <c r="AJ27">
        <v>31827.79</v>
      </c>
      <c r="AK27">
        <v>28270.550000000003</v>
      </c>
      <c r="AL27">
        <v>24742.390000000007</v>
      </c>
      <c r="AM27">
        <v>22083.49</v>
      </c>
      <c r="AN27">
        <v>19839.540000000005</v>
      </c>
      <c r="AO27">
        <v>18182.249999999996</v>
      </c>
      <c r="AP27">
        <v>18005.839999999997</v>
      </c>
      <c r="AQ27">
        <v>16943.850000000002</v>
      </c>
      <c r="AR27">
        <v>15440.470000000005</v>
      </c>
      <c r="AS27">
        <v>14270.52</v>
      </c>
      <c r="AT27">
        <v>14121.090000000004</v>
      </c>
      <c r="AU27">
        <v>12613.150000000001</v>
      </c>
      <c r="AV27">
        <v>11252.29</v>
      </c>
      <c r="AW27">
        <v>8985.7300000000032</v>
      </c>
      <c r="AX27">
        <v>8723.1499999999978</v>
      </c>
      <c r="AY27">
        <v>8380.39</v>
      </c>
      <c r="AZ27">
        <v>9662.7000000000044</v>
      </c>
      <c r="BA27">
        <v>10758.09</v>
      </c>
      <c r="BB27">
        <v>13250.869999999999</v>
      </c>
      <c r="BC27">
        <v>14520.270000000004</v>
      </c>
      <c r="BD27">
        <v>16730.82</v>
      </c>
      <c r="BE27">
        <v>18586.440000000002</v>
      </c>
      <c r="BF27">
        <v>20484.62</v>
      </c>
      <c r="BG27">
        <v>22511.81</v>
      </c>
      <c r="BH27">
        <v>24627.3</v>
      </c>
      <c r="BI27">
        <v>26641.000000000007</v>
      </c>
      <c r="BJ27">
        <v>28427.800000000003</v>
      </c>
      <c r="BK27">
        <v>30459.509999999995</v>
      </c>
      <c r="BL27">
        <v>32589.210000000006</v>
      </c>
      <c r="BM27">
        <v>33772.499999999993</v>
      </c>
      <c r="BN27">
        <v>35270.319999999992</v>
      </c>
      <c r="BO27">
        <v>37132.76</v>
      </c>
      <c r="BP27">
        <v>38491.56</v>
      </c>
      <c r="BQ27">
        <v>38451.289999999994</v>
      </c>
      <c r="BR27">
        <v>38359.000000000007</v>
      </c>
      <c r="BS27">
        <v>38491.39</v>
      </c>
      <c r="BT27">
        <v>37379.230000000003</v>
      </c>
      <c r="BU27">
        <v>36154.650000000009</v>
      </c>
      <c r="BV27">
        <v>35043.839999999997</v>
      </c>
      <c r="BW27">
        <v>33842.759999999995</v>
      </c>
      <c r="BX27">
        <v>32866.699999999997</v>
      </c>
      <c r="BY27">
        <v>32319.810000000005</v>
      </c>
      <c r="BZ27">
        <v>31696.069999999996</v>
      </c>
      <c r="CA27">
        <v>31563.339999999997</v>
      </c>
      <c r="CB27">
        <v>30790.729999999996</v>
      </c>
      <c r="CC27">
        <v>30325.449999999997</v>
      </c>
      <c r="CD27">
        <v>29946.189999999995</v>
      </c>
      <c r="CE27">
        <v>30114.66</v>
      </c>
      <c r="CF27">
        <v>29981.120000000006</v>
      </c>
      <c r="CG27">
        <v>29838.769999999997</v>
      </c>
      <c r="CH27">
        <v>30997.66</v>
      </c>
      <c r="CI27">
        <v>30451.069999999996</v>
      </c>
      <c r="CJ27">
        <v>29443.29</v>
      </c>
      <c r="CK27">
        <v>28470.699999999993</v>
      </c>
      <c r="CL27">
        <v>27728.450000000004</v>
      </c>
      <c r="CM27">
        <v>27557.95</v>
      </c>
      <c r="CN27">
        <v>27195.279999999999</v>
      </c>
      <c r="CO27">
        <v>26959.49</v>
      </c>
      <c r="CP27">
        <v>27721.540000000005</v>
      </c>
      <c r="CQ27">
        <v>26769.95</v>
      </c>
      <c r="CR27">
        <v>25997.760000000002</v>
      </c>
      <c r="CS27">
        <v>25378.12</v>
      </c>
    </row>
    <row r="28" spans="1:97" x14ac:dyDescent="0.25">
      <c r="A28" t="s">
        <v>103</v>
      </c>
      <c r="B28">
        <v>36220.65</v>
      </c>
      <c r="C28">
        <v>35685.589999999997</v>
      </c>
      <c r="D28">
        <v>35308.339999999997</v>
      </c>
      <c r="E28">
        <v>34928.869999999995</v>
      </c>
      <c r="F28">
        <v>34139.58</v>
      </c>
      <c r="G28">
        <v>33691.78</v>
      </c>
      <c r="H28">
        <v>33154.93</v>
      </c>
      <c r="I28">
        <v>33666.520000000004</v>
      </c>
      <c r="J28">
        <v>33795.149999999994</v>
      </c>
      <c r="K28">
        <v>33304.039999999994</v>
      </c>
      <c r="L28">
        <v>33072.800000000003</v>
      </c>
      <c r="M28">
        <v>32750.6</v>
      </c>
      <c r="N28">
        <v>32599.420000000006</v>
      </c>
      <c r="O28">
        <v>32275.040000000001</v>
      </c>
      <c r="P28">
        <v>31858.93</v>
      </c>
      <c r="Q28">
        <v>31706.99</v>
      </c>
      <c r="R28">
        <v>31772.010000000002</v>
      </c>
      <c r="S28">
        <v>31768.109999999997</v>
      </c>
      <c r="T28">
        <v>32210.21</v>
      </c>
      <c r="U28">
        <v>32927.83</v>
      </c>
      <c r="V28">
        <v>33355.599999999999</v>
      </c>
      <c r="W28">
        <v>33282.869999999995</v>
      </c>
      <c r="X28">
        <v>32855.510000000009</v>
      </c>
      <c r="Y28">
        <v>33215.51</v>
      </c>
      <c r="Z28">
        <v>33675.150000000009</v>
      </c>
      <c r="AA28">
        <v>35492.030000000006</v>
      </c>
      <c r="AB28">
        <v>36931.22</v>
      </c>
      <c r="AC28">
        <v>38001.269999999997</v>
      </c>
      <c r="AD28">
        <v>39417.219999999994</v>
      </c>
      <c r="AE28">
        <v>39847.240000000005</v>
      </c>
      <c r="AF28">
        <v>39670.12000000001</v>
      </c>
      <c r="AG28">
        <v>38608.07</v>
      </c>
      <c r="AH28">
        <v>36936.930000000008</v>
      </c>
      <c r="AI28">
        <v>34464.539999999994</v>
      </c>
      <c r="AJ28">
        <v>31364.350000000002</v>
      </c>
      <c r="AK28">
        <v>27962.699999999993</v>
      </c>
      <c r="AL28">
        <v>25424.25</v>
      </c>
      <c r="AM28">
        <v>22221.050000000003</v>
      </c>
      <c r="AN28">
        <v>19675.350000000006</v>
      </c>
      <c r="AO28">
        <v>17705.510000000009</v>
      </c>
      <c r="AP28">
        <v>17543.82</v>
      </c>
      <c r="AQ28">
        <v>16925.62999999999</v>
      </c>
      <c r="AR28">
        <v>15935.670000000002</v>
      </c>
      <c r="AS28">
        <v>14749.59</v>
      </c>
      <c r="AT28">
        <v>14926.299999999992</v>
      </c>
      <c r="AU28">
        <v>13425.350000000002</v>
      </c>
      <c r="AV28">
        <v>12076.329999999998</v>
      </c>
      <c r="AW28">
        <v>10227.729999999996</v>
      </c>
      <c r="AX28">
        <v>10197.540000000001</v>
      </c>
      <c r="AY28">
        <v>10176.18</v>
      </c>
      <c r="AZ28">
        <v>11556.43</v>
      </c>
      <c r="BA28">
        <v>12911.500000000004</v>
      </c>
      <c r="BB28">
        <v>15101</v>
      </c>
      <c r="BC28">
        <v>16990.170000000002</v>
      </c>
      <c r="BD28">
        <v>18943.269999999997</v>
      </c>
      <c r="BE28">
        <v>20700.480000000003</v>
      </c>
      <c r="BF28">
        <v>22847.760000000006</v>
      </c>
      <c r="BG28">
        <v>25385.55999999999</v>
      </c>
      <c r="BH28">
        <v>27726.019999999997</v>
      </c>
      <c r="BI28">
        <v>30246.87000000001</v>
      </c>
      <c r="BJ28">
        <v>33377.359999999993</v>
      </c>
      <c r="BK28">
        <v>36271.58</v>
      </c>
      <c r="BL28">
        <v>39131.420000000006</v>
      </c>
      <c r="BM28">
        <v>41512.350000000006</v>
      </c>
      <c r="BN28">
        <v>44291.08</v>
      </c>
      <c r="BO28">
        <v>47387.47</v>
      </c>
      <c r="BP28">
        <v>49554.44</v>
      </c>
      <c r="BQ28">
        <v>50794.43</v>
      </c>
      <c r="BR28">
        <v>51222.740000000005</v>
      </c>
      <c r="BS28">
        <v>51377.47</v>
      </c>
      <c r="BT28">
        <v>50684.780000000006</v>
      </c>
      <c r="BU28">
        <v>50034.709999999992</v>
      </c>
      <c r="BV28">
        <v>48786.659999999996</v>
      </c>
      <c r="BW28">
        <v>48473.48</v>
      </c>
      <c r="BX28">
        <v>47521.499999999993</v>
      </c>
      <c r="BY28">
        <v>47255.25</v>
      </c>
      <c r="BZ28">
        <v>46795.22</v>
      </c>
      <c r="CA28">
        <v>46177.829999999994</v>
      </c>
      <c r="CB28">
        <v>45641.909999999996</v>
      </c>
      <c r="CC28">
        <v>45080.560000000005</v>
      </c>
      <c r="CD28">
        <v>44558.26999999999</v>
      </c>
      <c r="CE28">
        <v>44179.999999999993</v>
      </c>
      <c r="CF28">
        <v>43975.41</v>
      </c>
      <c r="CG28">
        <v>43684.06</v>
      </c>
      <c r="CH28">
        <v>44433.599999999991</v>
      </c>
      <c r="CI28">
        <v>43444.639999999999</v>
      </c>
      <c r="CJ28">
        <v>42106.399999999994</v>
      </c>
      <c r="CK28">
        <v>41245.1</v>
      </c>
      <c r="CL28">
        <v>39818.15</v>
      </c>
      <c r="CM28">
        <v>39330.800000000003</v>
      </c>
      <c r="CN28">
        <v>38953.870000000003</v>
      </c>
      <c r="CO28">
        <v>38203.17</v>
      </c>
      <c r="CP28">
        <v>38045.86</v>
      </c>
      <c r="CQ28">
        <v>36460.320000000007</v>
      </c>
      <c r="CR28">
        <v>34964.9</v>
      </c>
      <c r="CS28">
        <v>33811.300000000003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002E-C6C5-4999-B091-02E5F4F7CE81}">
  <dimension ref="A1:CS2"/>
  <sheetViews>
    <sheetView topLeftCell="BW1" workbookViewId="0">
      <selection activeCell="B2" sqref="B2:CS2"/>
    </sheetView>
  </sheetViews>
  <sheetFormatPr defaultRowHeight="13.8" x14ac:dyDescent="0.25"/>
  <sheetData>
    <row r="1" spans="1:97" ht="37.04999999999999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t="s">
        <v>104</v>
      </c>
      <c r="B2">
        <v>24353.79</v>
      </c>
      <c r="C2">
        <v>24137.590000000004</v>
      </c>
      <c r="D2">
        <v>23797.040000000005</v>
      </c>
      <c r="E2">
        <v>23408.250000000004</v>
      </c>
      <c r="F2">
        <v>23163.750000000004</v>
      </c>
      <c r="G2">
        <v>22796.420000000002</v>
      </c>
      <c r="H2">
        <v>22578.83</v>
      </c>
      <c r="I2">
        <v>22409.54</v>
      </c>
      <c r="J2">
        <v>23479.29</v>
      </c>
      <c r="K2">
        <v>24100.100000000002</v>
      </c>
      <c r="L2">
        <v>23932.829999999998</v>
      </c>
      <c r="M2">
        <v>23842.480000000003</v>
      </c>
      <c r="N2">
        <v>23647.070000000003</v>
      </c>
      <c r="O2">
        <v>23829.660000000003</v>
      </c>
      <c r="P2">
        <v>23795.119999999999</v>
      </c>
      <c r="Q2">
        <v>23985.14</v>
      </c>
      <c r="R2">
        <v>24010.679999999997</v>
      </c>
      <c r="S2">
        <v>24484.01</v>
      </c>
      <c r="T2">
        <v>25217.86</v>
      </c>
      <c r="U2">
        <v>25471.98</v>
      </c>
      <c r="V2">
        <v>26421.85</v>
      </c>
      <c r="W2">
        <v>26331.919999999998</v>
      </c>
      <c r="X2">
        <v>26005.93</v>
      </c>
      <c r="Y2">
        <v>25795.789999999997</v>
      </c>
      <c r="Z2">
        <v>25905.83</v>
      </c>
      <c r="AA2">
        <v>27222.7</v>
      </c>
      <c r="AB2">
        <v>28182.289999999994</v>
      </c>
      <c r="AC2">
        <v>29191.35999999999</v>
      </c>
      <c r="AD2">
        <v>31098.44999999999</v>
      </c>
      <c r="AE2">
        <v>32530.650000000009</v>
      </c>
      <c r="AF2">
        <v>33333.61</v>
      </c>
      <c r="AG2">
        <v>33635.949999999997</v>
      </c>
      <c r="AH2">
        <v>32331.479999999996</v>
      </c>
      <c r="AI2">
        <v>30114.76</v>
      </c>
      <c r="AJ2">
        <v>27709.209999999992</v>
      </c>
      <c r="AK2">
        <v>25281.4</v>
      </c>
      <c r="AL2">
        <v>22649.399999999994</v>
      </c>
      <c r="AM2">
        <v>20639.189999999999</v>
      </c>
      <c r="AN2">
        <v>18138.449999999997</v>
      </c>
      <c r="AO2">
        <v>17135.479999999996</v>
      </c>
      <c r="AP2">
        <v>16234.569999999998</v>
      </c>
      <c r="AQ2">
        <v>15392.500000000002</v>
      </c>
      <c r="AR2">
        <v>14384.529999999997</v>
      </c>
      <c r="AS2">
        <v>13691.009999999998</v>
      </c>
      <c r="AT2">
        <v>14201.41</v>
      </c>
      <c r="AU2">
        <v>12231.380000000001</v>
      </c>
      <c r="AV2">
        <v>11271.599999999995</v>
      </c>
      <c r="AW2">
        <v>10152.129999999997</v>
      </c>
      <c r="AX2">
        <v>10157.609999999997</v>
      </c>
      <c r="AY2">
        <v>10026.210000000003</v>
      </c>
      <c r="AZ2">
        <v>11222.589999999997</v>
      </c>
      <c r="BA2">
        <v>12856.340000000004</v>
      </c>
      <c r="BB2">
        <v>15494.380000000003</v>
      </c>
      <c r="BC2">
        <v>17520.810000000005</v>
      </c>
      <c r="BD2">
        <v>19305.46</v>
      </c>
      <c r="BE2">
        <v>21049.119999999999</v>
      </c>
      <c r="BF2">
        <v>23476.87</v>
      </c>
      <c r="BG2">
        <v>26320.080000000002</v>
      </c>
      <c r="BH2">
        <v>29044.82</v>
      </c>
      <c r="BI2">
        <v>31862.549999999992</v>
      </c>
      <c r="BJ2">
        <v>34409.51</v>
      </c>
      <c r="BK2">
        <v>36751.520000000004</v>
      </c>
      <c r="BL2">
        <v>39569.640000000007</v>
      </c>
      <c r="BM2">
        <v>41582.819999999992</v>
      </c>
      <c r="BN2">
        <v>43728.579999999994</v>
      </c>
      <c r="BO2">
        <v>45881.919999999991</v>
      </c>
      <c r="BP2">
        <v>47671.39</v>
      </c>
      <c r="BQ2">
        <v>47966.720000000008</v>
      </c>
      <c r="BR2">
        <v>48162.55</v>
      </c>
      <c r="BS2">
        <v>47900.069999999992</v>
      </c>
      <c r="BT2">
        <v>46450.27</v>
      </c>
      <c r="BU2">
        <v>44961.630000000005</v>
      </c>
      <c r="BV2">
        <v>43638.66</v>
      </c>
      <c r="BW2">
        <v>43164.320000000007</v>
      </c>
      <c r="BX2">
        <v>41879.08</v>
      </c>
      <c r="BY2">
        <v>41377.259999999995</v>
      </c>
      <c r="BZ2">
        <v>40780.759999999995</v>
      </c>
      <c r="CA2">
        <v>40274.980000000003</v>
      </c>
      <c r="CB2">
        <v>39750.51999999999</v>
      </c>
      <c r="CC2">
        <v>39412.220000000008</v>
      </c>
      <c r="CD2">
        <v>39362.25</v>
      </c>
      <c r="CE2">
        <v>39122.959999999999</v>
      </c>
      <c r="CF2">
        <v>39031.43</v>
      </c>
      <c r="CG2">
        <v>38865.819999999992</v>
      </c>
      <c r="CH2">
        <v>39512.879999999997</v>
      </c>
      <c r="CI2">
        <v>38885.81</v>
      </c>
      <c r="CJ2">
        <v>37978.449999999997</v>
      </c>
      <c r="CK2">
        <v>37102.22</v>
      </c>
      <c r="CL2">
        <v>36073.919999999998</v>
      </c>
      <c r="CM2">
        <v>36304.58</v>
      </c>
      <c r="CN2">
        <v>35990.14</v>
      </c>
      <c r="CO2">
        <v>35856.679999999993</v>
      </c>
      <c r="CP2">
        <v>36493.800000000003</v>
      </c>
      <c r="CQ2">
        <v>35640.21</v>
      </c>
      <c r="CR2">
        <v>35102.44</v>
      </c>
      <c r="CS2">
        <v>34308.07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0B36-BE27-4940-8C41-C5CC7784B1D3}">
  <dimension ref="A1:GK2"/>
  <sheetViews>
    <sheetView topLeftCell="BX1" workbookViewId="0">
      <selection activeCell="BY14" sqref="BY14"/>
    </sheetView>
  </sheetViews>
  <sheetFormatPr defaultRowHeight="13.8" x14ac:dyDescent="0.25"/>
  <sheetData>
    <row r="1" spans="1:193" ht="37.04999999999999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1</v>
      </c>
      <c r="CU1" s="1" t="s">
        <v>2</v>
      </c>
      <c r="CV1" s="1" t="s">
        <v>3</v>
      </c>
      <c r="CW1" s="1" t="s">
        <v>4</v>
      </c>
      <c r="CX1" s="1" t="s">
        <v>5</v>
      </c>
      <c r="CY1" s="1" t="s">
        <v>6</v>
      </c>
      <c r="CZ1" s="1" t="s">
        <v>7</v>
      </c>
      <c r="DA1" s="1" t="s">
        <v>8</v>
      </c>
      <c r="DB1" s="1" t="s">
        <v>9</v>
      </c>
      <c r="DC1" s="1" t="s">
        <v>10</v>
      </c>
      <c r="DD1" s="1" t="s">
        <v>11</v>
      </c>
      <c r="DE1" s="1" t="s">
        <v>12</v>
      </c>
      <c r="DF1" s="1" t="s">
        <v>13</v>
      </c>
      <c r="DG1" s="1" t="s">
        <v>14</v>
      </c>
      <c r="DH1" s="1" t="s">
        <v>15</v>
      </c>
      <c r="DI1" s="1" t="s">
        <v>16</v>
      </c>
      <c r="DJ1" s="1" t="s">
        <v>17</v>
      </c>
      <c r="DK1" s="1" t="s">
        <v>18</v>
      </c>
      <c r="DL1" s="1" t="s">
        <v>19</v>
      </c>
      <c r="DM1" s="1" t="s">
        <v>20</v>
      </c>
      <c r="DN1" s="1" t="s">
        <v>21</v>
      </c>
      <c r="DO1" s="1" t="s">
        <v>22</v>
      </c>
      <c r="DP1" s="1" t="s">
        <v>23</v>
      </c>
      <c r="DQ1" s="1" t="s">
        <v>24</v>
      </c>
      <c r="DR1" s="1" t="s">
        <v>25</v>
      </c>
      <c r="DS1" s="1" t="s">
        <v>26</v>
      </c>
      <c r="DT1" s="1" t="s">
        <v>27</v>
      </c>
      <c r="DU1" s="1" t="s">
        <v>28</v>
      </c>
      <c r="DV1" s="1" t="s">
        <v>29</v>
      </c>
      <c r="DW1" s="1" t="s">
        <v>30</v>
      </c>
      <c r="DX1" s="1" t="s">
        <v>31</v>
      </c>
      <c r="DY1" s="1" t="s">
        <v>32</v>
      </c>
      <c r="DZ1" s="1" t="s">
        <v>33</v>
      </c>
      <c r="EA1" s="1" t="s">
        <v>34</v>
      </c>
      <c r="EB1" s="1" t="s">
        <v>35</v>
      </c>
      <c r="EC1" s="1" t="s">
        <v>36</v>
      </c>
      <c r="ED1" s="1" t="s">
        <v>37</v>
      </c>
      <c r="EE1" s="1" t="s">
        <v>38</v>
      </c>
      <c r="EF1" s="1" t="s">
        <v>39</v>
      </c>
      <c r="EG1" s="1" t="s">
        <v>40</v>
      </c>
      <c r="EH1" s="1" t="s">
        <v>41</v>
      </c>
      <c r="EI1" s="1" t="s">
        <v>42</v>
      </c>
      <c r="EJ1" s="1" t="s">
        <v>43</v>
      </c>
      <c r="EK1" s="1" t="s">
        <v>44</v>
      </c>
      <c r="EL1" s="1" t="s">
        <v>45</v>
      </c>
      <c r="EM1" s="1" t="s">
        <v>46</v>
      </c>
      <c r="EN1" s="1" t="s">
        <v>47</v>
      </c>
      <c r="EO1" s="1" t="s">
        <v>48</v>
      </c>
      <c r="EP1" s="1" t="s">
        <v>49</v>
      </c>
      <c r="EQ1" s="1" t="s">
        <v>50</v>
      </c>
      <c r="ER1" s="1" t="s">
        <v>51</v>
      </c>
      <c r="ES1" s="1" t="s">
        <v>52</v>
      </c>
      <c r="ET1" s="1" t="s">
        <v>53</v>
      </c>
      <c r="EU1" s="1" t="s">
        <v>54</v>
      </c>
      <c r="EV1" s="1" t="s">
        <v>55</v>
      </c>
      <c r="EW1" s="1" t="s">
        <v>56</v>
      </c>
      <c r="EX1" s="1" t="s">
        <v>57</v>
      </c>
      <c r="EY1" s="1" t="s">
        <v>58</v>
      </c>
      <c r="EZ1" s="1" t="s">
        <v>59</v>
      </c>
      <c r="FA1" s="1" t="s">
        <v>60</v>
      </c>
      <c r="FB1" s="1" t="s">
        <v>61</v>
      </c>
      <c r="FC1" s="1" t="s">
        <v>62</v>
      </c>
      <c r="FD1" s="1" t="s">
        <v>63</v>
      </c>
      <c r="FE1" s="1" t="s">
        <v>64</v>
      </c>
      <c r="FF1" s="1" t="s">
        <v>65</v>
      </c>
      <c r="FG1" s="1" t="s">
        <v>66</v>
      </c>
      <c r="FH1" s="1" t="s">
        <v>67</v>
      </c>
      <c r="FI1" s="1" t="s">
        <v>68</v>
      </c>
      <c r="FJ1" s="1" t="s">
        <v>69</v>
      </c>
      <c r="FK1" s="1" t="s">
        <v>70</v>
      </c>
      <c r="FL1" s="1" t="s">
        <v>71</v>
      </c>
      <c r="FM1" s="1" t="s">
        <v>72</v>
      </c>
      <c r="FN1" s="1" t="s">
        <v>73</v>
      </c>
      <c r="FO1" s="1" t="s">
        <v>74</v>
      </c>
      <c r="FP1" s="1" t="s">
        <v>75</v>
      </c>
      <c r="FQ1" s="1" t="s">
        <v>76</v>
      </c>
      <c r="FR1" s="1" t="s">
        <v>77</v>
      </c>
      <c r="FS1" s="1" t="s">
        <v>78</v>
      </c>
      <c r="FT1" s="1" t="s">
        <v>79</v>
      </c>
      <c r="FU1" s="1" t="s">
        <v>80</v>
      </c>
      <c r="FV1" s="1" t="s">
        <v>81</v>
      </c>
      <c r="FW1" s="1" t="s">
        <v>82</v>
      </c>
      <c r="FX1" s="1" t="s">
        <v>83</v>
      </c>
      <c r="FY1" s="1" t="s">
        <v>84</v>
      </c>
      <c r="FZ1" s="1" t="s">
        <v>85</v>
      </c>
      <c r="GA1" s="1" t="s">
        <v>86</v>
      </c>
      <c r="GB1" s="1" t="s">
        <v>87</v>
      </c>
      <c r="GC1" s="1" t="s">
        <v>88</v>
      </c>
      <c r="GD1" s="1" t="s">
        <v>89</v>
      </c>
      <c r="GE1" s="1" t="s">
        <v>90</v>
      </c>
      <c r="GF1" s="1" t="s">
        <v>91</v>
      </c>
      <c r="GG1" s="1" t="s">
        <v>92</v>
      </c>
      <c r="GH1" s="1" t="s">
        <v>93</v>
      </c>
      <c r="GI1" s="1" t="s">
        <v>94</v>
      </c>
      <c r="GJ1" s="1" t="s">
        <v>95</v>
      </c>
      <c r="GK1" s="1" t="s">
        <v>96</v>
      </c>
    </row>
    <row r="2" spans="1:193" x14ac:dyDescent="0.25">
      <c r="A2" t="s">
        <v>104</v>
      </c>
      <c r="B2">
        <v>43120.55</v>
      </c>
      <c r="C2">
        <v>41694.659999999996</v>
      </c>
      <c r="D2">
        <v>41488.850000000006</v>
      </c>
      <c r="E2">
        <v>41049.520000000004</v>
      </c>
      <c r="F2">
        <v>40915.1</v>
      </c>
      <c r="G2">
        <v>40663.39</v>
      </c>
      <c r="H2">
        <v>40673.96</v>
      </c>
      <c r="I2">
        <v>40356.899999999994</v>
      </c>
      <c r="J2">
        <v>41531.08</v>
      </c>
      <c r="K2">
        <v>41441.370000000003</v>
      </c>
      <c r="L2">
        <v>41319.42</v>
      </c>
      <c r="M2">
        <v>40937.130000000005</v>
      </c>
      <c r="N2">
        <v>40677.94</v>
      </c>
      <c r="O2">
        <v>40605.21</v>
      </c>
      <c r="P2">
        <v>40450.560000000005</v>
      </c>
      <c r="Q2">
        <v>40254.71</v>
      </c>
      <c r="R2">
        <v>40460.68</v>
      </c>
      <c r="S2">
        <v>40547.769999999997</v>
      </c>
      <c r="T2">
        <v>40848.660000000003</v>
      </c>
      <c r="U2">
        <v>41338.269999999997</v>
      </c>
      <c r="V2">
        <v>41682.11</v>
      </c>
      <c r="W2">
        <v>41197.950000000004</v>
      </c>
      <c r="X2">
        <v>40931.99</v>
      </c>
      <c r="Y2">
        <v>40531.090000000004</v>
      </c>
      <c r="Z2">
        <v>40743.389999999992</v>
      </c>
      <c r="AA2">
        <v>41675.570000000007</v>
      </c>
      <c r="AB2">
        <v>42762.939999999995</v>
      </c>
      <c r="AC2">
        <v>43505.920000000006</v>
      </c>
      <c r="AD2">
        <v>44088.24</v>
      </c>
      <c r="AE2">
        <v>43998.36</v>
      </c>
      <c r="AF2">
        <v>44207.420000000006</v>
      </c>
      <c r="AG2">
        <v>43208.86</v>
      </c>
      <c r="AH2">
        <v>41674.51</v>
      </c>
      <c r="AI2">
        <v>38636.36</v>
      </c>
      <c r="AJ2">
        <v>35251.369999999995</v>
      </c>
      <c r="AK2">
        <v>32030.43</v>
      </c>
      <c r="AL2">
        <v>29087.46999999999</v>
      </c>
      <c r="AM2">
        <v>26439.279999999995</v>
      </c>
      <c r="AN2">
        <v>23581.129999999997</v>
      </c>
      <c r="AO2">
        <v>21462.28</v>
      </c>
      <c r="AP2">
        <v>20277.080000000002</v>
      </c>
      <c r="AQ2">
        <v>19450.330000000002</v>
      </c>
      <c r="AR2">
        <v>18271.79</v>
      </c>
      <c r="AS2">
        <v>17028.030000000002</v>
      </c>
      <c r="AT2">
        <v>17095.060000000001</v>
      </c>
      <c r="AU2">
        <v>15113.429999999997</v>
      </c>
      <c r="AV2">
        <v>13942.14</v>
      </c>
      <c r="AW2">
        <v>11983.280000000006</v>
      </c>
      <c r="AX2">
        <v>11256.419999999998</v>
      </c>
      <c r="AY2">
        <v>11261.400000000001</v>
      </c>
      <c r="AZ2">
        <v>12408.130000000005</v>
      </c>
      <c r="BA2">
        <v>13261.970000000001</v>
      </c>
      <c r="BB2">
        <v>15771.609999999999</v>
      </c>
      <c r="BC2">
        <v>17263.710000000003</v>
      </c>
      <c r="BD2">
        <v>18864.399999999998</v>
      </c>
      <c r="BE2">
        <v>19985.650000000001</v>
      </c>
      <c r="BF2">
        <v>22122.060000000005</v>
      </c>
      <c r="BG2">
        <v>24448.430000000008</v>
      </c>
      <c r="BH2">
        <v>26816.169999999995</v>
      </c>
      <c r="BI2">
        <v>28716.729999999996</v>
      </c>
      <c r="BJ2">
        <v>31301.120000000006</v>
      </c>
      <c r="BK2">
        <v>34135.39</v>
      </c>
      <c r="BL2">
        <v>36482.660000000003</v>
      </c>
      <c r="BM2">
        <v>37214.080000000002</v>
      </c>
      <c r="BN2">
        <v>38460.89</v>
      </c>
      <c r="BO2">
        <v>40029.460000000006</v>
      </c>
      <c r="BP2">
        <v>41129.209999999992</v>
      </c>
      <c r="BQ2">
        <v>41347.49</v>
      </c>
      <c r="BR2">
        <v>41289.96</v>
      </c>
      <c r="BS2">
        <v>40708.540000000008</v>
      </c>
      <c r="BT2">
        <v>39349.26</v>
      </c>
      <c r="BU2">
        <v>37493.870000000003</v>
      </c>
      <c r="BV2">
        <v>36072.289999999994</v>
      </c>
      <c r="BW2">
        <v>34892.250000000007</v>
      </c>
      <c r="BX2">
        <v>34331.090000000004</v>
      </c>
      <c r="BY2">
        <v>33380.240000000005</v>
      </c>
      <c r="BZ2">
        <v>32816.969999999994</v>
      </c>
      <c r="CA2">
        <v>32369.510000000006</v>
      </c>
      <c r="CB2">
        <v>31770.69</v>
      </c>
      <c r="CC2">
        <v>31499.590000000004</v>
      </c>
      <c r="CD2">
        <v>31112.500000000007</v>
      </c>
      <c r="CE2">
        <v>30647.809999999994</v>
      </c>
      <c r="CF2">
        <v>30319.269999999997</v>
      </c>
      <c r="CG2">
        <v>30376.410000000003</v>
      </c>
      <c r="CH2">
        <v>30857.419999999995</v>
      </c>
      <c r="CI2">
        <v>30254.800000000003</v>
      </c>
      <c r="CJ2">
        <v>29459.360000000001</v>
      </c>
      <c r="CK2">
        <v>28090.599999999995</v>
      </c>
      <c r="CL2">
        <v>26983.670000000002</v>
      </c>
      <c r="CM2">
        <v>26742.95</v>
      </c>
      <c r="CN2">
        <v>26718.09</v>
      </c>
      <c r="CO2">
        <v>26058.640000000003</v>
      </c>
      <c r="CP2">
        <v>26893.079999999998</v>
      </c>
      <c r="CQ2">
        <v>25977.450000000004</v>
      </c>
      <c r="CR2">
        <v>24933.74</v>
      </c>
      <c r="CS2">
        <v>24081.510000000002</v>
      </c>
      <c r="CT2">
        <v>24353.79</v>
      </c>
      <c r="CU2">
        <v>24137.590000000004</v>
      </c>
      <c r="CV2">
        <v>23797.040000000005</v>
      </c>
      <c r="CW2">
        <v>23408.250000000004</v>
      </c>
      <c r="CX2">
        <v>23163.750000000004</v>
      </c>
      <c r="CY2">
        <v>22796.420000000002</v>
      </c>
      <c r="CZ2">
        <v>22578.83</v>
      </c>
      <c r="DA2">
        <v>22409.54</v>
      </c>
      <c r="DB2">
        <v>23479.29</v>
      </c>
      <c r="DC2">
        <v>24100.100000000002</v>
      </c>
      <c r="DD2">
        <v>23932.829999999998</v>
      </c>
      <c r="DE2">
        <v>23842.480000000003</v>
      </c>
      <c r="DF2">
        <v>23647.070000000003</v>
      </c>
      <c r="DG2">
        <v>23829.660000000003</v>
      </c>
      <c r="DH2">
        <v>23795.119999999999</v>
      </c>
      <c r="DI2">
        <v>23985.14</v>
      </c>
      <c r="DJ2">
        <v>24010.679999999997</v>
      </c>
      <c r="DK2">
        <v>24484.01</v>
      </c>
      <c r="DL2">
        <v>25217.86</v>
      </c>
      <c r="DM2">
        <v>25471.98</v>
      </c>
      <c r="DN2">
        <v>26421.85</v>
      </c>
      <c r="DO2">
        <v>26331.919999999998</v>
      </c>
      <c r="DP2">
        <v>26005.93</v>
      </c>
      <c r="DQ2">
        <v>25795.789999999997</v>
      </c>
      <c r="DR2">
        <v>25905.83</v>
      </c>
      <c r="DS2">
        <v>27222.7</v>
      </c>
      <c r="DT2">
        <v>28182.289999999994</v>
      </c>
      <c r="DU2">
        <v>29191.35999999999</v>
      </c>
      <c r="DV2">
        <v>31098.44999999999</v>
      </c>
      <c r="DW2">
        <v>32530.650000000009</v>
      </c>
      <c r="DX2">
        <v>33333.61</v>
      </c>
      <c r="DY2">
        <v>33635.949999999997</v>
      </c>
      <c r="DZ2">
        <v>32331.479999999996</v>
      </c>
      <c r="EA2">
        <v>30114.76</v>
      </c>
      <c r="EB2">
        <v>27709.209999999992</v>
      </c>
      <c r="EC2">
        <v>25281.4</v>
      </c>
      <c r="ED2">
        <v>22649.399999999994</v>
      </c>
      <c r="EE2">
        <v>20639.189999999999</v>
      </c>
      <c r="EF2">
        <v>18138.449999999997</v>
      </c>
      <c r="EG2">
        <v>17135.479999999996</v>
      </c>
      <c r="EH2">
        <v>16234.569999999998</v>
      </c>
      <c r="EI2">
        <v>15392.500000000002</v>
      </c>
      <c r="EJ2">
        <v>14384.529999999997</v>
      </c>
      <c r="EK2">
        <v>13691.009999999998</v>
      </c>
      <c r="EL2">
        <v>14201.41</v>
      </c>
      <c r="EM2">
        <v>12231.380000000001</v>
      </c>
      <c r="EN2">
        <v>11271.599999999995</v>
      </c>
      <c r="EO2">
        <v>10152.129999999997</v>
      </c>
      <c r="EP2">
        <v>10157.609999999997</v>
      </c>
      <c r="EQ2">
        <v>10026.210000000003</v>
      </c>
      <c r="ER2">
        <v>11222.589999999997</v>
      </c>
      <c r="ES2">
        <v>12856.340000000004</v>
      </c>
      <c r="ET2">
        <v>15494.380000000003</v>
      </c>
      <c r="EU2">
        <v>17520.810000000005</v>
      </c>
      <c r="EV2">
        <v>19305.46</v>
      </c>
      <c r="EW2">
        <v>21049.119999999999</v>
      </c>
      <c r="EX2">
        <v>23476.87</v>
      </c>
      <c r="EY2">
        <v>26320.080000000002</v>
      </c>
      <c r="EZ2">
        <v>29044.82</v>
      </c>
      <c r="FA2">
        <v>31862.549999999992</v>
      </c>
      <c r="FB2">
        <v>34409.51</v>
      </c>
      <c r="FC2">
        <v>36751.520000000004</v>
      </c>
      <c r="FD2">
        <v>39569.640000000007</v>
      </c>
      <c r="FE2">
        <v>41582.819999999992</v>
      </c>
      <c r="FF2">
        <v>43728.579999999994</v>
      </c>
      <c r="FG2">
        <v>45881.919999999991</v>
      </c>
      <c r="FH2">
        <v>47671.39</v>
      </c>
      <c r="FI2">
        <v>47966.720000000008</v>
      </c>
      <c r="FJ2">
        <v>48162.55</v>
      </c>
      <c r="FK2">
        <v>47900.069999999992</v>
      </c>
      <c r="FL2">
        <v>46450.27</v>
      </c>
      <c r="FM2">
        <v>44961.630000000005</v>
      </c>
      <c r="FN2">
        <v>43638.66</v>
      </c>
      <c r="FO2">
        <v>43164.320000000007</v>
      </c>
      <c r="FP2">
        <v>41879.08</v>
      </c>
      <c r="FQ2">
        <v>41377.259999999995</v>
      </c>
      <c r="FR2">
        <v>40780.759999999995</v>
      </c>
      <c r="FS2">
        <v>40274.980000000003</v>
      </c>
      <c r="FT2">
        <v>39750.51999999999</v>
      </c>
      <c r="FU2">
        <v>39412.220000000008</v>
      </c>
      <c r="FV2">
        <v>39362.25</v>
      </c>
      <c r="FW2">
        <v>39122.959999999999</v>
      </c>
      <c r="FX2">
        <v>39031.43</v>
      </c>
      <c r="FY2">
        <v>38865.819999999992</v>
      </c>
      <c r="FZ2">
        <v>39512.879999999997</v>
      </c>
      <c r="GA2">
        <v>38885.81</v>
      </c>
      <c r="GB2">
        <v>37978.449999999997</v>
      </c>
      <c r="GC2">
        <v>37102.22</v>
      </c>
      <c r="GD2">
        <v>36073.919999999998</v>
      </c>
      <c r="GE2">
        <v>36304.58</v>
      </c>
      <c r="GF2">
        <v>35990.14</v>
      </c>
      <c r="GG2">
        <v>35856.679999999993</v>
      </c>
      <c r="GH2">
        <v>36493.800000000003</v>
      </c>
      <c r="GI2">
        <v>35640.21</v>
      </c>
      <c r="GJ2">
        <v>35102.44</v>
      </c>
      <c r="GK2">
        <v>34308.07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2015-06-05T18:19:34Z</dcterms:created>
  <dcterms:modified xsi:type="dcterms:W3CDTF">2026-05-26T01:34:30Z</dcterms:modified>
</cp:coreProperties>
</file>