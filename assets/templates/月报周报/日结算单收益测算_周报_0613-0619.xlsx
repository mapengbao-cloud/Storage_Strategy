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DataWork\Storage_Strategy\output\"/>
    </mc:Choice>
  </mc:AlternateContent>
  <xr:revisionPtr revIDLastSave="0" documentId="13_ncr:1_{0AA1C508-5B5D-4385-A462-EF5963579E71}" xr6:coauthVersionLast="36" xr6:coauthVersionMax="36" xr10:uidLastSave="{00000000-0000-0000-0000-000000000000}"/>
  <bookViews>
    <workbookView xWindow="0" yWindow="0" windowWidth="23040" windowHeight="8892" xr2:uid="{00000000-000D-0000-FFFF-FFFF00000000}"/>
  </bookViews>
  <sheets>
    <sheet name="日结算单收益测算" sheetId="1" r:id="rId1"/>
  </sheets>
  <calcPr calcId="191029"/>
</workbook>
</file>

<file path=xl/calcChain.xml><?xml version="1.0" encoding="utf-8"?>
<calcChain xmlns="http://schemas.openxmlformats.org/spreadsheetml/2006/main">
  <c r="J9" i="1" l="1"/>
  <c r="O9" i="1"/>
  <c r="K9" i="1"/>
  <c r="B9" i="1"/>
  <c r="D9" i="1"/>
  <c r="E9" i="1"/>
  <c r="F9" i="1"/>
  <c r="G9" i="1"/>
  <c r="H9" i="1"/>
  <c r="I9" i="1"/>
  <c r="L9" i="1"/>
  <c r="M9" i="1"/>
  <c r="N9" i="1"/>
  <c r="P9" i="1"/>
  <c r="Q9" i="1"/>
  <c r="R9" i="1"/>
  <c r="S9" i="1"/>
  <c r="T9" i="1"/>
  <c r="C9" i="1"/>
</calcChain>
</file>

<file path=xl/sharedStrings.xml><?xml version="1.0" encoding="utf-8"?>
<sst xmlns="http://schemas.openxmlformats.org/spreadsheetml/2006/main" count="28" uniqueCount="28">
  <si>
    <t>日期</t>
  </si>
  <si>
    <t>充电均价(元/MWh)</t>
  </si>
  <si>
    <t>充电电量(MWh)</t>
  </si>
  <si>
    <t>交易充电费用(元)</t>
  </si>
  <si>
    <t>上网线损(元)</t>
  </si>
  <si>
    <t>输配电费(元)</t>
  </si>
  <si>
    <t>政府基金(元)</t>
  </si>
  <si>
    <t>系统运行(元)</t>
  </si>
  <si>
    <t>容量分摊(元)</t>
  </si>
  <si>
    <t>容量分摊系数</t>
  </si>
  <si>
    <t>放电均价(元/MWh)</t>
  </si>
  <si>
    <t>放电电量(MWh)</t>
  </si>
  <si>
    <t>放电电费(元)</t>
  </si>
  <si>
    <t>综合效率</t>
  </si>
  <si>
    <t>充放价差(元/MWh)</t>
  </si>
  <si>
    <t>结算单发用合计</t>
  </si>
  <si>
    <t>实时市场充放合计</t>
  </si>
  <si>
    <t>调频补偿与分摊合计</t>
  </si>
  <si>
    <t>结算单外合计</t>
  </si>
  <si>
    <t>总收益</t>
  </si>
  <si>
    <t>0613</t>
  </si>
  <si>
    <t>0614</t>
  </si>
  <si>
    <t>0615</t>
  </si>
  <si>
    <t>0616</t>
  </si>
  <si>
    <t>0617</t>
  </si>
  <si>
    <t>0618</t>
  </si>
  <si>
    <t>0619</t>
  </si>
  <si>
    <t>合计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</si>
</sst>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0" fillId="0" borderId="1" xfId="0" applyFill="1" applyBorder="1"/>
    <xf numFmtId="2" fontId="0" fillId="0" borderId="1" xfId="0" applyNumberFormat="1" applyBorder="1"/>
    <xf numFmtId="2" fontId="2" fillId="0" borderId="1" xfId="0" applyNumberFormat="1" applyFon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"/>
  <sheetViews>
    <sheetView tabSelected="1" workbookViewId="0">
      <selection activeCell="M16" sqref="M16"/>
    </sheetView>
  </sheetViews>
  <sheetFormatPr defaultRowHeight="14.4" x14ac:dyDescent="0.25"/>
  <cols>
    <col min="2" max="2" width="9" bestFit="1" customWidth="1"/>
    <col min="3" max="3" width="10.44140625" bestFit="1" customWidth="1"/>
    <col min="4" max="4" width="12.88671875" customWidth="1"/>
    <col min="5" max="5" width="9.5546875" bestFit="1" customWidth="1"/>
    <col min="6" max="6" width="10.5546875" bestFit="1" customWidth="1"/>
    <col min="7" max="7" width="9.5546875" bestFit="1" customWidth="1"/>
    <col min="8" max="9" width="10.5546875" bestFit="1" customWidth="1"/>
    <col min="10" max="12" width="9" bestFit="1" customWidth="1"/>
    <col min="13" max="13" width="10.5546875" bestFit="1" customWidth="1"/>
    <col min="14" max="15" width="9" bestFit="1" customWidth="1"/>
    <col min="16" max="16" width="14.21875" customWidth="1"/>
    <col min="17" max="17" width="10.5546875" bestFit="1" customWidth="1"/>
    <col min="18" max="18" width="9" bestFit="1" customWidth="1"/>
    <col min="19" max="19" width="12.88671875" bestFit="1" customWidth="1"/>
    <col min="20" max="20" width="11.66406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 t="s">
        <v>20</v>
      </c>
      <c r="B2" s="1">
        <v>29.22</v>
      </c>
      <c r="C2" s="3">
        <v>-188.4</v>
      </c>
      <c r="D2" s="1">
        <v>-5504.82</v>
      </c>
      <c r="E2" s="1">
        <v>-500.26</v>
      </c>
      <c r="F2" s="1">
        <v>-5092.83</v>
      </c>
      <c r="G2" s="1">
        <v>-721.01</v>
      </c>
      <c r="H2" s="1">
        <v>-2497.31</v>
      </c>
      <c r="I2" s="1">
        <v>-11068.71</v>
      </c>
      <c r="J2" s="1">
        <v>0.83</v>
      </c>
      <c r="K2" s="1">
        <v>344.09</v>
      </c>
      <c r="L2" s="3">
        <v>161.86000000000001</v>
      </c>
      <c r="M2" s="1">
        <v>55695.58</v>
      </c>
      <c r="N2" s="1">
        <v>0.86</v>
      </c>
      <c r="O2" s="1">
        <v>314.87</v>
      </c>
      <c r="P2" s="2">
        <v>48946.48</v>
      </c>
      <c r="Q2" s="1">
        <v>50190.76</v>
      </c>
      <c r="R2" s="1">
        <v>0</v>
      </c>
      <c r="S2" s="1">
        <v>-19880.13</v>
      </c>
      <c r="T2" s="1">
        <v>29066.35</v>
      </c>
    </row>
    <row r="3" spans="1:20" x14ac:dyDescent="0.25">
      <c r="A3" s="1" t="s">
        <v>21</v>
      </c>
      <c r="B3" s="1">
        <v>83.02</v>
      </c>
      <c r="C3" s="3">
        <v>-237.02</v>
      </c>
      <c r="D3" s="1">
        <v>-19677.189999999999</v>
      </c>
      <c r="E3" s="1">
        <v>-629.36</v>
      </c>
      <c r="F3" s="1">
        <v>-6256.9</v>
      </c>
      <c r="G3" s="1">
        <v>-885.81</v>
      </c>
      <c r="H3" s="1">
        <v>-3141.78</v>
      </c>
      <c r="I3" s="1">
        <v>-13877.91</v>
      </c>
      <c r="J3" s="1">
        <v>0.83</v>
      </c>
      <c r="K3" s="1">
        <v>357.8</v>
      </c>
      <c r="L3" s="3">
        <v>204.42</v>
      </c>
      <c r="M3" s="1">
        <v>73139.320000000007</v>
      </c>
      <c r="N3" s="1">
        <v>0.86</v>
      </c>
      <c r="O3" s="1">
        <v>274.77999999999997</v>
      </c>
      <c r="P3" s="2">
        <v>51706.3</v>
      </c>
      <c r="Q3" s="1">
        <v>53462.13</v>
      </c>
      <c r="R3" s="1">
        <v>0</v>
      </c>
      <c r="S3" s="1">
        <v>-24791.759999999998</v>
      </c>
      <c r="T3" s="1">
        <v>26914.54</v>
      </c>
    </row>
    <row r="4" spans="1:20" x14ac:dyDescent="0.25">
      <c r="A4" s="1" t="s">
        <v>22</v>
      </c>
      <c r="B4" s="1">
        <v>-67.260000000000005</v>
      </c>
      <c r="C4" s="3">
        <v>-191.22</v>
      </c>
      <c r="D4" s="1">
        <v>12861.44</v>
      </c>
      <c r="E4" s="1">
        <v>-507.75</v>
      </c>
      <c r="F4" s="1">
        <v>-5313.14</v>
      </c>
      <c r="G4" s="1">
        <v>-752.2</v>
      </c>
      <c r="H4" s="1">
        <v>-2534.6799999999998</v>
      </c>
      <c r="I4" s="1">
        <v>-11772.23</v>
      </c>
      <c r="J4" s="1">
        <v>0.87</v>
      </c>
      <c r="K4" s="1">
        <v>350.24</v>
      </c>
      <c r="L4" s="3">
        <v>163.53</v>
      </c>
      <c r="M4" s="1">
        <v>57276.44</v>
      </c>
      <c r="N4" s="1">
        <v>0.86</v>
      </c>
      <c r="O4" s="1">
        <v>417.5</v>
      </c>
      <c r="P4" s="2">
        <v>68335.649999999994</v>
      </c>
      <c r="Q4" s="1">
        <v>70137.87</v>
      </c>
      <c r="R4" s="1">
        <v>0</v>
      </c>
      <c r="S4" s="1">
        <v>-20879.990000000002</v>
      </c>
      <c r="T4" s="1">
        <v>47455.67</v>
      </c>
    </row>
    <row r="5" spans="1:20" x14ac:dyDescent="0.25">
      <c r="A5" s="1" t="s">
        <v>23</v>
      </c>
      <c r="B5" s="1">
        <v>63.83</v>
      </c>
      <c r="C5" s="3">
        <v>-190.51</v>
      </c>
      <c r="D5" s="1">
        <v>-12161.18</v>
      </c>
      <c r="E5" s="1">
        <v>-505.87</v>
      </c>
      <c r="F5" s="1">
        <v>-5329.83</v>
      </c>
      <c r="G5" s="1">
        <v>-754.56</v>
      </c>
      <c r="H5" s="1">
        <v>-2525.33</v>
      </c>
      <c r="I5" s="1">
        <v>-11556.78</v>
      </c>
      <c r="J5" s="1">
        <v>0.86</v>
      </c>
      <c r="K5" s="1">
        <v>436.78</v>
      </c>
      <c r="L5" s="3">
        <v>162.74</v>
      </c>
      <c r="M5" s="1">
        <v>71082.33</v>
      </c>
      <c r="N5" s="1">
        <v>0.85</v>
      </c>
      <c r="O5" s="1">
        <v>372.95</v>
      </c>
      <c r="P5" s="2">
        <v>58408.78</v>
      </c>
      <c r="Q5" s="1">
        <v>58921.16</v>
      </c>
      <c r="R5" s="1">
        <v>0</v>
      </c>
      <c r="S5" s="1">
        <v>-20672.38</v>
      </c>
      <c r="T5" s="1">
        <v>37736.39</v>
      </c>
    </row>
    <row r="6" spans="1:20" x14ac:dyDescent="0.25">
      <c r="A6" s="1" t="s">
        <v>24</v>
      </c>
      <c r="B6" s="1">
        <v>392.42</v>
      </c>
      <c r="C6" s="3">
        <v>-189.99</v>
      </c>
      <c r="D6" s="1">
        <v>-74555.100000000006</v>
      </c>
      <c r="E6" s="1">
        <v>-504.47</v>
      </c>
      <c r="F6" s="1">
        <v>-5700.77</v>
      </c>
      <c r="G6" s="1">
        <v>-807.08</v>
      </c>
      <c r="H6" s="1">
        <v>-2518.33</v>
      </c>
      <c r="I6" s="1">
        <v>-9162.4</v>
      </c>
      <c r="J6" s="1">
        <v>0.68</v>
      </c>
      <c r="K6" s="1">
        <v>538.92999999999995</v>
      </c>
      <c r="L6" s="3">
        <v>160.28</v>
      </c>
      <c r="M6" s="1">
        <v>86379.71</v>
      </c>
      <c r="N6" s="1">
        <v>0.84</v>
      </c>
      <c r="O6" s="1">
        <v>146.51</v>
      </c>
      <c r="P6" s="2">
        <v>11760.51</v>
      </c>
      <c r="Q6" s="1">
        <v>11824.61</v>
      </c>
      <c r="R6" s="1">
        <v>0</v>
      </c>
      <c r="S6" s="1">
        <v>-18693.060000000001</v>
      </c>
      <c r="T6" s="1">
        <v>-6932.54</v>
      </c>
    </row>
    <row r="7" spans="1:20" x14ac:dyDescent="0.25">
      <c r="A7" s="1" t="s">
        <v>25</v>
      </c>
      <c r="B7" s="1">
        <v>388.88</v>
      </c>
      <c r="C7" s="3">
        <v>-8.9</v>
      </c>
      <c r="D7" s="1">
        <v>-3459.51</v>
      </c>
      <c r="E7" s="1">
        <v>-23.62</v>
      </c>
      <c r="F7" s="1">
        <v>-1690.26</v>
      </c>
      <c r="G7" s="1">
        <v>-239.3</v>
      </c>
      <c r="H7" s="1">
        <v>-117.92</v>
      </c>
      <c r="I7" s="1">
        <v>-693.69</v>
      </c>
      <c r="J7" s="1">
        <v>1.1100000000000001</v>
      </c>
      <c r="K7" s="1">
        <v>426</v>
      </c>
      <c r="L7" s="3">
        <v>0.09</v>
      </c>
      <c r="M7" s="1">
        <v>37.49</v>
      </c>
      <c r="N7" s="1">
        <v>0.01</v>
      </c>
      <c r="O7" s="1">
        <v>37.119999999999997</v>
      </c>
      <c r="P7" s="2">
        <v>-3467.64</v>
      </c>
      <c r="Q7" s="1">
        <v>-3422.02</v>
      </c>
      <c r="R7" s="1">
        <v>0</v>
      </c>
      <c r="S7" s="1">
        <v>-2764.78</v>
      </c>
      <c r="T7" s="1">
        <v>-6232.43</v>
      </c>
    </row>
    <row r="8" spans="1:20" x14ac:dyDescent="0.25">
      <c r="A8" s="1" t="s">
        <v>26</v>
      </c>
      <c r="B8" s="1">
        <v>375.14</v>
      </c>
      <c r="C8" s="3">
        <v>-7.93</v>
      </c>
      <c r="D8" s="1">
        <v>-2973.74</v>
      </c>
      <c r="E8" s="1">
        <v>-21.05</v>
      </c>
      <c r="F8" s="1">
        <v>-1521.19</v>
      </c>
      <c r="G8" s="1">
        <v>-215.36</v>
      </c>
      <c r="H8" s="1">
        <v>-105.07</v>
      </c>
      <c r="I8" s="1">
        <v>-615.45000000000005</v>
      </c>
      <c r="J8" s="1">
        <v>1.1000000000000001</v>
      </c>
      <c r="K8" s="1">
        <v>0</v>
      </c>
      <c r="L8" s="3">
        <v>0</v>
      </c>
      <c r="M8" s="1">
        <v>0</v>
      </c>
      <c r="N8" s="1">
        <v>0</v>
      </c>
      <c r="O8" s="1">
        <v>-375.14</v>
      </c>
      <c r="P8" s="2">
        <v>-3028.88</v>
      </c>
      <c r="Q8" s="1">
        <v>-2973.74</v>
      </c>
      <c r="R8" s="1">
        <v>0</v>
      </c>
      <c r="S8" s="1">
        <v>-2478.13</v>
      </c>
      <c r="T8" s="1">
        <v>-5507</v>
      </c>
    </row>
    <row r="9" spans="1:20" x14ac:dyDescent="0.25">
      <c r="A9" s="4" t="s">
        <v>27</v>
      </c>
      <c r="B9" s="5">
        <f>D9/C9</f>
        <v>104.01698275096898</v>
      </c>
      <c r="C9" s="6">
        <f>SUM(C2:C8)</f>
        <v>-1013.9699999999999</v>
      </c>
      <c r="D9" s="5">
        <f t="shared" ref="D9:T9" si="0">SUM(D2:D8)</f>
        <v>-105470.1</v>
      </c>
      <c r="E9" s="5">
        <f t="shared" si="0"/>
        <v>-2692.38</v>
      </c>
      <c r="F9" s="5">
        <f t="shared" si="0"/>
        <v>-30904.919999999995</v>
      </c>
      <c r="G9" s="5">
        <f t="shared" si="0"/>
        <v>-4375.32</v>
      </c>
      <c r="H9" s="5">
        <f t="shared" si="0"/>
        <v>-13440.42</v>
      </c>
      <c r="I9" s="5">
        <f t="shared" si="0"/>
        <v>-58747.17</v>
      </c>
      <c r="J9" s="5">
        <f>AVERAGE(J2:J8)</f>
        <v>0.89714285714285702</v>
      </c>
      <c r="K9" s="5">
        <f>M9/L9</f>
        <v>402.86412559208372</v>
      </c>
      <c r="L9" s="6">
        <f t="shared" si="0"/>
        <v>852.92</v>
      </c>
      <c r="M9" s="5">
        <f t="shared" si="0"/>
        <v>343610.87000000005</v>
      </c>
      <c r="N9" s="5">
        <f t="shared" si="0"/>
        <v>4.28</v>
      </c>
      <c r="O9" s="6">
        <f>K9-B9</f>
        <v>298.84714284111476</v>
      </c>
      <c r="P9" s="6">
        <f t="shared" si="0"/>
        <v>232661.19999999998</v>
      </c>
      <c r="Q9" s="5">
        <f t="shared" si="0"/>
        <v>238140.77000000005</v>
      </c>
      <c r="R9" s="5">
        <f t="shared" si="0"/>
        <v>0</v>
      </c>
      <c r="S9" s="6">
        <f t="shared" si="0"/>
        <v>-110160.23000000001</v>
      </c>
      <c r="T9" s="6">
        <f t="shared" si="0"/>
        <v>122500.98000000001</v>
      </c>
    </row>
  </sheetData>
  <phoneticPr fontId="1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日结算单收益测算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2026-06-24T09:46:49Z</dcterms:created>
  <dcterms:modified xsi:type="dcterms:W3CDTF">2026-06-25T01:50:23Z</dcterms:modified>
</cp:coreProperties>
</file>