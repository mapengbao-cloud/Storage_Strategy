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834FBD95-ED42-4971-8247-E0112A162568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H13" i="1" l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5" i="3" a="1"/>
  <c r="D23" i="3" a="1"/>
  <c r="D81" i="3" a="1"/>
  <c r="D46" i="3" a="1"/>
  <c r="D66" i="3" a="1"/>
  <c r="D30" i="3" a="1"/>
  <c r="D97" i="3" a="1"/>
  <c r="D14" i="3" a="1"/>
  <c r="D58" i="3" a="1"/>
  <c r="D86" i="3" a="1"/>
  <c r="D37" i="3" a="1"/>
  <c r="D43" i="3" a="1"/>
  <c r="D69" i="3" a="1"/>
  <c r="D16" i="3" a="1"/>
  <c r="D56" i="3" a="1"/>
  <c r="D44" i="3" a="1"/>
  <c r="D48" i="3" a="1"/>
  <c r="D51" i="3" a="1"/>
  <c r="D10" i="3" a="1"/>
  <c r="D20" i="3" a="1"/>
  <c r="D27" i="3" a="1"/>
  <c r="D78" i="3" a="1"/>
  <c r="D62" i="3" a="1"/>
  <c r="D71" i="3" a="1"/>
  <c r="D32" i="3" a="1"/>
  <c r="D92" i="3" a="1"/>
  <c r="D88" i="3" a="1"/>
  <c r="D75" i="3" a="1"/>
  <c r="D63" i="3" a="1"/>
  <c r="D34" i="3" a="1"/>
  <c r="D13" i="3" a="1"/>
  <c r="D85" i="3" a="1"/>
  <c r="D54" i="3" a="1"/>
  <c r="D82" i="3" a="1"/>
  <c r="D70" i="3" a="1"/>
  <c r="D60" i="3" a="1"/>
  <c r="D64" i="3" a="1"/>
  <c r="D77" i="3" a="1"/>
  <c r="D39" i="3" a="1"/>
  <c r="D12" i="3" a="1"/>
  <c r="D28" i="3" a="1"/>
  <c r="D98" i="3" a="1"/>
  <c r="D59" i="3" a="1"/>
  <c r="D53" i="3" a="1"/>
  <c r="D73" i="3" a="1"/>
  <c r="D38" i="3" a="1"/>
  <c r="D47" i="3" a="1"/>
  <c r="D101" i="3" a="1"/>
  <c r="D29" i="3" a="1"/>
  <c r="D61" i="3" a="1"/>
  <c r="D94" i="3" a="1"/>
  <c r="D41" i="3" a="1"/>
  <c r="D19" i="3" a="1"/>
  <c r="D49" i="3" a="1"/>
  <c r="D33" i="3" a="1"/>
  <c r="D45" i="3" a="1"/>
  <c r="D9" i="3" a="1"/>
  <c r="D57" i="3" a="1"/>
  <c r="D99" i="3" a="1"/>
  <c r="D91" i="3" a="1"/>
  <c r="D8" i="3"/>
  <c r="D103" i="3" a="1"/>
  <c r="D95" i="3" a="1"/>
  <c r="D15" i="3" a="1"/>
  <c r="D26" i="3" a="1"/>
  <c r="D74" i="3" a="1"/>
  <c r="D21" i="3" a="1"/>
  <c r="D55" i="3" a="1"/>
  <c r="D65" i="3" a="1"/>
  <c r="D100" i="3" a="1"/>
  <c r="D31" i="3" a="1"/>
  <c r="D79" i="3" a="1"/>
  <c r="D80" i="3" a="1"/>
  <c r="D36" i="3" a="1"/>
  <c r="D18" i="3" a="1"/>
  <c r="D35" i="3" a="1"/>
  <c r="D11" i="3" a="1"/>
  <c r="D76" i="3" a="1"/>
  <c r="D89" i="3" a="1"/>
  <c r="D102" i="3" a="1"/>
  <c r="D42" i="3" a="1"/>
  <c r="D83" i="3" a="1"/>
  <c r="D52" i="3" a="1"/>
  <c r="D40" i="3" a="1"/>
  <c r="D96" i="3" a="1"/>
  <c r="D17" i="3" a="1"/>
  <c r="D87" i="3" a="1"/>
  <c r="D93" i="3" a="1"/>
  <c r="D24" i="3" a="1"/>
  <c r="D22" i="3" a="1"/>
  <c r="D68" i="3" a="1"/>
  <c r="D90" i="3" a="1"/>
  <c r="D72" i="3" a="1"/>
  <c r="D67" i="3" a="1"/>
  <c r="D84" i="3" a="1"/>
  <c r="D50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<sst xmlns="http://schemas.openxmlformats.org/spreadsheetml/2006/main" count="198" uniqueCount="180">
  <si>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</si>
  <si>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</si>
  <si>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</si>
  <si>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</si>
  <si>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</si>
  <si>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</si>
  <si>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</si>
  <si>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</si>
  <si>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</si>
  <si>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</si>
  <si>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</si>
  <si>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</si>
  <si>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</si>
  <si>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</si>
  <si>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</si>
  <si>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</si>
  <si>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</si>
  <si>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</si>
  <si>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</si>
  <si>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</si>
  <si>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</si>
  <si>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</si>
  <si>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</si>
  <si>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</si>
  <si>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</si>
  <si>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</si>
  <si>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</si>
  <si>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</si>
  <si>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</si>
  <si>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</si>
  <si>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</si>
  <si>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</si>
  <si>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</si>
  <si>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</si>
  <si>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</si>
  <si>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</si>
  <si>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</si>
  <si>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</si>
  <si>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</si>
  <si>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</si>
  <si>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</si>
  <si>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</si>
  <si>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</si>
  <si>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</si>
  <si>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</si>
  <si>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</si>
  <si>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</si>
  <si>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</si>
  <si>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</si>
  <si>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</si>
  <si>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</si>
  <si>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</si>
  <si>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</si>
  <si>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</si>
  <si>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</si>
  <si>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</si>
  <si>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</si>
  <si>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</si>
  <si>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</si>
  <si>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</si>
  <si>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</si>
  <si>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</si>
  <si>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</si>
  <si>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</si>
  <si>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</si>
  <si>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</si>
  <si>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</si>
  <si>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</si>
  <si>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</si>
  <si>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</si>
  <si>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</si>
  <si>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</si>
  <si>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</si>
  <si>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</si>
  <si>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</si>
  <si>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</si>
  <si>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</si>
  <si>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</si>
  <si>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</si>
  <si>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</si>
  <si>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</si>
  <si>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</si>
  <si>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</si>
  <si>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</si>
  <si>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</si>
  <si>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</si>
  <si>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</si>
  <si>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</si>
  <si>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</si>
  <si>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</si>
  <si>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</si>
  <si>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</si>
  <si>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</si>
  <si>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</si>
  <si>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</si>
  <si>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</si>
  <si>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</si>
  <si>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</si>
  <si>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</si>
  <si>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</si>
  <si>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</si>
  <si>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</si>
  <si>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</si>
  <si>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</si>
  <si>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</si>
  <si>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</si>
  <si>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</si>
  <si>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</si>
  <si>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</si>
  <si>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</si>
  <si>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</si>
  <si>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</si>
  <si>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</si>
  <si>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</si>
  <si>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</si>
  <si>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</si>
  <si>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</si>
  <si>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</si>
  <si>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</si>
  <si>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</si>
  <si>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</si>
  <si>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</si>
  <si>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</si>
  <si>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</si>
  <si>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</si>
  <si>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</si>
  <si>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</si>
  <si>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</si>
  <si>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</si>
  <si>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</si>
  <si>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</si>
  <si>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</si>
  <si>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</si>
  <si>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</si>
  <si>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</si>
  <si>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</si>
  <si>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</si>
  <si>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</si>
  <si>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</si>
  <si>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</si>
  <si>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</si>
  <si>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</si>
  <si>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</si>
  <si>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</si>
  <si>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</si>
  <si>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</si>
  <si>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</si>
  <si>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</si>
  <si>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</si>
  <si>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</si>
  <si>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</si>
  <si>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</si>
  <si>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</si>
  <si>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</si>
  <si>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</si>
  <si>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</si>
  <si>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</si>
  <si>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</si>
  <si>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</si>
  <si>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</si>
  <si>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</si>
  <si>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</si>
  <si>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</si>
  <si>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</si>
  <si>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</si>
  <si>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</si>
  <si>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</si>
  <si>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</si>
  <si>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</si>
  <si>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</si>
  <si>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</si>
  <si>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</si>
  <si>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</si>
  <si>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</si>
  <si>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</si>
  <si>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</si>
  <si>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</si>
  <si>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3月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</si>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</sst>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2" sqref="H12:H13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-668.57563056141191</v>
      </c>
      <c r="E4" s="44">
        <f>B4*(1-P4)*H8</f>
        <v>-1822.5702500000016</v>
      </c>
      <c r="F4" s="44">
        <f>B4*(1-P4)*H9</f>
        <v>-258.02808000000022</v>
      </c>
      <c r="G4" s="44">
        <f>$B$4*H13</f>
        <v>-3795.6702843780522</v>
      </c>
      <c r="H4" s="44">
        <f ca="1">容量分摊系数!F5</f>
        <v>-17165.146124999999</v>
      </c>
      <c r="I4" s="44">
        <f ca="1">容量分摊系数!C3</f>
        <v>1.3498953525441111</v>
      </c>
      <c r="J4" s="44">
        <f ca="1">SUM(D4:H4)</f>
        <v>-23709.990369939464</v>
      </c>
      <c r="K4" s="47">
        <f ca="1">C4+D4+E4+F4+G4+H4</f>
        <v>-8383.9443699394651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95846.818152560547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f>1000*19128.86/5160560</f>
        <v>3.7067411288697349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f>1000*108599.3/5160560</f>
        <v>21.044092114034136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178</v>
      </c>
      <c r="K1" s="38" t="s">
        <v>179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95846.818152560547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1.3498953525441111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-17165.146124999999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177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0.3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0.3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0.3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0.3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0.3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0.3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0.3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0.3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0.3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0.3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0.3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0.3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0.3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0.3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0.3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0.3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0.3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0.3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0.3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0.3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1.7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1.7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1.7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1.7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1.7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1.7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1.7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1.7</v>
      </c>
      <c r="E39" s="10">
        <f>报价及预中标!L33/4</f>
        <v>-15</v>
      </c>
      <c r="F39" s="75">
        <f t="shared" ca="1" si="1"/>
        <v>-1797.75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1.7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1.7</v>
      </c>
      <c r="E41" s="10">
        <f>报价及预中标!L35/4</f>
        <v>-15</v>
      </c>
      <c r="F41" s="75">
        <f t="shared" ca="1" si="1"/>
        <v>-1797.75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1.7</v>
      </c>
      <c r="E42" s="10">
        <f>报价及预中标!L36/4</f>
        <v>-15</v>
      </c>
      <c r="F42" s="75">
        <f t="shared" ca="1" si="1"/>
        <v>-1797.75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1.7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2</v>
      </c>
      <c r="E68" s="10">
        <f>报价及预中标!L62/4</f>
        <v>-15</v>
      </c>
      <c r="F68" s="75">
        <f t="shared" ca="1" si="1"/>
        <v>-2115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2</v>
      </c>
      <c r="E69" s="10">
        <f>报价及预中标!L63/4</f>
        <v>-15</v>
      </c>
      <c r="F69" s="75">
        <f t="shared" ca="1" si="1"/>
        <v>-2115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2</v>
      </c>
      <c r="E70" s="10">
        <f>报价及预中标!L64/4</f>
        <v>-15</v>
      </c>
      <c r="F70" s="75">
        <f t="shared" ca="1" si="1"/>
        <v>-2115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2</v>
      </c>
      <c r="E71" s="10">
        <f>报价及预中标!L65/4</f>
        <v>-15</v>
      </c>
      <c r="F71" s="75">
        <f t="shared" ca="1" si="1"/>
        <v>-2115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1.7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1.7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1.7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1.7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