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收益测算\"/>
    </mc:Choice>
  </mc:AlternateContent>
  <xr:revisionPtr revIDLastSave="0" documentId="13_ncr:1_{4A336460-8706-4DCF-9393-9775A8B4E331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24" i="3" a="1"/>
  <c r="D93" i="3" a="1"/>
  <c r="D35" i="3" a="1"/>
  <c r="D8" i="3"/>
  <c r="D21" i="3" a="1"/>
  <c r="D85" i="3" a="1"/>
  <c r="D61" i="3" a="1"/>
  <c r="D42" i="3" a="1"/>
  <c r="D62" i="3" a="1"/>
  <c r="D47" i="3" a="1"/>
  <c r="D65" i="3" a="1"/>
  <c r="D50" i="3" a="1"/>
  <c r="D48" i="3" a="1"/>
  <c r="D91" i="3" a="1"/>
  <c r="D10" i="3" a="1"/>
  <c r="D34" i="3" a="1"/>
  <c r="D57" i="3" a="1"/>
  <c r="D74" i="3" a="1"/>
  <c r="D31" i="3" a="1"/>
  <c r="D33" i="3" a="1"/>
  <c r="D56" i="3" a="1"/>
  <c r="D86" i="3" a="1"/>
  <c r="D76" i="3" a="1"/>
  <c r="D45" i="3" a="1"/>
  <c r="D44" i="3" a="1"/>
  <c r="D49" i="3" a="1"/>
  <c r="D22" i="3" a="1"/>
  <c r="D82" i="3" a="1"/>
  <c r="D89" i="3" a="1"/>
  <c r="D88" i="3" a="1"/>
  <c r="D100" i="3" a="1"/>
  <c r="D102" i="3" a="1"/>
  <c r="D64" i="3" a="1"/>
  <c r="D26" i="3" a="1"/>
  <c r="D37" i="3" a="1"/>
  <c r="D84" i="3" a="1"/>
  <c r="D103" i="3" a="1"/>
  <c r="D41" i="3" a="1"/>
  <c r="D99" i="3" a="1"/>
  <c r="D19" i="3" a="1"/>
  <c r="D30" i="3" a="1"/>
  <c r="D18" i="3" a="1"/>
  <c r="D17" i="3" a="1"/>
  <c r="D87" i="3" a="1"/>
  <c r="D90" i="3" a="1"/>
  <c r="D73" i="3" a="1"/>
  <c r="D97" i="3" a="1"/>
  <c r="D16" i="3" a="1"/>
  <c r="D59" i="3" a="1"/>
  <c r="D66" i="3" a="1"/>
  <c r="D46" i="3" a="1"/>
  <c r="D11" i="3" a="1"/>
  <c r="D79" i="3" a="1"/>
  <c r="D20" i="3" a="1"/>
  <c r="D27" i="3" a="1"/>
  <c r="D92" i="3" a="1"/>
  <c r="D29" i="3" a="1"/>
  <c r="D25" i="3" a="1"/>
  <c r="D53" i="3" a="1"/>
  <c r="D68" i="3" a="1"/>
  <c r="D75" i="3" a="1"/>
  <c r="D51" i="3" a="1"/>
  <c r="D40" i="3" a="1"/>
  <c r="D71" i="3" a="1"/>
  <c r="D69" i="3" a="1"/>
  <c r="D14" i="3" a="1"/>
  <c r="D95" i="3" a="1"/>
  <c r="D94" i="3" a="1"/>
  <c r="D39" i="3" a="1"/>
  <c r="D38" i="3" a="1"/>
  <c r="D67" i="3" a="1"/>
  <c r="D70" i="3" a="1"/>
  <c r="D55" i="3" a="1"/>
  <c r="D77" i="3" a="1"/>
  <c r="D101" i="3" a="1"/>
  <c r="D32" i="3" a="1"/>
  <c r="D96" i="3" a="1"/>
  <c r="D60" i="3" a="1"/>
  <c r="D78" i="3" a="1"/>
  <c r="D9" i="3" a="1"/>
  <c r="D23" i="3" a="1"/>
  <c r="D54" i="3" a="1"/>
  <c r="D28" i="3" a="1"/>
  <c r="D12" i="3" a="1"/>
  <c r="D63" i="3" a="1"/>
  <c r="D15" i="3" a="1"/>
  <c r="D36" i="3" a="1"/>
  <c r="D72" i="3" a="1"/>
  <c r="D58" i="3" a="1"/>
  <c r="D13" i="3" a="1"/>
  <c r="D52" i="3" a="1"/>
  <c r="D98" i="3" a="1"/>
  <c r="D80" i="3" a="1"/>
  <c r="D83" i="3" a="1"/>
  <c r="D81" i="3" a="1"/>
  <c r="D43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<sst xmlns="http://schemas.openxmlformats.org/spreadsheetml/2006/main" count="198" uniqueCount="180">
  <si>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</si>
  <si>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</si>
  <si>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</si>
  <si>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</si>
  <si>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</si>
  <si>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</si>
  <si>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</si>
  <si>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</si>
  <si>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</si>
  <si>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</si>
  <si>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</si>
  <si>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</si>
  <si>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</si>
  <si>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</si>
  <si>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</si>
  <si>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</si>
  <si>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</si>
  <si>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</si>
  <si>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</si>
  <si>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</si>
  <si>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</si>
  <si>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</si>
  <si>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</si>
  <si>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</si>
  <si>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</si>
  <si>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</si>
  <si>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</si>
  <si>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</si>
  <si>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</si>
  <si>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</si>
  <si>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</si>
  <si>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</si>
  <si>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</si>
  <si>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</si>
  <si>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</si>
  <si>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</si>
  <si>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</si>
  <si>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</si>
  <si>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</si>
  <si>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</si>
  <si>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</si>
  <si>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</si>
  <si>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</si>
  <si>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</si>
  <si>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</si>
  <si>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</si>
  <si>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</si>
  <si>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</si>
  <si>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</si>
  <si>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</si>
  <si>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</si>
  <si>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</si>
  <si>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</si>
  <si>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</si>
  <si>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</si>
  <si>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</si>
  <si>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</si>
  <si>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</si>
  <si>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</si>
  <si>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</si>
  <si>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</si>
  <si>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</si>
  <si>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</si>
  <si>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</si>
  <si>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</si>
  <si>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</si>
  <si>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</si>
  <si>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</si>
  <si>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</si>
  <si>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</si>
  <si>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</si>
  <si>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</si>
  <si>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</si>
  <si>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</si>
  <si>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</si>
  <si>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</si>
  <si>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</si>
  <si>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</si>
  <si>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</si>
  <si>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</si>
  <si>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</si>
  <si>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</si>
  <si>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</si>
  <si>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</si>
  <si>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</si>
  <si>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</si>
  <si>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</si>
  <si>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</si>
  <si>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</si>
  <si>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</si>
  <si>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</si>
  <si>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</si>
  <si>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</si>
  <si>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</si>
  <si>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</si>
  <si>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</si>
  <si>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</si>
  <si>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</si>
  <si>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</si>
  <si>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</si>
  <si>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</si>
  <si>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</si>
  <si>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</si>
  <si>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</si>
  <si>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</si>
  <si>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</si>
  <si>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</si>
  <si>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</si>
  <si>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</si>
  <si>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</si>
  <si>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</si>
  <si>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</si>
  <si>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</si>
  <si>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</si>
  <si>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</si>
  <si>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</si>
  <si>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</si>
  <si>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</si>
  <si>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</si>
  <si>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</si>
  <si>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</si>
  <si>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</si>
  <si>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</si>
  <si>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</si>
  <si>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</si>
  <si>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</si>
  <si>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</si>
  <si>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</si>
  <si>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</si>
  <si>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</si>
  <si>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</si>
  <si>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</si>
  <si>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</si>
  <si>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</si>
  <si>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</si>
  <si>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</si>
  <si>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</si>
  <si>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</si>
  <si>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</si>
  <si>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</si>
  <si>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</si>
  <si>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</si>
  <si>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</si>
  <si>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</si>
  <si>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</si>
  <si>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</si>
  <si>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</si>
  <si>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</si>
  <si>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</si>
  <si>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</si>
  <si>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</si>
  <si>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</si>
  <si>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</si>
  <si>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</si>
  <si>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</si>
  <si>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</si>
  <si>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</si>
  <si>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</si>
  <si>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</si>
  <si>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</si>
  <si>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</si>
  <si>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</si>
  <si>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</si>
  <si>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</si>
  <si>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</si>
  <si>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</si>
  <si>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</si>
  <si>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</si>
  <si>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</si>
  <si>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</si>
  <si>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</si>
  <si>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</si>
  <si>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</si>
  <si>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</si>
  <si>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</si>
  <si>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</si>
  <si>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</si>
  <si>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统一结算日前</t>
    <phoneticPr fontId="8" type="noConversion"/>
  </si>
  <si>
    <t>节点日前</t>
    <phoneticPr fontId="8" type="noConversion"/>
  </si>
  <si>
    <t>8月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</si>
</sst>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1.7</c:v>
                </c:pt>
                <c:pt idx="61">
                  <c:v>1.7</c:v>
                </c:pt>
                <c:pt idx="62">
                  <c:v>1.7</c:v>
                </c:pt>
                <c:pt idx="63">
                  <c:v>1.7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937845</xdr:colOff>
      <xdr:row>6</xdr:row>
      <xdr:rowOff>90853</xdr:rowOff>
    </xdr:from>
    <xdr:to>
      <xdr:col>14</xdr:col>
      <xdr:colOff>386860</xdr:colOff>
      <xdr:row>20</xdr:row>
      <xdr:rowOff>126023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J16" sqref="J16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174</v>
      </c>
      <c r="P2" s="88" t="s">
        <v>3</v>
      </c>
      <c r="Q2" s="85"/>
    </row>
    <row r="3" spans="1:17" ht="27.6" customHeight="1" x14ac:dyDescent="0.25">
      <c r="A3" s="77" t="s">
        <v>166</v>
      </c>
      <c r="B3" s="43" t="s">
        <v>4</v>
      </c>
      <c r="C3" s="77" t="s">
        <v>167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168</v>
      </c>
      <c r="J3" s="77" t="s">
        <v>176</v>
      </c>
      <c r="K3" s="77" t="s">
        <v>169</v>
      </c>
      <c r="L3" s="78" t="s">
        <v>170</v>
      </c>
      <c r="M3" s="78" t="s">
        <v>171</v>
      </c>
      <c r="N3" s="78" t="s">
        <v>172</v>
      </c>
      <c r="O3" s="80" t="s">
        <v>173</v>
      </c>
      <c r="P3" s="69" t="s">
        <v>10</v>
      </c>
      <c r="Q3" s="81" t="s">
        <v>175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-595.21275000000003</v>
      </c>
      <c r="E4" s="44">
        <f>B4*(1-P4)*H8</f>
        <v>-1822.5702500000016</v>
      </c>
      <c r="F4" s="44">
        <f>B4*(1-P4)*H9</f>
        <v>-258.02808000000022</v>
      </c>
      <c r="G4" s="44">
        <f>$B$4*H13</f>
        <v>523.06574999999998</v>
      </c>
      <c r="H4" s="44">
        <f ca="1">容量分摊系数!F5</f>
        <v>-16694.682000000001</v>
      </c>
      <c r="I4" s="44">
        <f ca="1">容量分摊系数!C3</f>
        <v>1.3128972791661468</v>
      </c>
      <c r="J4" s="44">
        <f ca="1">SUM(D4:H4)</f>
        <v>-18847.427330000002</v>
      </c>
      <c r="K4" s="47">
        <f ca="1">C4+D4+E4+F4+G4+H4</f>
        <v>-3521.381330000002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100709.3811925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v>3.3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v>-2.9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B1" zoomScale="85" zoomScaleNormal="85" workbookViewId="0">
      <pane ySplit="1" topLeftCell="A2" activePane="bottomLeft" state="frozen"/>
      <selection pane="bottomLeft" activeCell="J1" sqref="J1:K1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177</v>
      </c>
      <c r="K1" s="38" t="s">
        <v>178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100709.3811925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tabSelected="1" zoomScale="130" zoomScaleNormal="130" workbookViewId="0">
      <selection activeCell="F9" sqref="F9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165</v>
      </c>
      <c r="B3" s="5"/>
      <c r="C3" s="6">
        <f ca="1">F5/E5/C1</f>
        <v>1.3128972791661468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-16694.682000000001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164</v>
      </c>
      <c r="G6" s="89" t="s">
        <v>151</v>
      </c>
      <c r="H6" s="90"/>
      <c r="I6" s="90"/>
      <c r="J6" s="90"/>
      <c r="K6" s="90"/>
      <c r="L6" s="90"/>
      <c r="M6" s="90"/>
      <c r="N6" s="90"/>
      <c r="O6" s="90"/>
      <c r="P6" s="90"/>
      <c r="Q6" s="90"/>
      <c r="R6" s="91"/>
    </row>
    <row r="7" spans="1:18" ht="15" customHeight="1" x14ac:dyDescent="0.25">
      <c r="A7" s="97"/>
      <c r="B7" s="96"/>
      <c r="C7" s="96"/>
      <c r="D7" s="52" t="s">
        <v>179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92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0.3</v>
      </c>
      <c r="E8" s="10">
        <f>报价及预中标!L2/4</f>
        <v>-5.0000000000000001E-3</v>
      </c>
      <c r="F8" s="75">
        <f ca="1">E8*D8*$C$1</f>
        <v>-0.10575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3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0.3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3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0.3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4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0.3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92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0.3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3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0.3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3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0.3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4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0.3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92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0.3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3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0.3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3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0.3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4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0.3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92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0.3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3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0.3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3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0.3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4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0.3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92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0.3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3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0.3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3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0.3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4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0.3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92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0.3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3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0.3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3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0.3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4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0.3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92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3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3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4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92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3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3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4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</v>
      </c>
      <c r="E39" s="10">
        <f>报价及预中标!L33/4</f>
        <v>-15</v>
      </c>
      <c r="F39" s="75">
        <f t="shared" ca="1" si="1"/>
        <v>-1057.5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92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3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</v>
      </c>
      <c r="E41" s="10">
        <f>报价及预中标!L35/4</f>
        <v>-15</v>
      </c>
      <c r="F41" s="75">
        <f t="shared" ca="1" si="1"/>
        <v>-1057.5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3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</v>
      </c>
      <c r="E42" s="10">
        <f>报价及预中标!L36/4</f>
        <v>-15</v>
      </c>
      <c r="F42" s="75">
        <f t="shared" ca="1" si="1"/>
        <v>-1057.5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4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92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1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3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1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3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1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4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1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92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3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3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4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92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3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3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4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92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3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3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4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92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3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3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4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1</v>
      </c>
      <c r="E63" s="10">
        <f>报价及预中标!L57/4</f>
        <v>-0.92249999999999999</v>
      </c>
      <c r="F63" s="75">
        <f t="shared" ca="1" si="1"/>
        <v>-65.036249999999995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92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1</v>
      </c>
      <c r="E64" s="10">
        <f>报价及预中标!L58/4</f>
        <v>-15</v>
      </c>
      <c r="F64" s="75">
        <f t="shared" ca="1" si="1"/>
        <v>-1057.5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3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1</v>
      </c>
      <c r="E65" s="10">
        <f>报价及预中标!L59/4</f>
        <v>-15</v>
      </c>
      <c r="F65" s="75">
        <f t="shared" ca="1" si="1"/>
        <v>-1057.5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3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1</v>
      </c>
      <c r="E66" s="10">
        <f>报价及预中标!L60/4</f>
        <v>-15</v>
      </c>
      <c r="F66" s="75">
        <f t="shared" ca="1" si="1"/>
        <v>-1057.5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4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1</v>
      </c>
      <c r="E67" s="10">
        <f>报价及预中标!L61/4</f>
        <v>-15</v>
      </c>
      <c r="F67" s="75">
        <f t="shared" ca="1" si="1"/>
        <v>-1057.5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92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1.7</v>
      </c>
      <c r="E68" s="10">
        <f>报价及预中标!L62/4</f>
        <v>-15</v>
      </c>
      <c r="F68" s="75">
        <f t="shared" ca="1" si="1"/>
        <v>-1797.75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3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1.7</v>
      </c>
      <c r="E69" s="10">
        <f>报价及预中标!L63/4</f>
        <v>-15</v>
      </c>
      <c r="F69" s="75">
        <f t="shared" ca="1" si="1"/>
        <v>-1797.75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3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1.7</v>
      </c>
      <c r="E70" s="10">
        <f>报价及预中标!L64/4</f>
        <v>-15</v>
      </c>
      <c r="F70" s="75">
        <f t="shared" ca="1" si="1"/>
        <v>-1797.75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4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1.7</v>
      </c>
      <c r="E71" s="10">
        <f>报价及预中标!L65/4</f>
        <v>-15</v>
      </c>
      <c r="F71" s="75">
        <f t="shared" ca="1" si="1"/>
        <v>-1797.75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92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3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3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4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92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3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3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4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92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3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3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4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92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2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3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2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3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2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4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2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92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2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3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2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3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2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4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2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92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2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3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2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3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2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4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2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92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1.7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3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1.7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3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1.7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4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1.7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92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3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3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4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2026-08-06T02:55:32Z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