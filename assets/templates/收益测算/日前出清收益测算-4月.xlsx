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0334A121-48DD-4B7C-9E1F-A38A6824021C}" xr6:coauthVersionLast="36" xr6:coauthVersionMax="36" xr10:uidLastSave="{00000000-0000-0000-0000-000000000000}"/>
  <bookViews>
    <workbookView xWindow="0" yWindow="0" windowWidth="28800" windowHeight="12252" activeTab="1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H13" i="1" l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103" i="3" a="1"/>
  <c r="D49" i="3" a="1"/>
  <c r="D48" i="3" a="1"/>
  <c r="D16" i="3" a="1"/>
  <c r="D18" i="3" a="1"/>
  <c r="D17" i="3" a="1"/>
  <c r="D8" i="3"/>
  <c r="D53" i="3" a="1"/>
  <c r="D32" i="3" a="1"/>
  <c r="D60" i="3" a="1"/>
  <c r="D33" i="3" a="1"/>
  <c r="D95" i="3" a="1"/>
  <c r="D27" i="3" a="1"/>
  <c r="D40" i="3" a="1"/>
  <c r="D55" i="3" a="1"/>
  <c r="D77" i="3" a="1"/>
  <c r="D38" i="3" a="1"/>
  <c r="D35" i="3" a="1"/>
  <c r="D76" i="3" a="1"/>
  <c r="D15" i="3" a="1"/>
  <c r="D92" i="3" a="1"/>
  <c r="D63" i="3" a="1"/>
  <c r="D10" i="3" a="1"/>
  <c r="D102" i="3" a="1"/>
  <c r="D61" i="3" a="1"/>
  <c r="D39" i="3" a="1"/>
  <c r="D21" i="3" a="1"/>
  <c r="D93" i="3" a="1"/>
  <c r="D68" i="3" a="1"/>
  <c r="D14" i="3" a="1"/>
  <c r="D89" i="3" a="1"/>
  <c r="D62" i="3" a="1"/>
  <c r="D28" i="3" a="1"/>
  <c r="D41" i="3" a="1"/>
  <c r="D69" i="3" a="1"/>
  <c r="D29" i="3" a="1"/>
  <c r="D22" i="3" a="1"/>
  <c r="D101" i="3" a="1"/>
  <c r="D9" i="3" a="1"/>
  <c r="D51" i="3" a="1"/>
  <c r="D20" i="3" a="1"/>
  <c r="D97" i="3" a="1"/>
  <c r="D74" i="3" a="1"/>
  <c r="D91" i="3" a="1"/>
  <c r="D71" i="3" a="1"/>
  <c r="D24" i="3" a="1"/>
  <c r="D80" i="3" a="1"/>
  <c r="D94" i="3" a="1"/>
  <c r="D52" i="3" a="1"/>
  <c r="D67" i="3" a="1"/>
  <c r="D58" i="3" a="1"/>
  <c r="D85" i="3" a="1"/>
  <c r="D83" i="3" a="1"/>
  <c r="D12" i="3" a="1"/>
  <c r="D66" i="3" a="1"/>
  <c r="D86" i="3" a="1"/>
  <c r="D64" i="3" a="1"/>
  <c r="D87" i="3" a="1"/>
  <c r="D44" i="3" a="1"/>
  <c r="D56" i="3" a="1"/>
  <c r="D47" i="3" a="1"/>
  <c r="D99" i="3" a="1"/>
  <c r="D98" i="3" a="1"/>
  <c r="D100" i="3" a="1"/>
  <c r="D34" i="3" a="1"/>
  <c r="D65" i="3" a="1"/>
  <c r="D73" i="3" a="1"/>
  <c r="D59" i="3" a="1"/>
  <c r="D54" i="3" a="1"/>
  <c r="D31" i="3" a="1"/>
  <c r="D19" i="3" a="1"/>
  <c r="D88" i="3" a="1"/>
  <c r="D50" i="3" a="1"/>
  <c r="D30" i="3" a="1"/>
  <c r="D79" i="3" a="1"/>
  <c r="D57" i="3" a="1"/>
  <c r="D43" i="3" a="1"/>
  <c r="D25" i="3" a="1"/>
  <c r="D82" i="3" a="1"/>
  <c r="D37" i="3" a="1"/>
  <c r="D70" i="3" a="1"/>
  <c r="D42" i="3" a="1"/>
  <c r="D75" i="3" a="1"/>
  <c r="D13" i="3" a="1"/>
  <c r="D36" i="3" a="1"/>
  <c r="D46" i="3" a="1"/>
  <c r="D72" i="3" a="1"/>
  <c r="D90" i="3" a="1"/>
  <c r="D45" i="3" a="1"/>
  <c r="D78" i="3" a="1"/>
  <c r="D84" i="3" a="1"/>
  <c r="D11" i="3" a="1"/>
  <c r="D26" i="3" a="1"/>
  <c r="D96" i="3" a="1"/>
  <c r="D23" i="3" a="1"/>
  <c r="D81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<sst xmlns="http://schemas.openxmlformats.org/spreadsheetml/2006/main" count="198" uniqueCount="180">
  <si>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</si>
  <si>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</si>
  <si>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</si>
  <si>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</si>
  <si>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</si>
  <si>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</si>
  <si>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</si>
  <si>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</si>
  <si>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</si>
  <si>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</si>
  <si>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</si>
  <si>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</si>
  <si>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</si>
  <si>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</si>
  <si>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</si>
  <si>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</si>
  <si>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</si>
  <si>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</si>
  <si>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</si>
  <si>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</si>
  <si>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</si>
  <si>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</si>
  <si>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</si>
  <si>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</si>
  <si>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</si>
  <si>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</si>
  <si>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</si>
  <si>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</si>
  <si>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</si>
  <si>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</si>
  <si>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</si>
  <si>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</si>
  <si>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</si>
  <si>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</si>
  <si>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</si>
  <si>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</si>
  <si>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</si>
  <si>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</si>
  <si>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</si>
  <si>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</si>
  <si>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</si>
  <si>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</si>
  <si>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</si>
  <si>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</si>
  <si>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</si>
  <si>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</si>
  <si>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</si>
  <si>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</si>
  <si>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</si>
  <si>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</si>
  <si>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</si>
  <si>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</si>
  <si>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</si>
  <si>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</si>
  <si>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</si>
  <si>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</si>
  <si>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</si>
  <si>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</si>
  <si>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</si>
  <si>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</si>
  <si>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</si>
  <si>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</si>
  <si>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</si>
  <si>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</si>
  <si>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</si>
  <si>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</si>
  <si>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</si>
  <si>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</si>
  <si>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</si>
  <si>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</si>
  <si>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</si>
  <si>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</si>
  <si>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</si>
  <si>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</si>
  <si>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</si>
  <si>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</si>
  <si>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</si>
  <si>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</si>
  <si>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</si>
  <si>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</si>
  <si>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</si>
  <si>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</si>
  <si>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</si>
  <si>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</si>
  <si>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</si>
  <si>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</si>
  <si>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</si>
  <si>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</si>
  <si>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</si>
  <si>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</si>
  <si>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</si>
  <si>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</si>
  <si>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</si>
  <si>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</si>
  <si>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</si>
  <si>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</si>
  <si>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</si>
  <si>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</si>
  <si>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</si>
  <si>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</si>
  <si>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</si>
  <si>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</si>
  <si>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</si>
  <si>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</si>
  <si>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</si>
  <si>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</si>
  <si>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</si>
  <si>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</si>
  <si>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</si>
  <si>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</si>
  <si>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</si>
  <si>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</si>
  <si>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</si>
  <si>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</si>
  <si>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</si>
  <si>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</si>
  <si>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</si>
  <si>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</si>
  <si>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</si>
  <si>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</si>
  <si>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</si>
  <si>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</si>
  <si>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</si>
  <si>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</si>
  <si>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</si>
  <si>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</si>
  <si>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</si>
  <si>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</si>
  <si>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</si>
  <si>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</si>
  <si>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</si>
  <si>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</si>
  <si>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</si>
  <si>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</si>
  <si>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</si>
  <si>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</si>
  <si>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</si>
  <si>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</si>
  <si>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</si>
  <si>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</si>
  <si>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</si>
  <si>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</si>
  <si>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</si>
  <si>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</si>
  <si>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</si>
  <si>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</si>
  <si>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</si>
  <si>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</si>
  <si>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</si>
  <si>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</si>
  <si>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</si>
  <si>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</si>
  <si>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</si>
  <si>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</si>
  <si>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</si>
  <si>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</si>
  <si>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</si>
  <si>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</si>
  <si>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</si>
  <si>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</si>
  <si>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</si>
  <si>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</si>
  <si>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</si>
  <si>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</si>
  <si>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</si>
  <si>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</si>
  <si>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</si>
  <si>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</si>
  <si>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</si>
  <si>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</si>
  <si>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</si>
  <si>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</si>
  <si>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</si>
  <si>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</si>
  <si>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</si>
  <si>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</si>
  <si>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</si>
  <si>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4月</t>
    <phoneticPr fontId="8" type="noConversion"/>
  </si>
  <si>
    <t>统一结算日前</t>
    <phoneticPr fontId="8" type="noConversion"/>
  </si>
  <si>
    <t>节点日前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</si>
</sst>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2" sqref="H12:H13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-478.9296491126932</v>
      </c>
      <c r="E4" s="44">
        <f>B4*(1-P4)*H8</f>
        <v>-1822.5702500000016</v>
      </c>
      <c r="F4" s="44">
        <f>B4*(1-P4)*H9</f>
        <v>-258.02808000000022</v>
      </c>
      <c r="G4" s="44">
        <f>$B$4*H13</f>
        <v>-2390.8221433139042</v>
      </c>
      <c r="H4" s="44">
        <f ca="1">容量分摊系数!F5</f>
        <v>-10714.396125000001</v>
      </c>
      <c r="I4" s="44">
        <f ca="1">容量分摊系数!C3</f>
        <v>0.84259775181227226</v>
      </c>
      <c r="J4" s="44">
        <f ca="1">SUM(D4:H4)</f>
        <v>-15664.746247426599</v>
      </c>
      <c r="K4" s="47">
        <f ca="1">C4+D4+E4+F4+G4+H4</f>
        <v>-338.70024742659916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103892.0622750734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f>1000*13702.83/5160560</f>
        <v>2.6552990373137799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f>1000*68404.68/5160560</f>
        <v>13.255282372455703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178</v>
      </c>
      <c r="K1" s="38" t="s">
        <v>179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103892.0622750734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E10" sqref="E10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0.84259775181227226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-10714.396125000001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177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</v>
      </c>
      <c r="E68" s="10">
        <f>报价及预中标!L62/4</f>
        <v>-15</v>
      </c>
      <c r="F68" s="75">
        <f t="shared" ca="1" si="1"/>
        <v>-1057.5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</v>
      </c>
      <c r="E69" s="10">
        <f>报价及预中标!L63/4</f>
        <v>-15</v>
      </c>
      <c r="F69" s="75">
        <f t="shared" ca="1" si="1"/>
        <v>-1057.5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</v>
      </c>
      <c r="E70" s="10">
        <f>报价及预中标!L64/4</f>
        <v>-15</v>
      </c>
      <c r="F70" s="75">
        <f t="shared" ca="1" si="1"/>
        <v>-1057.5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</v>
      </c>
      <c r="E71" s="10">
        <f>报价及预中标!L65/4</f>
        <v>-15</v>
      </c>
      <c r="F71" s="75">
        <f t="shared" ca="1" si="1"/>
        <v>-1057.5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1.7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1.7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1.7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1.7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