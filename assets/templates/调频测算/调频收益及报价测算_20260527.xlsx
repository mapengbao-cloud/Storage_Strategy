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调频测算\"/>
    </mc:Choice>
  </mc:AlternateContent>
  <xr:revisionPtr revIDLastSave="0" documentId="13_ncr:1_{431C1D9C-CFF8-4D73-874F-7909AF8A3D46}" xr6:coauthVersionLast="36" xr6:coauthVersionMax="36" xr10:uidLastSave="{00000000-0000-0000-0000-000000000000}"/>
  <bookViews>
    <workbookView xWindow="0" yWindow="0" windowWidth="17256" windowHeight="5508" xr2:uid="{CC547ED7-CD36-4CCB-B147-A090B12A1A43}"/>
  </bookViews>
  <sheets>
    <sheet name="调频测算" sheetId="1" r:id="rId1"/>
    <sheet name="用电结算单" sheetId="2" r:id="rId2"/>
    <sheet name="发电结算单" sheetId="3" r:id="rId3"/>
    <sheet name="实时出清电量" sheetId="10" r:id="rId4"/>
    <sheet name="调频产生发用电及损益" sheetId="11" r:id="rId5"/>
    <sheet name="性能记录表格" sheetId="5" r:id="rId6"/>
    <sheet name="容量分摊系数" sheetId="8" r:id="rId7"/>
  </sheets>
  <calcPr calcId="191029"/>
</workbook>
</file>

<file path=xl/calcChain.xml><?xml version="1.0" encoding="utf-8"?>
<calcChain xmlns="http://schemas.openxmlformats.org/spreadsheetml/2006/main">
  <c r="B10" i="1" l="1"/>
  <c r="M7" i="1"/>
  <c r="M6" i="1"/>
  <c r="M5" i="1"/>
  <c r="M4" i="1"/>
  <c r="M3" i="1"/>
  <c r="M2" i="1"/>
  <c r="B6" i="1"/>
  <c r="K3" i="1"/>
  <c r="K4" i="1"/>
  <c r="K5" i="1"/>
  <c r="K6" i="1"/>
  <c r="K2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G6" i="1" s="1"/>
  <c r="E25" i="11"/>
  <c r="E2" i="11"/>
  <c r="F2" i="11" s="1"/>
  <c r="I8" i="1"/>
  <c r="J8" i="1"/>
  <c r="E7" i="1"/>
  <c r="F8" i="1"/>
  <c r="F8" i="11"/>
  <c r="G3" i="1"/>
  <c r="F14" i="11"/>
  <c r="F21" i="11"/>
  <c r="F22" i="11"/>
  <c r="F23" i="11"/>
  <c r="F24" i="11"/>
  <c r="H6" i="1" s="1"/>
  <c r="F25" i="11"/>
  <c r="G3" i="11"/>
  <c r="H3" i="11" s="1"/>
  <c r="G4" i="11"/>
  <c r="H4" i="11" s="1"/>
  <c r="G5" i="11"/>
  <c r="G6" i="11"/>
  <c r="G7" i="11"/>
  <c r="G8" i="11"/>
  <c r="G9" i="11"/>
  <c r="G10" i="11"/>
  <c r="H10" i="11" s="1"/>
  <c r="J2" i="1" s="1"/>
  <c r="G11" i="11"/>
  <c r="H11" i="11" s="1"/>
  <c r="G12" i="11"/>
  <c r="H12" i="11" s="1"/>
  <c r="J3" i="1" s="1"/>
  <c r="G13" i="11"/>
  <c r="H13" i="11" s="1"/>
  <c r="G14" i="11"/>
  <c r="H14" i="11" s="1"/>
  <c r="G15" i="11"/>
  <c r="I4" i="1" s="1"/>
  <c r="G16" i="11"/>
  <c r="H16" i="11" s="1"/>
  <c r="G17" i="11"/>
  <c r="H17" i="11" s="1"/>
  <c r="G18" i="11"/>
  <c r="H18" i="11" s="1"/>
  <c r="G19" i="11"/>
  <c r="I5" i="1" s="1"/>
  <c r="G20" i="11"/>
  <c r="H20" i="11" s="1"/>
  <c r="G21" i="11"/>
  <c r="H21" i="11" s="1"/>
  <c r="G22" i="11"/>
  <c r="H22" i="11" s="1"/>
  <c r="G23" i="11"/>
  <c r="H23" i="11" s="1"/>
  <c r="G24" i="11"/>
  <c r="I6" i="1" s="1"/>
  <c r="G25" i="11"/>
  <c r="H25" i="11" s="1"/>
  <c r="G2" i="11"/>
  <c r="G5" i="1"/>
  <c r="H4" i="1"/>
  <c r="G4" i="1"/>
  <c r="I3" i="1"/>
  <c r="H3" i="1"/>
  <c r="G2" i="1"/>
  <c r="H5" i="11"/>
  <c r="H6" i="11"/>
  <c r="H7" i="11"/>
  <c r="H8" i="11"/>
  <c r="H9" i="11"/>
  <c r="H2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1" i="11"/>
  <c r="K2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2" i="10"/>
  <c r="F6" i="11"/>
  <c r="F7" i="11"/>
  <c r="F9" i="11"/>
  <c r="F10" i="11"/>
  <c r="H2" i="1" s="1"/>
  <c r="H8" i="1" s="1"/>
  <c r="F11" i="11"/>
  <c r="F12" i="11"/>
  <c r="F13" i="11"/>
  <c r="F15" i="11"/>
  <c r="F16" i="11"/>
  <c r="F17" i="11"/>
  <c r="F18" i="11"/>
  <c r="F19" i="11"/>
  <c r="H5" i="1" s="1"/>
  <c r="F20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3" i="11"/>
  <c r="D24" i="11"/>
  <c r="D25" i="11"/>
  <c r="B2" i="11"/>
  <c r="B3" i="11"/>
  <c r="D3" i="11" s="1"/>
  <c r="B4" i="11"/>
  <c r="D4" i="11" s="1"/>
  <c r="B5" i="11"/>
  <c r="D5" i="11" s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D22" i="11" s="1"/>
  <c r="B23" i="11"/>
  <c r="B24" i="11"/>
  <c r="B25" i="11"/>
  <c r="B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1" i="11"/>
  <c r="G5" i="10"/>
  <c r="G3" i="10"/>
  <c r="G4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B27" i="10"/>
  <c r="B25" i="10"/>
  <c r="G8" i="1" l="1"/>
  <c r="H24" i="11"/>
  <c r="J6" i="1" s="1"/>
  <c r="I2" i="1"/>
  <c r="H15" i="11"/>
  <c r="J4" i="1" s="1"/>
  <c r="H19" i="11"/>
  <c r="J5" i="1" s="1"/>
  <c r="D2" i="11"/>
  <c r="F5" i="11"/>
  <c r="F4" i="11"/>
  <c r="F3" i="11"/>
  <c r="B26" i="10"/>
  <c r="B28" i="10" s="1"/>
  <c r="D29" i="2" l="1"/>
  <c r="M8" i="1" l="1"/>
  <c r="L2" i="1"/>
  <c r="L4" i="1" l="1"/>
  <c r="L6" i="1"/>
  <c r="L5" i="1"/>
  <c r="L3" i="1" l="1"/>
  <c r="L8" i="1" s="1"/>
  <c r="K7" i="1"/>
  <c r="K8" i="1"/>
  <c r="D3" i="1"/>
  <c r="D4" i="1"/>
  <c r="D5" i="1"/>
  <c r="D6" i="1"/>
  <c r="D2" i="1"/>
  <c r="C3" i="1"/>
  <c r="C4" i="1"/>
  <c r="C5" i="1"/>
  <c r="C6" i="1"/>
  <c r="C2" i="1"/>
  <c r="C7" i="1" s="1"/>
  <c r="B3" i="1"/>
  <c r="B4" i="1"/>
  <c r="B5" i="1"/>
  <c r="B2" i="1"/>
  <c r="F5" i="1" l="1"/>
  <c r="F6" i="1"/>
  <c r="F3" i="1"/>
  <c r="F2" i="1"/>
  <c r="D7" i="1"/>
  <c r="F4" i="1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Z101" i="3"/>
  <c r="Y101" i="3"/>
  <c r="V101" i="3"/>
  <c r="U101" i="3"/>
  <c r="Q101" i="3"/>
  <c r="P101" i="3" s="1"/>
  <c r="O101" i="3"/>
  <c r="N101" i="3"/>
  <c r="M101" i="3"/>
  <c r="L101" i="3"/>
  <c r="K101" i="3"/>
  <c r="G101" i="3"/>
  <c r="E101" i="3"/>
  <c r="D101" i="3"/>
  <c r="B101" i="3"/>
  <c r="E29" i="2"/>
  <c r="AD29" i="2" s="1"/>
  <c r="C29" i="2"/>
</calcChain>
</file>

<file path=xl/sharedStrings.xml><?xml version="1.0" encoding="utf-8"?>
<sst xmlns="http://schemas.openxmlformats.org/spreadsheetml/2006/main" count="406" uniqueCount="324">
  <si>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</si>
  <si>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</si>
  <si>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</si>
  <si>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</si>
  <si>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</si>
  <si>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</si>
  <si>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</si>
  <si>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</si>
  <si>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</si>
  <si>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</si>
  <si>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</si>
  <si>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</si>
  <si>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</si>
  <si>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</si>
  <si>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</si>
  <si>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</si>
  <si>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</si>
  <si>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</si>
  <si>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</si>
  <si>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</si>
  <si>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</si>
  <si>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</si>
  <si>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</si>
  <si>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</si>
  <si>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</si>
  <si>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</si>
  <si>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</si>
  <si>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</si>
  <si>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</si>
  <si>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</si>
  <si>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</si>
  <si>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</si>
  <si>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</si>
  <si>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</si>
  <si>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</si>
  <si>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</si>
  <si>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</si>
  <si>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</si>
  <si>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</si>
  <si>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</si>
  <si>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</si>
  <si>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</si>
  <si>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</si>
  <si>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</si>
  <si>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</si>
  <si>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</si>
  <si>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</si>
  <si>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</si>
  <si>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</si>
  <si>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</si>
  <si>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</si>
  <si>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</si>
  <si>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</si>
  <si>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</si>
  <si>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</si>
  <si>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</si>
  <si>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</si>
  <si>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</si>
  <si>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</si>
  <si>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</si>
  <si>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</si>
  <si>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</si>
  <si>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</si>
  <si>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</si>
  <si>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</si>
  <si>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</si>
  <si>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</si>
  <si>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</si>
  <si>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</si>
  <si>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</si>
  <si>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</si>
  <si>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</si>
  <si>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</si>
  <si>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</si>
  <si>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</si>
  <si>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</si>
  <si>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</si>
  <si>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</si>
  <si>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</si>
  <si>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</si>
  <si>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</si>
  <si>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</si>
  <si>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</si>
  <si>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</si>
  <si>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</si>
  <si>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</si>
  <si>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</si>
  <si>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</si>
  <si>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</si>
  <si>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</si>
  <si>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</si>
  <si>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</si>
  <si>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</si>
  <si>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</si>
  <si>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</si>
  <si>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</si>
  <si>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</si>
  <si>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</si>
  <si>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</si>
  <si>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</si>
  <si>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</si>
  <si>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</si>
  <si>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</si>
  <si>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</si>
  <si>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</si>
  <si>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</si>
  <si>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</si>
  <si>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</si>
  <si>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</si>
  <si>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</si>
  <si>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</si>
  <si>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</si>
  <si>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</si>
  <si>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</si>
  <si>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</si>
  <si>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</si>
  <si>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</si>
  <si>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</si>
  <si>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</si>
  <si>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</si>
  <si>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</si>
  <si>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</si>
  <si>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</si>
  <si>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</si>
  <si>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</si>
  <si>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</si>
  <si>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</si>
  <si>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</si>
  <si>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</si>
  <si>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</si>
  <si>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</si>
  <si>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</si>
  <si>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</si>
  <si>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</si>
  <si>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</si>
  <si>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</si>
  <si>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</si>
  <si>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</si>
  <si>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</si>
  <si>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</si>
  <si>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</si>
  <si>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</si>
  <si>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</si>
  <si>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</si>
  <si>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</si>
  <si>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</si>
  <si>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</si>
  <si>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</si>
  <si>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</si>
  <si>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</si>
  <si>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</si>
  <si>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</si>
  <si>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</si>
  <si>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</si>
  <si>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</si>
  <si>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</si>
  <si>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</si>
  <si>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</si>
  <si>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</si>
  <si>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</si>
  <si>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</si>
  <si>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</si>
  <si>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</si>
  <si>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</si>
  <si>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</si>
  <si>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</si>
  <si>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</si>
  <si>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</si>
  <si>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</si>
  <si>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</si>
  <si>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</si>
  <si>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时点</t>
  </si>
  <si>
    <t>当前月份</t>
  </si>
  <si>
    <t>日期</t>
  </si>
  <si>
    <t>日期</t>
    <phoneticPr fontId="4" type="noConversion"/>
  </si>
  <si>
    <t>运行成本补偿费用分摊</t>
  </si>
  <si>
    <t>调频辅助服务费用分摊</t>
  </si>
  <si>
    <t>运行成本分摊费用</t>
  </si>
  <si>
    <t>调频辅助服务补偿费用</t>
  </si>
  <si>
    <t>小时</t>
  </si>
  <si>
    <t>电站名称</t>
  </si>
  <si>
    <t>AGC K1</t>
  </si>
  <si>
    <t>AGC K2</t>
  </si>
  <si>
    <t>AGC K3</t>
  </si>
  <si>
    <t>综合性能指标(Kp)</t>
  </si>
  <si>
    <t>调节深度(MW)</t>
  </si>
  <si>
    <t>2026-05-27</t>
  </si>
  <si>
    <t>苏留润津储能</t>
  </si>
  <si>
    <t>时点</t>
    <phoneticPr fontId="4" type="noConversion"/>
  </si>
  <si>
    <t>中标价格元/MW</t>
    <phoneticPr fontId="4" type="noConversion"/>
  </si>
  <si>
    <t>调频收入</t>
    <phoneticPr fontId="4" type="noConversion"/>
  </si>
  <si>
    <t>假设</t>
  </si>
  <si>
    <t>时点序号</t>
  </si>
  <si>
    <t>1. 中标按最大值中标，如[-100,-95],按-100中标，[0,95]，按95中标</t>
  </si>
  <si>
    <t>序号</t>
  </si>
  <si>
    <t>类型</t>
  </si>
  <si>
    <t>充电</t>
  </si>
  <si>
    <t>放电</t>
  </si>
  <si>
    <t>初始电量（MWh)</t>
  </si>
  <si>
    <t>额定装机（MW）</t>
  </si>
  <si>
    <t>最大电量（MWh)</t>
  </si>
  <si>
    <t>综合使用效率</t>
  </si>
  <si>
    <t>充电电量（MWh)</t>
  </si>
  <si>
    <t>充电均价(元/MWh）</t>
  </si>
  <si>
    <t>充电费用（元,正数代表收入）</t>
  </si>
  <si>
    <t>充放电价差(元/MWh）</t>
  </si>
  <si>
    <t>0015</t>
  </si>
  <si>
    <t>0030</t>
  </si>
  <si>
    <t>0045</t>
  </si>
  <si>
    <t>0100</t>
  </si>
  <si>
    <t>0115</t>
  </si>
  <si>
    <t>0130</t>
  </si>
  <si>
    <t>0145</t>
  </si>
  <si>
    <t>0200</t>
  </si>
  <si>
    <t>0215</t>
  </si>
  <si>
    <t>0230</t>
  </si>
  <si>
    <t>0245</t>
  </si>
  <si>
    <t>0300</t>
  </si>
  <si>
    <t>0315</t>
  </si>
  <si>
    <t>0330</t>
  </si>
  <si>
    <t>0345</t>
  </si>
  <si>
    <t>0400</t>
  </si>
  <si>
    <t>0415</t>
  </si>
  <si>
    <t>0430</t>
  </si>
  <si>
    <t>0445</t>
  </si>
  <si>
    <t>0500</t>
  </si>
  <si>
    <t>0515</t>
  </si>
  <si>
    <t>0530</t>
  </si>
  <si>
    <t>0545</t>
  </si>
  <si>
    <t>0600</t>
  </si>
  <si>
    <t>0615</t>
  </si>
  <si>
    <t>0630</t>
  </si>
  <si>
    <t>0645</t>
  </si>
  <si>
    <t>0700</t>
  </si>
  <si>
    <t>0715</t>
  </si>
  <si>
    <t>0730</t>
  </si>
  <si>
    <t>0745</t>
  </si>
  <si>
    <t>0800</t>
  </si>
  <si>
    <t>0815</t>
  </si>
  <si>
    <t>0830</t>
  </si>
  <si>
    <t>0845</t>
  </si>
  <si>
    <t>0900</t>
  </si>
  <si>
    <t>0915</t>
  </si>
  <si>
    <t>0930</t>
  </si>
  <si>
    <t>0945</t>
  </si>
  <si>
    <t>1000</t>
  </si>
  <si>
    <t>1015</t>
  </si>
  <si>
    <t>1030</t>
  </si>
  <si>
    <t>1045</t>
  </si>
  <si>
    <t>1100</t>
  </si>
  <si>
    <t>1115</t>
  </si>
  <si>
    <t>1130</t>
  </si>
  <si>
    <t>1145</t>
  </si>
  <si>
    <t>1200</t>
  </si>
  <si>
    <t>1215</t>
  </si>
  <si>
    <t>1230</t>
  </si>
  <si>
    <t>1245</t>
  </si>
  <si>
    <t>1300</t>
  </si>
  <si>
    <t>1315</t>
  </si>
  <si>
    <t>1330</t>
  </si>
  <si>
    <t>1345</t>
  </si>
  <si>
    <t>1400</t>
  </si>
  <si>
    <t>1415</t>
  </si>
  <si>
    <t>1430</t>
  </si>
  <si>
    <t>1445</t>
  </si>
  <si>
    <t>1500</t>
  </si>
  <si>
    <t>1515</t>
  </si>
  <si>
    <t>1530</t>
  </si>
  <si>
    <t>1545</t>
  </si>
  <si>
    <t>1600</t>
  </si>
  <si>
    <t>1615</t>
  </si>
  <si>
    <t>1630</t>
  </si>
  <si>
    <t>1645</t>
  </si>
  <si>
    <t>1700</t>
  </si>
  <si>
    <t>1715</t>
  </si>
  <si>
    <t>1730</t>
  </si>
  <si>
    <t>1745</t>
  </si>
  <si>
    <t>1800</t>
  </si>
  <si>
    <t>1815</t>
  </si>
  <si>
    <t>1830</t>
  </si>
  <si>
    <t>1845</t>
  </si>
  <si>
    <t>1900</t>
  </si>
  <si>
    <t>1915</t>
  </si>
  <si>
    <t>1930</t>
  </si>
  <si>
    <t>1945</t>
  </si>
  <si>
    <t>2000</t>
  </si>
  <si>
    <t>2015</t>
  </si>
  <si>
    <t>2030</t>
  </si>
  <si>
    <t>2045</t>
  </si>
  <si>
    <t>2100</t>
  </si>
  <si>
    <t>2115</t>
  </si>
  <si>
    <t>2130</t>
  </si>
  <si>
    <t>2145</t>
  </si>
  <si>
    <t>2200</t>
  </si>
  <si>
    <t>2215</t>
  </si>
  <si>
    <t>2230</t>
  </si>
  <si>
    <t>2245</t>
  </si>
  <si>
    <t>2300</t>
  </si>
  <si>
    <t>2315</t>
  </si>
  <si>
    <t>2330</t>
  </si>
  <si>
    <t>2345</t>
  </si>
  <si>
    <t>2400</t>
  </si>
  <si>
    <t>用电支出</t>
    <phoneticPr fontId="4" type="noConversion"/>
  </si>
  <si>
    <t>发电收入</t>
    <phoneticPr fontId="4" type="noConversion"/>
  </si>
  <si>
    <t>调频产生现货损益</t>
    <phoneticPr fontId="4" type="noConversion"/>
  </si>
  <si>
    <t>调频综合收入</t>
    <phoneticPr fontId="4" type="noConversion"/>
  </si>
  <si>
    <t>容量分摊费用</t>
    <phoneticPr fontId="4" type="noConversion"/>
  </si>
  <si>
    <t>调频产生用电量</t>
    <phoneticPr fontId="4" type="noConversion"/>
  </si>
  <si>
    <t>调频产生发电量</t>
    <phoneticPr fontId="4" type="noConversion"/>
  </si>
  <si>
    <t>计划充放状态</t>
    <phoneticPr fontId="4" type="noConversion"/>
  </si>
  <si>
    <t>调频发电收入</t>
    <phoneticPr fontId="4" type="noConversion"/>
  </si>
  <si>
    <t>刻钟</t>
    <phoneticPr fontId="4" type="noConversion"/>
  </si>
  <si>
    <t>96点实时出清电量</t>
    <phoneticPr fontId="4" type="noConversion"/>
  </si>
  <si>
    <t>24点实时出清电量</t>
    <phoneticPr fontId="4" type="noConversion"/>
  </si>
  <si>
    <t>调频用电量</t>
    <phoneticPr fontId="4" type="noConversion"/>
  </si>
  <si>
    <t>调频用电电费</t>
    <phoneticPr fontId="4" type="noConversion"/>
  </si>
  <si>
    <t>调频发电量</t>
    <phoneticPr fontId="4" type="noConversion"/>
  </si>
  <si>
    <t>96点实际发电电量</t>
    <phoneticPr fontId="4" type="noConversion"/>
  </si>
  <si>
    <t>24点实际发电电量</t>
    <phoneticPr fontId="4" type="noConversion"/>
  </si>
  <si>
    <t>最低申报均价</t>
    <phoneticPr fontId="4" type="noConversion"/>
  </si>
  <si>
    <t>-</t>
    <phoneticPr fontId="4" type="noConversion"/>
  </si>
  <si>
    <t>均值</t>
    <phoneticPr fontId="4" type="noConversion"/>
  </si>
  <si>
    <t>合计</t>
    <phoneticPr fontId="4" type="noConversion"/>
  </si>
  <si>
    <t>5月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</si>
</sst>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 "/>
    <numFmt numFmtId="178" formatCode="#0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12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 style="medium">
        <color rgb="FFEAEAEA"/>
      </right>
      <top/>
      <bottom/>
      <diagonal/>
    </border>
    <border>
      <left/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</borders>
  <cellStyleXfs count="8">
    <xf numFmtId="0" fontId="0" fillId="0" borderId="0"/>
    <xf numFmtId="0" fontId="1" fillId="0" borderId="0"/>
    <xf numFmtId="0" fontId="5" fillId="0" borderId="0">
      <alignment vertical="center"/>
    </xf>
    <xf numFmtId="0" fontId="3" fillId="0" borderId="0"/>
    <xf numFmtId="0" fontId="13" fillId="0" borderId="0"/>
    <xf numFmtId="0" fontId="2" fillId="0" borderId="0"/>
    <xf numFmtId="0" fontId="2" fillId="0" borderId="0"/>
    <xf numFmtId="9" fontId="2" fillId="0" borderId="0">
      <alignment vertical="center"/>
    </xf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4" fontId="11" fillId="0" borderId="2" xfId="0" applyNumberFormat="1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center" vertical="center" wrapText="1"/>
    </xf>
    <xf numFmtId="4" fontId="11" fillId="4" borderId="2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/>
    <xf numFmtId="176" fontId="6" fillId="2" borderId="2" xfId="0" applyNumberFormat="1" applyFont="1" applyFill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 wrapText="1"/>
    </xf>
    <xf numFmtId="176" fontId="12" fillId="5" borderId="2" xfId="0" applyNumberFormat="1" applyFont="1" applyFill="1" applyBorder="1" applyAlignment="1">
      <alignment horizontal="center" vertical="center" wrapText="1"/>
    </xf>
    <xf numFmtId="176" fontId="11" fillId="4" borderId="2" xfId="0" applyNumberFormat="1" applyFont="1" applyFill="1" applyBorder="1" applyAlignment="1">
      <alignment vertical="center" wrapText="1"/>
    </xf>
    <xf numFmtId="178" fontId="6" fillId="4" borderId="2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vertical="center" wrapText="1"/>
    </xf>
    <xf numFmtId="178" fontId="6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176" fontId="6" fillId="3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0" borderId="0" xfId="4" applyNumberFormat="1"/>
    <xf numFmtId="0" fontId="2" fillId="0" borderId="1" xfId="0" applyFont="1" applyBorder="1" applyAlignment="1">
      <alignment horizontal="center" vertical="center"/>
    </xf>
    <xf numFmtId="0" fontId="13" fillId="0" borderId="1" xfId="4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3" fillId="0" borderId="1" xfId="4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ont="1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14" xfId="1" applyFont="1" applyBorder="1"/>
    <xf numFmtId="0" fontId="1" fillId="0" borderId="16" xfId="1" applyFont="1" applyBorder="1"/>
    <xf numFmtId="0" fontId="1" fillId="0" borderId="17" xfId="1" applyFont="1" applyBorder="1"/>
    <xf numFmtId="0" fontId="1" fillId="0" borderId="18" xfId="1" applyFont="1" applyBorder="1"/>
    <xf numFmtId="0" fontId="1" fillId="0" borderId="12" xfId="1" applyFont="1" applyBorder="1"/>
    <xf numFmtId="9" fontId="1" fillId="0" borderId="20" xfId="1" applyNumberFormat="1" applyFont="1" applyBorder="1"/>
    <xf numFmtId="0" fontId="1" fillId="0" borderId="21" xfId="1" applyFont="1" applyBorder="1"/>
    <xf numFmtId="0" fontId="1" fillId="0" borderId="22" xfId="1" applyFont="1" applyBorder="1"/>
    <xf numFmtId="0" fontId="1" fillId="0" borderId="23" xfId="1" applyFont="1" applyBorder="1"/>
    <xf numFmtId="4" fontId="1" fillId="0" borderId="0" xfId="1" applyNumberFormat="1" applyFont="1" applyAlignment="1">
      <alignment horizontal="right"/>
    </xf>
    <xf numFmtId="3" fontId="1" fillId="0" borderId="0" xfId="1" applyNumberFormat="1" applyFont="1"/>
    <xf numFmtId="0" fontId="1" fillId="0" borderId="24" xfId="1" applyFont="1" applyBorder="1"/>
    <xf numFmtId="177" fontId="1" fillId="0" borderId="25" xfId="1" applyNumberFormat="1" applyFont="1" applyBorder="1"/>
    <xf numFmtId="0" fontId="14" fillId="7" borderId="26" xfId="5" applyFont="1" applyFill="1" applyBorder="1" applyAlignment="1">
      <alignment horizontal="center" vertical="center" wrapText="1"/>
    </xf>
    <xf numFmtId="0" fontId="14" fillId="7" borderId="27" xfId="5" applyFont="1" applyFill="1" applyBorder="1" applyAlignment="1">
      <alignment horizontal="center" vertical="center" wrapText="1"/>
    </xf>
    <xf numFmtId="0" fontId="15" fillId="7" borderId="29" xfId="5" applyFont="1" applyFill="1" applyBorder="1" applyAlignment="1">
      <alignment horizontal="center" vertical="center" wrapText="1"/>
    </xf>
    <xf numFmtId="0" fontId="15" fillId="7" borderId="30" xfId="5" applyFont="1" applyFill="1" applyBorder="1" applyAlignment="1">
      <alignment horizontal="center" vertical="center" wrapText="1"/>
    </xf>
    <xf numFmtId="0" fontId="15" fillId="8" borderId="32" xfId="5" applyFont="1" applyFill="1" applyBorder="1" applyAlignment="1">
      <alignment horizontal="center" vertical="center" wrapText="1"/>
    </xf>
    <xf numFmtId="0" fontId="15" fillId="8" borderId="31" xfId="5" applyFont="1" applyFill="1" applyBorder="1" applyAlignment="1">
      <alignment horizontal="center" vertical="center" wrapText="1"/>
    </xf>
    <xf numFmtId="0" fontId="15" fillId="7" borderId="33" xfId="5" applyFont="1" applyFill="1" applyBorder="1" applyAlignment="1">
      <alignment horizontal="center" vertical="center" wrapText="1"/>
    </xf>
    <xf numFmtId="0" fontId="15" fillId="7" borderId="28" xfId="5" applyFont="1" applyFill="1" applyBorder="1" applyAlignment="1">
      <alignment horizontal="center" vertical="center" wrapText="1"/>
    </xf>
    <xf numFmtId="0" fontId="15" fillId="8" borderId="33" xfId="5" applyFont="1" applyFill="1" applyBorder="1" applyAlignment="1">
      <alignment horizontal="center" vertical="center" wrapText="1"/>
    </xf>
    <xf numFmtId="0" fontId="15" fillId="8" borderId="28" xfId="5" applyFont="1" applyFill="1" applyBorder="1" applyAlignment="1">
      <alignment horizontal="center" vertical="center" wrapText="1"/>
    </xf>
    <xf numFmtId="0" fontId="15" fillId="7" borderId="34" xfId="5" applyFont="1" applyFill="1" applyBorder="1" applyAlignment="1">
      <alignment horizontal="center" vertical="center" wrapText="1"/>
    </xf>
    <xf numFmtId="0" fontId="15" fillId="7" borderId="35" xfId="5" applyFont="1" applyFill="1" applyBorder="1" applyAlignment="1">
      <alignment horizontal="center" vertical="center" wrapText="1"/>
    </xf>
    <xf numFmtId="0" fontId="2" fillId="0" borderId="0" xfId="6" applyFont="1"/>
    <xf numFmtId="0" fontId="2" fillId="0" borderId="0" xfId="6" applyFont="1" applyAlignment="1">
      <alignment horizontal="center" vertical="center"/>
    </xf>
    <xf numFmtId="0" fontId="2" fillId="0" borderId="11" xfId="6" applyFont="1" applyBorder="1" applyAlignment="1">
      <alignment horizontal="center" vertical="center"/>
    </xf>
    <xf numFmtId="0" fontId="2" fillId="0" borderId="0" xfId="6" applyFont="1" applyAlignment="1">
      <alignment vertical="center"/>
    </xf>
    <xf numFmtId="0" fontId="2" fillId="6" borderId="12" xfId="6" applyFont="1" applyFill="1" applyBorder="1" applyAlignment="1">
      <alignment horizontal="center" vertical="center"/>
    </xf>
    <xf numFmtId="0" fontId="2" fillId="0" borderId="4" xfId="6" applyFont="1" applyBorder="1" applyAlignment="1">
      <alignment horizontal="center" vertical="center"/>
    </xf>
    <xf numFmtId="0" fontId="2" fillId="0" borderId="13" xfId="6" applyFont="1" applyBorder="1" applyAlignment="1">
      <alignment horizontal="center" vertical="center"/>
    </xf>
    <xf numFmtId="0" fontId="16" fillId="0" borderId="0" xfId="0" applyFont="1"/>
    <xf numFmtId="179" fontId="6" fillId="0" borderId="2" xfId="0" applyNumberFormat="1" applyFont="1" applyBorder="1" applyAlignment="1">
      <alignment horizontal="center" vertical="center" wrapText="1"/>
    </xf>
    <xf numFmtId="0" fontId="0" fillId="0" borderId="6" xfId="0" applyBorder="1"/>
    <xf numFmtId="179" fontId="6" fillId="4" borderId="2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7" xfId="0" applyBorder="1"/>
    <xf numFmtId="176" fontId="6" fillId="3" borderId="2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8" fillId="2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10" xfId="0" applyBorder="1"/>
    <xf numFmtId="0" fontId="2" fillId="0" borderId="3" xfId="6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1" applyFont="1" applyBorder="1"/>
    <xf numFmtId="0" fontId="17" fillId="0" borderId="0" xfId="0" applyFont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8" fillId="0" borderId="0" xfId="1" applyFont="1" applyAlignment="1">
      <alignment horizontal="center" vertical="center"/>
    </xf>
    <xf numFmtId="0" fontId="18" fillId="0" borderId="0" xfId="1" applyFont="1"/>
  </cellXfs>
  <cellStyles count="8">
    <cellStyle name="百分比 2" xfId="7" xr:uid="{678DD847-2D06-40EF-A54C-8A4631D9DAA9}"/>
    <cellStyle name="常规" xfId="0" builtinId="0"/>
    <cellStyle name="常规 2" xfId="1" xr:uid="{00000000-0005-0000-0000-000002000000}"/>
    <cellStyle name="常规 3" xfId="2" xr:uid="{00000000-0005-0000-0000-000003000000}"/>
    <cellStyle name="常规 4" xfId="3" xr:uid="{00000000-0005-0000-0000-000004000000}"/>
    <cellStyle name="常规 4 2" xfId="6" xr:uid="{240DF777-B9B7-4336-9320-A4ECBB02C9A2}"/>
    <cellStyle name="常规 5" xfId="4" xr:uid="{93982E02-A156-4966-8830-CB878CC08683}"/>
    <cellStyle name="常规 6" xfId="5" xr:uid="{0E012473-4CAB-411E-8729-EA3DFF89D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24</a:t>
            </a:r>
            <a:r>
              <a:rPr lang="zh-CN" altLang="en-US"/>
              <a:t>点用电结算价格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用电结算单!$D$5:$D$28</c:f>
              <c:numCache>
                <c:formatCode>#,##0.000</c:formatCode>
                <c:ptCount val="24"/>
                <c:pt idx="0">
                  <c:v>393.14299999999997</c:v>
                </c:pt>
                <c:pt idx="1">
                  <c:v>382.51100000000002</c:v>
                </c:pt>
                <c:pt idx="2">
                  <c:v>380.25</c:v>
                </c:pt>
                <c:pt idx="3">
                  <c:v>378.303</c:v>
                </c:pt>
                <c:pt idx="4">
                  <c:v>374.80399999999997</c:v>
                </c:pt>
                <c:pt idx="5">
                  <c:v>377.5</c:v>
                </c:pt>
                <c:pt idx="6">
                  <c:v>362.03100000000001</c:v>
                </c:pt>
                <c:pt idx="7">
                  <c:v>351.75599999999997</c:v>
                </c:pt>
                <c:pt idx="8">
                  <c:v>373.70100000000002</c:v>
                </c:pt>
                <c:pt idx="9">
                  <c:v>332.56400000000002</c:v>
                </c:pt>
                <c:pt idx="10">
                  <c:v>370.66300000000001</c:v>
                </c:pt>
                <c:pt idx="11">
                  <c:v>261.41199999999998</c:v>
                </c:pt>
                <c:pt idx="12">
                  <c:v>144.798</c:v>
                </c:pt>
                <c:pt idx="13">
                  <c:v>358.02499999999998</c:v>
                </c:pt>
                <c:pt idx="14">
                  <c:v>356.74200000000002</c:v>
                </c:pt>
                <c:pt idx="15">
                  <c:v>368.44099999999997</c:v>
                </c:pt>
                <c:pt idx="16">
                  <c:v>399.70499999999998</c:v>
                </c:pt>
                <c:pt idx="17">
                  <c:v>417.70800000000003</c:v>
                </c:pt>
                <c:pt idx="18">
                  <c:v>445.625</c:v>
                </c:pt>
                <c:pt idx="19">
                  <c:v>447.58300000000003</c:v>
                </c:pt>
                <c:pt idx="20">
                  <c:v>451</c:v>
                </c:pt>
                <c:pt idx="21">
                  <c:v>453</c:v>
                </c:pt>
                <c:pt idx="22">
                  <c:v>458.08300000000003</c:v>
                </c:pt>
                <c:pt idx="23">
                  <c:v>442.375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E-4140-B520-9DCFF9665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768656"/>
        <c:axId val="1605591184"/>
      </c:lineChart>
      <c:catAx>
        <c:axId val="139476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5591184"/>
        <c:crosses val="autoZero"/>
        <c:auto val="1"/>
        <c:lblAlgn val="ctr"/>
        <c:lblOffset val="100"/>
        <c:noMultiLvlLbl val="0"/>
      </c:catAx>
      <c:valAx>
        <c:axId val="16055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76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96点发电结算价格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发电结算单!$P$5:$P$100</c:f>
              <c:numCache>
                <c:formatCode>#,##0.000</c:formatCode>
                <c:ptCount val="96"/>
                <c:pt idx="0">
                  <c:v>402</c:v>
                </c:pt>
                <c:pt idx="1">
                  <c:v>392.04399999999998</c:v>
                </c:pt>
                <c:pt idx="2">
                  <c:v>391.02699999999999</c:v>
                </c:pt>
                <c:pt idx="3">
                  <c:v>387.5</c:v>
                </c:pt>
                <c:pt idx="4">
                  <c:v>386</c:v>
                </c:pt>
                <c:pt idx="5">
                  <c:v>383.29399999999998</c:v>
                </c:pt>
                <c:pt idx="6">
                  <c:v>382</c:v>
                </c:pt>
                <c:pt idx="7">
                  <c:v>378.75</c:v>
                </c:pt>
                <c:pt idx="8">
                  <c:v>381</c:v>
                </c:pt>
                <c:pt idx="9">
                  <c:v>380</c:v>
                </c:pt>
                <c:pt idx="10">
                  <c:v>380</c:v>
                </c:pt>
                <c:pt idx="11">
                  <c:v>380</c:v>
                </c:pt>
                <c:pt idx="12">
                  <c:v>380</c:v>
                </c:pt>
                <c:pt idx="13">
                  <c:v>379.21100000000001</c:v>
                </c:pt>
                <c:pt idx="14">
                  <c:v>378</c:v>
                </c:pt>
                <c:pt idx="15">
                  <c:v>376</c:v>
                </c:pt>
                <c:pt idx="16">
                  <c:v>376</c:v>
                </c:pt>
                <c:pt idx="17">
                  <c:v>375</c:v>
                </c:pt>
                <c:pt idx="18">
                  <c:v>373</c:v>
                </c:pt>
                <c:pt idx="19">
                  <c:v>375.21699999999998</c:v>
                </c:pt>
                <c:pt idx="20">
                  <c:v>380</c:v>
                </c:pt>
                <c:pt idx="21">
                  <c:v>380</c:v>
                </c:pt>
                <c:pt idx="22">
                  <c:v>378</c:v>
                </c:pt>
                <c:pt idx="23">
                  <c:v>372</c:v>
                </c:pt>
                <c:pt idx="24">
                  <c:v>366.38600000000002</c:v>
                </c:pt>
                <c:pt idx="25">
                  <c:v>364.73899999999998</c:v>
                </c:pt>
                <c:pt idx="26">
                  <c:v>360</c:v>
                </c:pt>
                <c:pt idx="27">
                  <c:v>357</c:v>
                </c:pt>
                <c:pt idx="28">
                  <c:v>348</c:v>
                </c:pt>
                <c:pt idx="29">
                  <c:v>342.16500000000002</c:v>
                </c:pt>
                <c:pt idx="30">
                  <c:v>347.858</c:v>
                </c:pt>
                <c:pt idx="31">
                  <c:v>369</c:v>
                </c:pt>
                <c:pt idx="32">
                  <c:v>375.529</c:v>
                </c:pt>
                <c:pt idx="33">
                  <c:v>379.54700000000003</c:v>
                </c:pt>
                <c:pt idx="34">
                  <c:v>371.72699999999998</c:v>
                </c:pt>
                <c:pt idx="35">
                  <c:v>368</c:v>
                </c:pt>
                <c:pt idx="36">
                  <c:v>348.33300000000003</c:v>
                </c:pt>
                <c:pt idx="37">
                  <c:v>348</c:v>
                </c:pt>
                <c:pt idx="38">
                  <c:v>325.92099999999999</c:v>
                </c:pt>
                <c:pt idx="39">
                  <c:v>308</c:v>
                </c:pt>
                <c:pt idx="40">
                  <c:v>351.85599999999999</c:v>
                </c:pt>
                <c:pt idx="41">
                  <c:v>379.98</c:v>
                </c:pt>
                <c:pt idx="42">
                  <c:v>377.92599999999999</c:v>
                </c:pt>
                <c:pt idx="43">
                  <c:v>372.89100000000002</c:v>
                </c:pt>
                <c:pt idx="44">
                  <c:v>376</c:v>
                </c:pt>
                <c:pt idx="45">
                  <c:v>398</c:v>
                </c:pt>
                <c:pt idx="46">
                  <c:v>351.64600000000002</c:v>
                </c:pt>
                <c:pt idx="47">
                  <c:v>-80</c:v>
                </c:pt>
                <c:pt idx="48">
                  <c:v>87.802999999999997</c:v>
                </c:pt>
                <c:pt idx="49">
                  <c:v>54.773000000000003</c:v>
                </c:pt>
                <c:pt idx="50">
                  <c:v>106.9</c:v>
                </c:pt>
                <c:pt idx="51">
                  <c:v>329.71699999999998</c:v>
                </c:pt>
                <c:pt idx="52">
                  <c:v>360</c:v>
                </c:pt>
                <c:pt idx="53">
                  <c:v>350.1</c:v>
                </c:pt>
                <c:pt idx="54">
                  <c:v>366</c:v>
                </c:pt>
                <c:pt idx="55">
                  <c:v>356</c:v>
                </c:pt>
                <c:pt idx="56">
                  <c:v>348.33300000000003</c:v>
                </c:pt>
                <c:pt idx="57">
                  <c:v>358.81400000000002</c:v>
                </c:pt>
                <c:pt idx="58">
                  <c:v>360</c:v>
                </c:pt>
                <c:pt idx="59">
                  <c:v>359.82100000000003</c:v>
                </c:pt>
                <c:pt idx="60">
                  <c:v>354</c:v>
                </c:pt>
                <c:pt idx="61">
                  <c:v>358</c:v>
                </c:pt>
                <c:pt idx="62">
                  <c:v>377</c:v>
                </c:pt>
                <c:pt idx="63">
                  <c:v>384.76400000000001</c:v>
                </c:pt>
                <c:pt idx="64">
                  <c:v>394</c:v>
                </c:pt>
                <c:pt idx="65">
                  <c:v>394</c:v>
                </c:pt>
                <c:pt idx="66">
                  <c:v>402.81799999999998</c:v>
                </c:pt>
                <c:pt idx="67">
                  <c:v>408</c:v>
                </c:pt>
                <c:pt idx="68">
                  <c:v>404</c:v>
                </c:pt>
                <c:pt idx="69">
                  <c:v>405</c:v>
                </c:pt>
                <c:pt idx="70">
                  <c:v>428.5</c:v>
                </c:pt>
                <c:pt idx="71">
                  <c:v>433.33300000000003</c:v>
                </c:pt>
                <c:pt idx="72">
                  <c:v>448</c:v>
                </c:pt>
                <c:pt idx="73">
                  <c:v>441</c:v>
                </c:pt>
                <c:pt idx="74">
                  <c:v>446.5</c:v>
                </c:pt>
                <c:pt idx="75">
                  <c:v>447</c:v>
                </c:pt>
                <c:pt idx="76">
                  <c:v>449.33300000000003</c:v>
                </c:pt>
                <c:pt idx="77">
                  <c:v>448</c:v>
                </c:pt>
                <c:pt idx="78">
                  <c:v>446</c:v>
                </c:pt>
                <c:pt idx="79">
                  <c:v>447</c:v>
                </c:pt>
                <c:pt idx="80">
                  <c:v>450</c:v>
                </c:pt>
                <c:pt idx="81">
                  <c:v>450</c:v>
                </c:pt>
                <c:pt idx="82">
                  <c:v>451</c:v>
                </c:pt>
                <c:pt idx="83">
                  <c:v>453</c:v>
                </c:pt>
                <c:pt idx="84">
                  <c:v>453</c:v>
                </c:pt>
                <c:pt idx="85">
                  <c:v>452</c:v>
                </c:pt>
                <c:pt idx="86">
                  <c:v>454</c:v>
                </c:pt>
                <c:pt idx="87">
                  <c:v>453</c:v>
                </c:pt>
                <c:pt idx="88">
                  <c:v>460.33300000000003</c:v>
                </c:pt>
                <c:pt idx="89">
                  <c:v>461</c:v>
                </c:pt>
                <c:pt idx="90">
                  <c:v>459</c:v>
                </c:pt>
                <c:pt idx="91">
                  <c:v>452</c:v>
                </c:pt>
                <c:pt idx="92">
                  <c:v>454</c:v>
                </c:pt>
                <c:pt idx="93">
                  <c:v>445</c:v>
                </c:pt>
                <c:pt idx="94">
                  <c:v>438</c:v>
                </c:pt>
                <c:pt idx="95">
                  <c:v>432.5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7-4B47-A6BD-DEFDA5A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515968"/>
        <c:axId val="1605589520"/>
      </c:lineChart>
      <c:catAx>
        <c:axId val="143151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5589520"/>
        <c:crosses val="autoZero"/>
        <c:auto val="1"/>
        <c:lblAlgn val="ctr"/>
        <c:lblOffset val="100"/>
        <c:noMultiLvlLbl val="0"/>
      </c:catAx>
      <c:valAx>
        <c:axId val="16055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51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11</xdr:row>
      <xdr:rowOff>76200</xdr:rowOff>
    </xdr:from>
    <xdr:to>
      <xdr:col>9</xdr:col>
      <xdr:colOff>304800</xdr:colOff>
      <xdr:row>27</xdr:row>
      <xdr:rowOff>163830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94B17E-E90A-414B-9F9E-AE8F37C2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388620</xdr:colOff>
      <xdr:row>11</xdr:row>
      <xdr:rowOff>129540</xdr:rowOff>
    </xdr:from>
    <xdr:to>
      <xdr:col>18</xdr:col>
      <xdr:colOff>548640</xdr:colOff>
      <xdr:row>28</xdr:row>
      <xdr:rowOff>53340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8FF488B-FCF1-4797-A2DB-98BCDAE26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11" sqref="B11"/>
    </sheetView>
  </sheetViews>
  <sheetFormatPr defaultColWidth="9" defaultRowHeight="13.8"/>
  <cols>
    <col min="1" max="1" width="15" style="21" bestFit="1" customWidth="1"/>
    <col min="2" max="2" width="7.33203125" style="21" customWidth="1"/>
    <col min="3" max="3" width="13.5546875" style="21" customWidth="1"/>
    <col min="4" max="4" width="12.21875" style="21" customWidth="1"/>
    <col min="5" max="5" width="10.21875" customWidth="1"/>
    <col min="6" max="6" width="10" customWidth="1"/>
    <col min="8" max="8" width="11.6640625" style="21" customWidth="1"/>
    <col min="11" max="11" width="13.88671875" bestFit="1" customWidth="1"/>
    <col min="12" max="12" width="10.5546875" bestFit="1" customWidth="1"/>
  </cols>
  <sheetData>
    <row r="1" spans="1:16" ht="42" customHeight="1">
      <c r="A1" s="27" t="s">
        <v>174</v>
      </c>
      <c r="B1" s="27" t="s">
        <v>188</v>
      </c>
      <c r="C1" s="28" t="s">
        <v>184</v>
      </c>
      <c r="D1" s="28" t="s">
        <v>185</v>
      </c>
      <c r="E1" s="29" t="s">
        <v>189</v>
      </c>
      <c r="F1" s="29" t="s">
        <v>190</v>
      </c>
      <c r="G1" s="29" t="s">
        <v>307</v>
      </c>
      <c r="H1" s="29" t="s">
        <v>302</v>
      </c>
      <c r="I1" s="29" t="s">
        <v>308</v>
      </c>
      <c r="J1" s="29" t="s">
        <v>303</v>
      </c>
      <c r="K1" s="29" t="s">
        <v>304</v>
      </c>
      <c r="L1" s="29" t="s">
        <v>305</v>
      </c>
      <c r="M1" s="29" t="s">
        <v>306</v>
      </c>
      <c r="N1" s="103"/>
      <c r="O1" s="104"/>
      <c r="P1" s="104"/>
    </row>
    <row r="2" spans="1:16" ht="22.2" customHeight="1">
      <c r="A2" s="30">
        <v>46169</v>
      </c>
      <c r="B2" s="31">
        <f>性能记录表格!B2</f>
        <v>9</v>
      </c>
      <c r="C2" s="32">
        <f>性能记录表格!G2</f>
        <v>1.833658</v>
      </c>
      <c r="D2" s="32">
        <f>性能记录表格!H2</f>
        <v>203.29</v>
      </c>
      <c r="E2" s="97">
        <v>5.97</v>
      </c>
      <c r="F2" s="97">
        <f>E2*D2*C2</f>
        <v>2225.4030788753998</v>
      </c>
      <c r="G2" s="97">
        <f>调频产生发用电及损益!E10</f>
        <v>-6.9580000000000002</v>
      </c>
      <c r="H2" s="97">
        <f>调频产生发用电及损益!F10</f>
        <v>-2600.2115580000004</v>
      </c>
      <c r="I2" s="97">
        <f>调频产生发用电及损益!G10</f>
        <v>1.143</v>
      </c>
      <c r="J2" s="97">
        <f>调频产生发用电及损益!H10</f>
        <v>427.14024300000005</v>
      </c>
      <c r="K2" s="97">
        <f>J2+H2</f>
        <v>-2173.0713150000001</v>
      </c>
      <c r="L2" s="97">
        <f>F2+K2+M2</f>
        <v>-438.20723612460029</v>
      </c>
      <c r="M2" s="97">
        <f>G2*70.5*容量分摊系数!B11</f>
        <v>-490.53899999999999</v>
      </c>
    </row>
    <row r="3" spans="1:16" ht="15.6">
      <c r="A3" s="30">
        <v>46169</v>
      </c>
      <c r="B3" s="31">
        <f>性能记录表格!B3</f>
        <v>11</v>
      </c>
      <c r="C3" s="32">
        <f>性能记录表格!G3</f>
        <v>1.8169979999999999</v>
      </c>
      <c r="D3" s="32">
        <f>性能记录表格!H3</f>
        <v>203.51</v>
      </c>
      <c r="E3" s="97">
        <v>8</v>
      </c>
      <c r="F3" s="97">
        <f t="shared" ref="F3:F6" si="0">E3*D3*C3</f>
        <v>2958.2181038399999</v>
      </c>
      <c r="G3" s="97">
        <f>调频产生发用电及损益!E12</f>
        <v>-16.03</v>
      </c>
      <c r="H3" s="97">
        <f>调频产生发用电及损益!F12</f>
        <v>-5941.727890000001</v>
      </c>
      <c r="I3" s="97">
        <f>调频产生发用电及损益!G12</f>
        <v>18.727</v>
      </c>
      <c r="J3" s="97">
        <f>调频产生发用电及损益!H12</f>
        <v>6941.4060010000003</v>
      </c>
      <c r="K3" s="97">
        <f t="shared" ref="K3:K6" si="1">J3+H3</f>
        <v>999.67811099999926</v>
      </c>
      <c r="L3" s="97">
        <f t="shared" ref="L3:L6" si="2">F3+K3+M3</f>
        <v>3844.8847148399991</v>
      </c>
      <c r="M3" s="97">
        <f>G3*70.5*容量分摊系数!B13</f>
        <v>-113.01150000000001</v>
      </c>
      <c r="N3" s="21"/>
    </row>
    <row r="4" spans="1:16" ht="15.6">
      <c r="A4" s="30">
        <v>46169</v>
      </c>
      <c r="B4" s="31">
        <f>性能记录表格!B4</f>
        <v>14</v>
      </c>
      <c r="C4" s="33">
        <f>性能记录表格!G4</f>
        <v>1.830384</v>
      </c>
      <c r="D4" s="32">
        <f>性能记录表格!H4</f>
        <v>182.65</v>
      </c>
      <c r="E4" s="97">
        <v>5.97</v>
      </c>
      <c r="F4" s="97">
        <f t="shared" si="0"/>
        <v>1995.888236472</v>
      </c>
      <c r="G4" s="97">
        <f>调频产生发用电及损益!E15</f>
        <v>-33.207000000000001</v>
      </c>
      <c r="H4" s="97">
        <f>调频产生发用电及损益!F15</f>
        <v>-11888.936174999999</v>
      </c>
      <c r="I4" s="97">
        <f>调频产生发用电及损益!G15</f>
        <v>2.726</v>
      </c>
      <c r="J4" s="97">
        <f>调频产生发用电及损益!H15</f>
        <v>975.97614999999996</v>
      </c>
      <c r="K4" s="97">
        <f t="shared" si="1"/>
        <v>-10912.960024999998</v>
      </c>
      <c r="L4" s="97">
        <f t="shared" si="2"/>
        <v>-9151.1811385279998</v>
      </c>
      <c r="M4" s="97">
        <f>G4*70.5*容量分摊系数!B16</f>
        <v>-234.10935000000001</v>
      </c>
      <c r="N4" s="21"/>
    </row>
    <row r="5" spans="1:16" ht="15.6">
      <c r="A5" s="30">
        <v>46169</v>
      </c>
      <c r="B5" s="31">
        <f>性能记录表格!B5</f>
        <v>18</v>
      </c>
      <c r="C5" s="32">
        <f>性能记录表格!G5</f>
        <v>1.82562</v>
      </c>
      <c r="D5" s="32">
        <f>性能记录表格!H5</f>
        <v>221.87</v>
      </c>
      <c r="E5" s="97">
        <v>5.97</v>
      </c>
      <c r="F5" s="97">
        <f t="shared" si="0"/>
        <v>2418.1503471179999</v>
      </c>
      <c r="G5" s="97">
        <f>调频产生发用电及损益!E19</f>
        <v>-17.881</v>
      </c>
      <c r="H5" s="97">
        <f>调频产生发用电及损益!F19</f>
        <v>-7469.0367480000004</v>
      </c>
      <c r="I5" s="97">
        <f>调频产生发用电及损益!G19</f>
        <v>4.66</v>
      </c>
      <c r="J5" s="97">
        <f>调频产生发用电及损益!H19</f>
        <v>1946.5192800000002</v>
      </c>
      <c r="K5" s="97">
        <f t="shared" si="1"/>
        <v>-5522.517468</v>
      </c>
      <c r="L5" s="97">
        <f t="shared" si="2"/>
        <v>-5625.5881208820001</v>
      </c>
      <c r="M5" s="97">
        <f>G5*70.5*容量分摊系数!B20</f>
        <v>-2521.221</v>
      </c>
      <c r="N5" s="21"/>
    </row>
    <row r="6" spans="1:16" ht="15.6">
      <c r="A6" s="30">
        <v>46169</v>
      </c>
      <c r="B6" s="31">
        <f>性能记录表格!B6</f>
        <v>23</v>
      </c>
      <c r="C6" s="32">
        <f>性能记录表格!G6</f>
        <v>1.84192</v>
      </c>
      <c r="D6" s="32">
        <f>性能记录表格!H6</f>
        <v>235.22</v>
      </c>
      <c r="E6" s="97">
        <v>5.97</v>
      </c>
      <c r="F6" s="97">
        <f t="shared" si="0"/>
        <v>2586.540841728</v>
      </c>
      <c r="G6" s="97">
        <f>调频产生发用电及损益!E24</f>
        <v>-3.347</v>
      </c>
      <c r="H6" s="97">
        <f>调频产生发用电及损益!F24</f>
        <v>-1533.2038010000001</v>
      </c>
      <c r="I6" s="97">
        <f>调频产生发用电及损益!G24</f>
        <v>30.506</v>
      </c>
      <c r="J6" s="97">
        <f>调频产生发用电及损益!H24</f>
        <v>13974.279998000002</v>
      </c>
      <c r="K6" s="97">
        <f t="shared" si="1"/>
        <v>12441.076197000002</v>
      </c>
      <c r="L6" s="97">
        <f t="shared" si="2"/>
        <v>14791.653538728002</v>
      </c>
      <c r="M6" s="97">
        <f>G6*70.5*容量分摊系数!B25</f>
        <v>-235.96350000000001</v>
      </c>
      <c r="N6" s="21"/>
    </row>
    <row r="7" spans="1:16">
      <c r="A7" s="27" t="s">
        <v>321</v>
      </c>
      <c r="B7" s="27" t="s">
        <v>320</v>
      </c>
      <c r="C7" s="33">
        <f>AVERAGE(C2:C6)</f>
        <v>1.8297159999999999</v>
      </c>
      <c r="D7" s="33">
        <f>AVERAGE(D2:D6)</f>
        <v>209.30799999999999</v>
      </c>
      <c r="E7" s="33">
        <f>AVERAGE(E2:E6)</f>
        <v>6.3759999999999994</v>
      </c>
      <c r="F7" s="97"/>
      <c r="G7" s="97"/>
      <c r="H7" s="97"/>
      <c r="I7" s="97"/>
      <c r="J7" s="97"/>
      <c r="K7" s="97">
        <f>AVERAGE(K2:K6)</f>
        <v>-1033.5588999999993</v>
      </c>
      <c r="L7" s="97"/>
      <c r="M7" s="97">
        <f>AVERAGE(M2:M6)</f>
        <v>-718.96886999999992</v>
      </c>
    </row>
    <row r="8" spans="1:16">
      <c r="A8" s="27" t="s">
        <v>322</v>
      </c>
      <c r="B8" s="93"/>
      <c r="C8" s="93"/>
      <c r="D8" s="93"/>
      <c r="E8" s="100"/>
      <c r="F8" s="101">
        <f>SUM(F2:F6)</f>
        <v>12184.200608033399</v>
      </c>
      <c r="G8" s="101">
        <f>SUM(G2:G6)</f>
        <v>-77.422999999999988</v>
      </c>
      <c r="H8" s="101">
        <f>SUM(H2:H6)</f>
        <v>-29433.116171999998</v>
      </c>
      <c r="I8" s="101">
        <f>SUM(I2:I6)</f>
        <v>57.762</v>
      </c>
      <c r="J8" s="101">
        <f>SUM(J2:J6)</f>
        <v>24265.321672000002</v>
      </c>
      <c r="K8" s="101">
        <f>SUM(K2:K6)</f>
        <v>-5167.7944999999963</v>
      </c>
      <c r="L8" s="102">
        <f>SUM(L2:L6)</f>
        <v>3421.5617580334001</v>
      </c>
      <c r="M8" s="101">
        <f>SUM(M2:M6)</f>
        <v>-3594.8443499999998</v>
      </c>
    </row>
    <row r="9" spans="1:16" s="21" customFormat="1">
      <c r="E9" s="13"/>
    </row>
    <row r="10" spans="1:16">
      <c r="A10" s="99" t="s">
        <v>319</v>
      </c>
      <c r="B10" s="74">
        <f>-(K7+M7)/C7/D7</f>
        <v>4.5760988230753261</v>
      </c>
    </row>
    <row r="11" spans="1:16">
      <c r="G11" s="1"/>
      <c r="H11" s="1"/>
    </row>
  </sheetData>
  <phoneticPr fontId="4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workbookViewId="0">
      <selection activeCell="F13" sqref="F13"/>
    </sheetView>
  </sheetViews>
  <sheetFormatPr defaultColWidth="9.77734375" defaultRowHeight="13.8"/>
  <cols>
    <col min="1" max="7" width="18" style="22" customWidth="1"/>
    <col min="8" max="8" width="20.6640625" style="22" customWidth="1"/>
    <col min="9" max="11" width="18" style="22" customWidth="1"/>
    <col min="12" max="12" width="26" style="22" customWidth="1"/>
    <col min="13" max="15" width="18" style="22" customWidth="1"/>
    <col min="16" max="16" width="20.6640625" style="22" customWidth="1"/>
    <col min="17" max="19" width="18" style="22" customWidth="1"/>
    <col min="20" max="20" width="20.6640625" style="22" customWidth="1"/>
    <col min="21" max="22" width="18" style="22" customWidth="1"/>
    <col min="23" max="27" width="18.88671875" style="22" customWidth="1"/>
    <col min="28" max="29" width="18" style="22" customWidth="1"/>
    <col min="30" max="30" width="25.109375" style="22" customWidth="1"/>
    <col min="31" max="31" width="10.21875" style="22" customWidth="1"/>
    <col min="32" max="40" width="9.77734375" style="22" customWidth="1"/>
    <col min="41" max="16384" width="9.77734375" style="22"/>
  </cols>
  <sheetData>
    <row r="1" spans="1:30" ht="22.65" customHeight="1">
      <c r="A1" s="12"/>
      <c r="B1" s="12"/>
      <c r="C1" s="24"/>
      <c r="D1" s="24"/>
      <c r="E1" s="24"/>
      <c r="F1" s="78"/>
      <c r="G1" s="79"/>
      <c r="H1" s="79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AB1" s="24"/>
      <c r="AC1" s="24"/>
      <c r="AD1" s="24"/>
    </row>
    <row r="2" spans="1:30" ht="34.65" customHeight="1">
      <c r="A2" s="86" t="s">
        <v>0</v>
      </c>
      <c r="B2" s="79"/>
      <c r="C2" s="79"/>
      <c r="D2" s="79"/>
      <c r="E2" s="79"/>
      <c r="F2" s="12"/>
      <c r="G2" s="24"/>
      <c r="H2" s="12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AB2" s="24"/>
      <c r="AC2" s="24"/>
      <c r="AD2" s="5" t="s">
        <v>1</v>
      </c>
    </row>
    <row r="3" spans="1:30" ht="19.95" customHeight="1">
      <c r="A3" s="80" t="s">
        <v>2</v>
      </c>
      <c r="B3" s="83"/>
      <c r="C3" s="80" t="s">
        <v>3</v>
      </c>
      <c r="D3" s="81"/>
      <c r="E3" s="76"/>
      <c r="F3" s="80" t="s">
        <v>4</v>
      </c>
      <c r="G3" s="81"/>
      <c r="H3" s="81"/>
      <c r="I3" s="76"/>
      <c r="J3" s="80" t="s">
        <v>5</v>
      </c>
      <c r="K3" s="81"/>
      <c r="L3" s="81"/>
      <c r="M3" s="76"/>
      <c r="N3" s="82" t="s">
        <v>6</v>
      </c>
      <c r="O3" s="81"/>
      <c r="P3" s="81"/>
      <c r="Q3" s="81"/>
      <c r="R3" s="81"/>
      <c r="S3" s="81"/>
      <c r="T3" s="81"/>
      <c r="U3" s="76"/>
      <c r="V3" s="82" t="s">
        <v>7</v>
      </c>
      <c r="W3" s="76"/>
      <c r="X3" s="23" t="s">
        <v>8</v>
      </c>
      <c r="Y3" s="82" t="s">
        <v>9</v>
      </c>
      <c r="Z3" s="76"/>
      <c r="AA3" s="23" t="s">
        <v>10</v>
      </c>
      <c r="AB3" s="80" t="s">
        <v>11</v>
      </c>
      <c r="AC3" s="81"/>
      <c r="AD3" s="76"/>
    </row>
    <row r="4" spans="1:30" ht="19.95" customHeight="1">
      <c r="A4" s="84"/>
      <c r="B4" s="85"/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17</v>
      </c>
      <c r="Q4" s="6" t="s">
        <v>25</v>
      </c>
      <c r="R4" s="6" t="s">
        <v>26</v>
      </c>
      <c r="S4" s="6" t="s">
        <v>27</v>
      </c>
      <c r="T4" s="6" t="s">
        <v>17</v>
      </c>
      <c r="U4" s="6" t="s">
        <v>28</v>
      </c>
      <c r="V4" s="14" t="s">
        <v>29</v>
      </c>
      <c r="W4" s="14" t="s">
        <v>175</v>
      </c>
      <c r="X4" s="14" t="s">
        <v>30</v>
      </c>
      <c r="Y4" s="14" t="s">
        <v>176</v>
      </c>
      <c r="Z4" s="14" t="s">
        <v>31</v>
      </c>
      <c r="AA4" s="14" t="s">
        <v>32</v>
      </c>
      <c r="AB4" s="6" t="s">
        <v>33</v>
      </c>
      <c r="AC4" s="6" t="s">
        <v>34</v>
      </c>
      <c r="AD4" s="6" t="s">
        <v>35</v>
      </c>
    </row>
    <row r="5" spans="1:30" ht="14.25" customHeight="1">
      <c r="A5" s="77" t="s">
        <v>36</v>
      </c>
      <c r="B5" s="76"/>
      <c r="C5" s="15">
        <v>0.44</v>
      </c>
      <c r="D5" s="15">
        <v>393.14299999999997</v>
      </c>
      <c r="E5" s="10">
        <v>172.98292000000001</v>
      </c>
      <c r="F5" s="15">
        <v>0</v>
      </c>
      <c r="G5" s="15">
        <v>0</v>
      </c>
      <c r="H5" s="15">
        <v>393.14299999999997</v>
      </c>
      <c r="I5" s="10">
        <v>0</v>
      </c>
      <c r="J5" s="15">
        <v>0</v>
      </c>
      <c r="K5" s="15">
        <v>0</v>
      </c>
      <c r="L5" s="15">
        <v>0</v>
      </c>
      <c r="M5" s="10">
        <v>0</v>
      </c>
      <c r="N5" s="15">
        <v>0</v>
      </c>
      <c r="O5" s="10">
        <v>0</v>
      </c>
      <c r="P5" s="15">
        <v>393.14299999999997</v>
      </c>
      <c r="Q5" s="10">
        <v>0</v>
      </c>
      <c r="R5" s="15">
        <v>0</v>
      </c>
      <c r="S5" s="10">
        <v>0</v>
      </c>
      <c r="T5" s="15">
        <v>393.14299999999997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0.01</v>
      </c>
      <c r="AB5" s="15">
        <v>0.44</v>
      </c>
      <c r="AC5" s="15">
        <v>393.16572727272728</v>
      </c>
      <c r="AD5" s="10">
        <v>172.99292</v>
      </c>
    </row>
    <row r="6" spans="1:30" ht="14.25" customHeight="1">
      <c r="A6" s="75" t="s">
        <v>37</v>
      </c>
      <c r="B6" s="76"/>
      <c r="C6" s="14">
        <v>0.44</v>
      </c>
      <c r="D6" s="14">
        <v>382.51100000000002</v>
      </c>
      <c r="E6" s="7">
        <v>168.30484000000001</v>
      </c>
      <c r="F6" s="14">
        <v>0</v>
      </c>
      <c r="G6" s="14">
        <v>0</v>
      </c>
      <c r="H6" s="14">
        <v>382.51100000000002</v>
      </c>
      <c r="I6" s="7">
        <v>0</v>
      </c>
      <c r="J6" s="14">
        <v>0</v>
      </c>
      <c r="K6" s="14">
        <v>0</v>
      </c>
      <c r="L6" s="14">
        <v>0</v>
      </c>
      <c r="M6" s="7">
        <v>0</v>
      </c>
      <c r="N6" s="14">
        <v>0</v>
      </c>
      <c r="O6" s="7">
        <v>0</v>
      </c>
      <c r="P6" s="14">
        <v>382.51100000000002</v>
      </c>
      <c r="Q6" s="7">
        <v>0</v>
      </c>
      <c r="R6" s="14">
        <v>0</v>
      </c>
      <c r="S6" s="7">
        <v>0</v>
      </c>
      <c r="T6" s="14">
        <v>382.51100000000002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0.01</v>
      </c>
      <c r="AB6" s="14">
        <v>0.44</v>
      </c>
      <c r="AC6" s="14">
        <v>382.53372727272728</v>
      </c>
      <c r="AD6" s="7">
        <v>168.31484</v>
      </c>
    </row>
    <row r="7" spans="1:30" ht="14.25" customHeight="1">
      <c r="A7" s="77" t="s">
        <v>38</v>
      </c>
      <c r="B7" s="76"/>
      <c r="C7" s="15">
        <v>0.44</v>
      </c>
      <c r="D7" s="15">
        <v>380.25</v>
      </c>
      <c r="E7" s="10">
        <v>167.31</v>
      </c>
      <c r="F7" s="15">
        <v>0</v>
      </c>
      <c r="G7" s="15">
        <v>0</v>
      </c>
      <c r="H7" s="15">
        <v>380.25</v>
      </c>
      <c r="I7" s="10">
        <v>0</v>
      </c>
      <c r="J7" s="15">
        <v>0</v>
      </c>
      <c r="K7" s="15">
        <v>0</v>
      </c>
      <c r="L7" s="15">
        <v>0</v>
      </c>
      <c r="M7" s="10">
        <v>0</v>
      </c>
      <c r="N7" s="15">
        <v>0</v>
      </c>
      <c r="O7" s="10">
        <v>0</v>
      </c>
      <c r="P7" s="15">
        <v>380.25</v>
      </c>
      <c r="Q7" s="10">
        <v>0</v>
      </c>
      <c r="R7" s="15">
        <v>0</v>
      </c>
      <c r="S7" s="10">
        <v>0</v>
      </c>
      <c r="T7" s="15">
        <v>380.25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0.01</v>
      </c>
      <c r="AB7" s="15">
        <v>0.44</v>
      </c>
      <c r="AC7" s="15">
        <v>380.27272727272731</v>
      </c>
      <c r="AD7" s="10">
        <v>167.32</v>
      </c>
    </row>
    <row r="8" spans="1:30" ht="14.25" customHeight="1">
      <c r="A8" s="75" t="s">
        <v>39</v>
      </c>
      <c r="B8" s="76"/>
      <c r="C8" s="14">
        <v>3.875</v>
      </c>
      <c r="D8" s="14">
        <v>378.303</v>
      </c>
      <c r="E8" s="7">
        <v>1465.924125</v>
      </c>
      <c r="F8" s="14">
        <v>0</v>
      </c>
      <c r="G8" s="14">
        <v>0</v>
      </c>
      <c r="H8" s="14">
        <v>378.303</v>
      </c>
      <c r="I8" s="7">
        <v>0</v>
      </c>
      <c r="J8" s="14">
        <v>0</v>
      </c>
      <c r="K8" s="14">
        <v>0</v>
      </c>
      <c r="L8" s="14">
        <v>0</v>
      </c>
      <c r="M8" s="7">
        <v>0</v>
      </c>
      <c r="N8" s="14">
        <v>0</v>
      </c>
      <c r="O8" s="7">
        <v>0</v>
      </c>
      <c r="P8" s="14">
        <v>378.303</v>
      </c>
      <c r="Q8" s="7">
        <v>0</v>
      </c>
      <c r="R8" s="14">
        <v>0</v>
      </c>
      <c r="S8" s="7">
        <v>0</v>
      </c>
      <c r="T8" s="14">
        <v>378.303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7.0000000000000007E-2</v>
      </c>
      <c r="AB8" s="14">
        <v>3.875</v>
      </c>
      <c r="AC8" s="14">
        <v>378.32106451612901</v>
      </c>
      <c r="AD8" s="7">
        <v>1465.9941249999999</v>
      </c>
    </row>
    <row r="9" spans="1:30" ht="14.25" customHeight="1">
      <c r="A9" s="77" t="s">
        <v>40</v>
      </c>
      <c r="B9" s="76"/>
      <c r="C9" s="15">
        <v>4.58</v>
      </c>
      <c r="D9" s="15">
        <v>374.80399999999997</v>
      </c>
      <c r="E9" s="10">
        <v>1716.60232</v>
      </c>
      <c r="F9" s="15">
        <v>0</v>
      </c>
      <c r="G9" s="15">
        <v>0</v>
      </c>
      <c r="H9" s="15">
        <v>374.80399999999997</v>
      </c>
      <c r="I9" s="10">
        <v>0</v>
      </c>
      <c r="J9" s="15">
        <v>0</v>
      </c>
      <c r="K9" s="15">
        <v>0</v>
      </c>
      <c r="L9" s="15">
        <v>0</v>
      </c>
      <c r="M9" s="10">
        <v>0</v>
      </c>
      <c r="N9" s="15">
        <v>0</v>
      </c>
      <c r="O9" s="10">
        <v>0</v>
      </c>
      <c r="P9" s="15">
        <v>374.80399999999997</v>
      </c>
      <c r="Q9" s="10">
        <v>0</v>
      </c>
      <c r="R9" s="15">
        <v>0</v>
      </c>
      <c r="S9" s="10">
        <v>0</v>
      </c>
      <c r="T9" s="15">
        <v>374.80399999999997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0.08</v>
      </c>
      <c r="AB9" s="15">
        <v>4.58</v>
      </c>
      <c r="AC9" s="15">
        <v>374.82146724890828</v>
      </c>
      <c r="AD9" s="10">
        <v>1716.6823199999999</v>
      </c>
    </row>
    <row r="10" spans="1:30" ht="14.25" customHeight="1">
      <c r="A10" s="75" t="s">
        <v>41</v>
      </c>
      <c r="B10" s="76"/>
      <c r="C10" s="14">
        <v>0.35199999999999998</v>
      </c>
      <c r="D10" s="14">
        <v>377.5</v>
      </c>
      <c r="E10" s="7">
        <v>132.88</v>
      </c>
      <c r="F10" s="14">
        <v>0</v>
      </c>
      <c r="G10" s="14">
        <v>0</v>
      </c>
      <c r="H10" s="14">
        <v>377.5</v>
      </c>
      <c r="I10" s="7">
        <v>0</v>
      </c>
      <c r="J10" s="14">
        <v>0</v>
      </c>
      <c r="K10" s="14">
        <v>0</v>
      </c>
      <c r="L10" s="14">
        <v>0</v>
      </c>
      <c r="M10" s="7">
        <v>0</v>
      </c>
      <c r="N10" s="14">
        <v>0</v>
      </c>
      <c r="O10" s="7">
        <v>0</v>
      </c>
      <c r="P10" s="14">
        <v>377.5</v>
      </c>
      <c r="Q10" s="7">
        <v>0</v>
      </c>
      <c r="R10" s="14">
        <v>0</v>
      </c>
      <c r="S10" s="7">
        <v>0</v>
      </c>
      <c r="T10" s="14">
        <v>377.5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0.01</v>
      </c>
      <c r="AB10" s="14">
        <v>0.35199999999999998</v>
      </c>
      <c r="AC10" s="14">
        <v>377.52840909090912</v>
      </c>
      <c r="AD10" s="7">
        <v>132.88999999999999</v>
      </c>
    </row>
    <row r="11" spans="1:30" ht="14.25" customHeight="1">
      <c r="A11" s="77" t="s">
        <v>42</v>
      </c>
      <c r="B11" s="76"/>
      <c r="C11" s="15">
        <v>1.409</v>
      </c>
      <c r="D11" s="15">
        <v>362.03100000000001</v>
      </c>
      <c r="E11" s="10">
        <v>510.10167899999999</v>
      </c>
      <c r="F11" s="15">
        <v>0</v>
      </c>
      <c r="G11" s="15">
        <v>0</v>
      </c>
      <c r="H11" s="15">
        <v>362.03100000000001</v>
      </c>
      <c r="I11" s="10">
        <v>0</v>
      </c>
      <c r="J11" s="15">
        <v>0</v>
      </c>
      <c r="K11" s="15">
        <v>0</v>
      </c>
      <c r="L11" s="15">
        <v>0</v>
      </c>
      <c r="M11" s="10">
        <v>0</v>
      </c>
      <c r="N11" s="15">
        <v>0</v>
      </c>
      <c r="O11" s="10">
        <v>0</v>
      </c>
      <c r="P11" s="15">
        <v>362.03100000000001</v>
      </c>
      <c r="Q11" s="10">
        <v>0</v>
      </c>
      <c r="R11" s="15">
        <v>0</v>
      </c>
      <c r="S11" s="10">
        <v>0</v>
      </c>
      <c r="T11" s="15">
        <v>362.03100000000001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0.02</v>
      </c>
      <c r="AB11" s="15">
        <v>1.409</v>
      </c>
      <c r="AC11" s="15">
        <v>362.04519446415901</v>
      </c>
      <c r="AD11" s="10">
        <v>510.12167899999997</v>
      </c>
    </row>
    <row r="12" spans="1:30" ht="14.25" customHeight="1">
      <c r="A12" s="75" t="s">
        <v>43</v>
      </c>
      <c r="B12" s="76"/>
      <c r="C12" s="14">
        <v>3.5230000000000001</v>
      </c>
      <c r="D12" s="14">
        <v>351.75599999999997</v>
      </c>
      <c r="E12" s="7">
        <v>1239.236388</v>
      </c>
      <c r="F12" s="14">
        <v>0</v>
      </c>
      <c r="G12" s="14">
        <v>0</v>
      </c>
      <c r="H12" s="14">
        <v>351.75599999999997</v>
      </c>
      <c r="I12" s="7">
        <v>0</v>
      </c>
      <c r="J12" s="14">
        <v>0</v>
      </c>
      <c r="K12" s="14">
        <v>0</v>
      </c>
      <c r="L12" s="14">
        <v>0</v>
      </c>
      <c r="M12" s="7">
        <v>0</v>
      </c>
      <c r="N12" s="14">
        <v>0</v>
      </c>
      <c r="O12" s="7">
        <v>0</v>
      </c>
      <c r="P12" s="14">
        <v>351.75599999999997</v>
      </c>
      <c r="Q12" s="7">
        <v>0</v>
      </c>
      <c r="R12" s="14">
        <v>0</v>
      </c>
      <c r="S12" s="7">
        <v>0</v>
      </c>
      <c r="T12" s="14">
        <v>351.75599999999997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0.03</v>
      </c>
      <c r="AB12" s="14">
        <v>3.5230000000000001</v>
      </c>
      <c r="AC12" s="14">
        <v>351.76451546977012</v>
      </c>
      <c r="AD12" s="7">
        <v>1239.266388</v>
      </c>
    </row>
    <row r="13" spans="1:30" ht="14.25" customHeight="1">
      <c r="A13" s="77" t="s">
        <v>44</v>
      </c>
      <c r="B13" s="76"/>
      <c r="C13" s="15">
        <v>6.9580000000000002</v>
      </c>
      <c r="D13" s="15">
        <v>373.70100000000002</v>
      </c>
      <c r="E13" s="10">
        <v>2600.211558</v>
      </c>
      <c r="F13" s="15">
        <v>0</v>
      </c>
      <c r="G13" s="15">
        <v>0</v>
      </c>
      <c r="H13" s="15">
        <v>373.70100000000002</v>
      </c>
      <c r="I13" s="10">
        <v>0</v>
      </c>
      <c r="J13" s="15">
        <v>0</v>
      </c>
      <c r="K13" s="15">
        <v>0</v>
      </c>
      <c r="L13" s="15">
        <v>0</v>
      </c>
      <c r="M13" s="10">
        <v>0</v>
      </c>
      <c r="N13" s="15">
        <v>0</v>
      </c>
      <c r="O13" s="10">
        <v>0</v>
      </c>
      <c r="P13" s="15">
        <v>373.70100000000002</v>
      </c>
      <c r="Q13" s="10">
        <v>0</v>
      </c>
      <c r="R13" s="15">
        <v>0</v>
      </c>
      <c r="S13" s="10">
        <v>0</v>
      </c>
      <c r="T13" s="15">
        <v>373.70100000000002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0.08</v>
      </c>
      <c r="AB13" s="15">
        <v>6.9580000000000002</v>
      </c>
      <c r="AC13" s="15">
        <v>373.71249755676922</v>
      </c>
      <c r="AD13" s="10">
        <v>2600.2915579999999</v>
      </c>
    </row>
    <row r="14" spans="1:30" ht="14.25" customHeight="1">
      <c r="A14" s="75" t="s">
        <v>45</v>
      </c>
      <c r="B14" s="76"/>
      <c r="C14" s="14">
        <v>0.44</v>
      </c>
      <c r="D14" s="14">
        <v>332.56400000000002</v>
      </c>
      <c r="E14" s="7">
        <v>146.32816</v>
      </c>
      <c r="F14" s="14">
        <v>0</v>
      </c>
      <c r="G14" s="14">
        <v>0</v>
      </c>
      <c r="H14" s="14">
        <v>332.56400000000002</v>
      </c>
      <c r="I14" s="7">
        <v>0</v>
      </c>
      <c r="J14" s="14">
        <v>0</v>
      </c>
      <c r="K14" s="14">
        <v>0</v>
      </c>
      <c r="L14" s="14">
        <v>0</v>
      </c>
      <c r="M14" s="7">
        <v>0</v>
      </c>
      <c r="N14" s="14">
        <v>0</v>
      </c>
      <c r="O14" s="7">
        <v>0</v>
      </c>
      <c r="P14" s="14">
        <v>332.56400000000002</v>
      </c>
      <c r="Q14" s="7">
        <v>0</v>
      </c>
      <c r="R14" s="14">
        <v>0</v>
      </c>
      <c r="S14" s="7">
        <v>0</v>
      </c>
      <c r="T14" s="14">
        <v>332.56400000000002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0.01</v>
      </c>
      <c r="AB14" s="14">
        <v>0.44</v>
      </c>
      <c r="AC14" s="14">
        <v>332.58672727272727</v>
      </c>
      <c r="AD14" s="7">
        <v>146.33815999999999</v>
      </c>
    </row>
    <row r="15" spans="1:30" ht="14.25" customHeight="1">
      <c r="A15" s="77" t="s">
        <v>46</v>
      </c>
      <c r="B15" s="76"/>
      <c r="C15" s="15">
        <v>16.03</v>
      </c>
      <c r="D15" s="15">
        <v>370.66300000000001</v>
      </c>
      <c r="E15" s="10">
        <v>5941.7278900000001</v>
      </c>
      <c r="F15" s="15">
        <v>0</v>
      </c>
      <c r="G15" s="15">
        <v>0</v>
      </c>
      <c r="H15" s="15">
        <v>370.66300000000001</v>
      </c>
      <c r="I15" s="10">
        <v>0</v>
      </c>
      <c r="J15" s="15">
        <v>0</v>
      </c>
      <c r="K15" s="15">
        <v>0</v>
      </c>
      <c r="L15" s="15">
        <v>0</v>
      </c>
      <c r="M15" s="10">
        <v>0</v>
      </c>
      <c r="N15" s="15">
        <v>0</v>
      </c>
      <c r="O15" s="10">
        <v>0</v>
      </c>
      <c r="P15" s="15">
        <v>370.66300000000001</v>
      </c>
      <c r="Q15" s="10">
        <v>0</v>
      </c>
      <c r="R15" s="15">
        <v>0</v>
      </c>
      <c r="S15" s="10">
        <v>0</v>
      </c>
      <c r="T15" s="15">
        <v>370.66300000000001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0.5</v>
      </c>
      <c r="AB15" s="15">
        <v>16.03</v>
      </c>
      <c r="AC15" s="15">
        <v>370.69419151590768</v>
      </c>
      <c r="AD15" s="10">
        <v>5942.2278900000001</v>
      </c>
    </row>
    <row r="16" spans="1:30" ht="14.25" customHeight="1">
      <c r="A16" s="75" t="s">
        <v>48</v>
      </c>
      <c r="B16" s="76"/>
      <c r="C16" s="14">
        <v>0.96899999999999997</v>
      </c>
      <c r="D16" s="14">
        <v>261.41199999999998</v>
      </c>
      <c r="E16" s="7">
        <v>253.30822800000001</v>
      </c>
      <c r="F16" s="14">
        <v>0</v>
      </c>
      <c r="G16" s="14">
        <v>0</v>
      </c>
      <c r="H16" s="14">
        <v>261.41199999999998</v>
      </c>
      <c r="I16" s="7">
        <v>0</v>
      </c>
      <c r="J16" s="14">
        <v>0</v>
      </c>
      <c r="K16" s="14">
        <v>0</v>
      </c>
      <c r="L16" s="14">
        <v>0</v>
      </c>
      <c r="M16" s="7">
        <v>0</v>
      </c>
      <c r="N16" s="14">
        <v>0</v>
      </c>
      <c r="O16" s="7">
        <v>0</v>
      </c>
      <c r="P16" s="14">
        <v>261.41199999999998</v>
      </c>
      <c r="Q16" s="7">
        <v>0</v>
      </c>
      <c r="R16" s="14">
        <v>0</v>
      </c>
      <c r="S16" s="7">
        <v>0</v>
      </c>
      <c r="T16" s="14">
        <v>261.41199999999998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14">
        <v>0.96899999999999997</v>
      </c>
      <c r="AC16" s="14">
        <v>261.41199999999998</v>
      </c>
      <c r="AD16" s="7">
        <v>253.30822800000001</v>
      </c>
    </row>
    <row r="17" spans="1:30" ht="14.25" customHeight="1">
      <c r="A17" s="77" t="s">
        <v>49</v>
      </c>
      <c r="B17" s="76"/>
      <c r="C17" s="15">
        <v>0.35299999999999998</v>
      </c>
      <c r="D17" s="15">
        <v>144.798</v>
      </c>
      <c r="E17" s="10">
        <v>51.113694000000002</v>
      </c>
      <c r="F17" s="15">
        <v>0</v>
      </c>
      <c r="G17" s="15">
        <v>0</v>
      </c>
      <c r="H17" s="15">
        <v>144.798</v>
      </c>
      <c r="I17" s="10">
        <v>0</v>
      </c>
      <c r="J17" s="15">
        <v>0</v>
      </c>
      <c r="K17" s="15">
        <v>0</v>
      </c>
      <c r="L17" s="15">
        <v>0</v>
      </c>
      <c r="M17" s="10">
        <v>0</v>
      </c>
      <c r="N17" s="15">
        <v>0</v>
      </c>
      <c r="O17" s="10">
        <v>0</v>
      </c>
      <c r="P17" s="15">
        <v>144.798</v>
      </c>
      <c r="Q17" s="10">
        <v>0</v>
      </c>
      <c r="R17" s="15">
        <v>0</v>
      </c>
      <c r="S17" s="10">
        <v>0</v>
      </c>
      <c r="T17" s="15">
        <v>144.798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5">
        <v>0.35299999999999998</v>
      </c>
      <c r="AC17" s="15">
        <v>144.798</v>
      </c>
      <c r="AD17" s="10">
        <v>51.113694000000002</v>
      </c>
    </row>
    <row r="18" spans="1:30" ht="14.25" customHeight="1">
      <c r="A18" s="75" t="s">
        <v>50</v>
      </c>
      <c r="B18" s="76"/>
      <c r="C18" s="14">
        <v>33.207000000000001</v>
      </c>
      <c r="D18" s="14">
        <v>358.02499999999998</v>
      </c>
      <c r="E18" s="7">
        <v>11888.936175000001</v>
      </c>
      <c r="F18" s="14">
        <v>0</v>
      </c>
      <c r="G18" s="14">
        <v>0</v>
      </c>
      <c r="H18" s="14">
        <v>358.02499999999998</v>
      </c>
      <c r="I18" s="7">
        <v>0</v>
      </c>
      <c r="J18" s="14">
        <v>0</v>
      </c>
      <c r="K18" s="14">
        <v>0</v>
      </c>
      <c r="L18" s="14">
        <v>0</v>
      </c>
      <c r="M18" s="7">
        <v>0</v>
      </c>
      <c r="N18" s="14">
        <v>0</v>
      </c>
      <c r="O18" s="7">
        <v>0</v>
      </c>
      <c r="P18" s="14">
        <v>358.02499999999998</v>
      </c>
      <c r="Q18" s="7">
        <v>0</v>
      </c>
      <c r="R18" s="14">
        <v>0</v>
      </c>
      <c r="S18" s="7">
        <v>0</v>
      </c>
      <c r="T18" s="14">
        <v>358.02499999999998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0.02</v>
      </c>
      <c r="AB18" s="14">
        <v>33.207000000000001</v>
      </c>
      <c r="AC18" s="14">
        <v>358.02560228265122</v>
      </c>
      <c r="AD18" s="7">
        <v>11888.956174999999</v>
      </c>
    </row>
    <row r="19" spans="1:30" ht="14.25" customHeight="1">
      <c r="A19" s="77" t="s">
        <v>51</v>
      </c>
      <c r="B19" s="76"/>
      <c r="C19" s="15">
        <v>0.441</v>
      </c>
      <c r="D19" s="15">
        <v>356.74200000000002</v>
      </c>
      <c r="E19" s="10">
        <v>157.32322199999999</v>
      </c>
      <c r="F19" s="15">
        <v>0</v>
      </c>
      <c r="G19" s="15">
        <v>0</v>
      </c>
      <c r="H19" s="15">
        <v>356.74200000000002</v>
      </c>
      <c r="I19" s="10">
        <v>0</v>
      </c>
      <c r="J19" s="15">
        <v>0</v>
      </c>
      <c r="K19" s="15">
        <v>0</v>
      </c>
      <c r="L19" s="15">
        <v>0</v>
      </c>
      <c r="M19" s="10">
        <v>0</v>
      </c>
      <c r="N19" s="15">
        <v>0</v>
      </c>
      <c r="O19" s="10">
        <v>0</v>
      </c>
      <c r="P19" s="15">
        <v>356.74200000000002</v>
      </c>
      <c r="Q19" s="10">
        <v>0</v>
      </c>
      <c r="R19" s="15">
        <v>0</v>
      </c>
      <c r="S19" s="10">
        <v>0</v>
      </c>
      <c r="T19" s="15">
        <v>356.74200000000002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5">
        <v>0.441</v>
      </c>
      <c r="AC19" s="15">
        <v>356.74200000000002</v>
      </c>
      <c r="AD19" s="10">
        <v>157.32322199999999</v>
      </c>
    </row>
    <row r="20" spans="1:30" ht="14.25" customHeight="1">
      <c r="A20" s="75" t="s">
        <v>52</v>
      </c>
      <c r="B20" s="76"/>
      <c r="C20" s="14">
        <v>0.26500000000000001</v>
      </c>
      <c r="D20" s="14">
        <v>368.44099999999997</v>
      </c>
      <c r="E20" s="7">
        <v>97.636865</v>
      </c>
      <c r="F20" s="14">
        <v>0</v>
      </c>
      <c r="G20" s="14">
        <v>0</v>
      </c>
      <c r="H20" s="14">
        <v>368.44099999999997</v>
      </c>
      <c r="I20" s="7">
        <v>0</v>
      </c>
      <c r="J20" s="14">
        <v>0</v>
      </c>
      <c r="K20" s="14">
        <v>0</v>
      </c>
      <c r="L20" s="14">
        <v>0</v>
      </c>
      <c r="M20" s="7">
        <v>0</v>
      </c>
      <c r="N20" s="14">
        <v>0</v>
      </c>
      <c r="O20" s="7">
        <v>0</v>
      </c>
      <c r="P20" s="14">
        <v>368.44099999999997</v>
      </c>
      <c r="Q20" s="7">
        <v>0</v>
      </c>
      <c r="R20" s="14">
        <v>0</v>
      </c>
      <c r="S20" s="7">
        <v>0</v>
      </c>
      <c r="T20" s="14">
        <v>368.44099999999997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14">
        <v>0.26500000000000001</v>
      </c>
      <c r="AC20" s="14">
        <v>368.44099999999997</v>
      </c>
      <c r="AD20" s="7">
        <v>97.636865</v>
      </c>
    </row>
    <row r="21" spans="1:30" ht="14.25" customHeight="1">
      <c r="A21" s="77" t="s">
        <v>53</v>
      </c>
      <c r="B21" s="76"/>
      <c r="C21" s="15">
        <v>0.35299999999999998</v>
      </c>
      <c r="D21" s="15">
        <v>399.70499999999998</v>
      </c>
      <c r="E21" s="10">
        <v>141.095865</v>
      </c>
      <c r="F21" s="15">
        <v>0</v>
      </c>
      <c r="G21" s="15">
        <v>0</v>
      </c>
      <c r="H21" s="15">
        <v>399.70499999999998</v>
      </c>
      <c r="I21" s="10">
        <v>0</v>
      </c>
      <c r="J21" s="15">
        <v>0</v>
      </c>
      <c r="K21" s="15">
        <v>0</v>
      </c>
      <c r="L21" s="15">
        <v>0</v>
      </c>
      <c r="M21" s="10">
        <v>0</v>
      </c>
      <c r="N21" s="15">
        <v>0</v>
      </c>
      <c r="O21" s="10">
        <v>0</v>
      </c>
      <c r="P21" s="15">
        <v>399.70499999999998</v>
      </c>
      <c r="Q21" s="10">
        <v>0</v>
      </c>
      <c r="R21" s="15">
        <v>0</v>
      </c>
      <c r="S21" s="10">
        <v>0</v>
      </c>
      <c r="T21" s="15">
        <v>399.70499999999998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5">
        <v>0.35299999999999998</v>
      </c>
      <c r="AC21" s="15">
        <v>399.70499999999998</v>
      </c>
      <c r="AD21" s="10">
        <v>141.095865</v>
      </c>
    </row>
    <row r="22" spans="1:30" ht="14.25" customHeight="1">
      <c r="A22" s="75" t="s">
        <v>54</v>
      </c>
      <c r="B22" s="76"/>
      <c r="C22" s="14">
        <v>17.881</v>
      </c>
      <c r="D22" s="14">
        <v>417.70800000000003</v>
      </c>
      <c r="E22" s="7">
        <v>7469.0367480000004</v>
      </c>
      <c r="F22" s="14">
        <v>0</v>
      </c>
      <c r="G22" s="14">
        <v>0</v>
      </c>
      <c r="H22" s="14">
        <v>417.70800000000003</v>
      </c>
      <c r="I22" s="7">
        <v>0</v>
      </c>
      <c r="J22" s="14">
        <v>0</v>
      </c>
      <c r="K22" s="14">
        <v>0</v>
      </c>
      <c r="L22" s="14">
        <v>0</v>
      </c>
      <c r="M22" s="7">
        <v>0</v>
      </c>
      <c r="N22" s="14">
        <v>0</v>
      </c>
      <c r="O22" s="7">
        <v>0</v>
      </c>
      <c r="P22" s="14">
        <v>417.70800000000003</v>
      </c>
      <c r="Q22" s="7">
        <v>0</v>
      </c>
      <c r="R22" s="14">
        <v>0</v>
      </c>
      <c r="S22" s="7">
        <v>0</v>
      </c>
      <c r="T22" s="14">
        <v>417.70800000000003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0.05</v>
      </c>
      <c r="AB22" s="14">
        <v>17.881</v>
      </c>
      <c r="AC22" s="14">
        <v>417.71079626419112</v>
      </c>
      <c r="AD22" s="7">
        <v>7469.0867479999997</v>
      </c>
    </row>
    <row r="23" spans="1:30" ht="14.25" customHeight="1">
      <c r="A23" s="77" t="s">
        <v>55</v>
      </c>
      <c r="B23" s="76"/>
      <c r="C23" s="15">
        <v>0.52800000000000002</v>
      </c>
      <c r="D23" s="15">
        <v>445.625</v>
      </c>
      <c r="E23" s="10">
        <v>235.29</v>
      </c>
      <c r="F23" s="15">
        <v>0</v>
      </c>
      <c r="G23" s="15">
        <v>0</v>
      </c>
      <c r="H23" s="15">
        <v>445.625</v>
      </c>
      <c r="I23" s="10">
        <v>0</v>
      </c>
      <c r="J23" s="15">
        <v>0</v>
      </c>
      <c r="K23" s="15">
        <v>0</v>
      </c>
      <c r="L23" s="15">
        <v>0</v>
      </c>
      <c r="M23" s="10">
        <v>0</v>
      </c>
      <c r="N23" s="15">
        <v>0</v>
      </c>
      <c r="O23" s="10">
        <v>0</v>
      </c>
      <c r="P23" s="15">
        <v>445.625</v>
      </c>
      <c r="Q23" s="10">
        <v>0</v>
      </c>
      <c r="R23" s="15">
        <v>0</v>
      </c>
      <c r="S23" s="10">
        <v>0</v>
      </c>
      <c r="T23" s="15">
        <v>445.625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0.08</v>
      </c>
      <c r="AB23" s="15">
        <v>0.52800000000000002</v>
      </c>
      <c r="AC23" s="15">
        <v>445.77651515151513</v>
      </c>
      <c r="AD23" s="10">
        <v>235.37</v>
      </c>
    </row>
    <row r="24" spans="1:30" ht="14.25" customHeight="1">
      <c r="A24" s="75" t="s">
        <v>56</v>
      </c>
      <c r="B24" s="76"/>
      <c r="C24" s="14">
        <v>0</v>
      </c>
      <c r="D24" s="14">
        <v>447.58300000000003</v>
      </c>
      <c r="E24" s="7">
        <v>0</v>
      </c>
      <c r="F24" s="14">
        <v>0</v>
      </c>
      <c r="G24" s="14">
        <v>0</v>
      </c>
      <c r="H24" s="14">
        <v>447.58300000000003</v>
      </c>
      <c r="I24" s="7">
        <v>0</v>
      </c>
      <c r="J24" s="14">
        <v>0</v>
      </c>
      <c r="K24" s="14">
        <v>0</v>
      </c>
      <c r="L24" s="14">
        <v>0</v>
      </c>
      <c r="M24" s="7">
        <v>0</v>
      </c>
      <c r="N24" s="14">
        <v>0</v>
      </c>
      <c r="O24" s="7">
        <v>0</v>
      </c>
      <c r="P24" s="14">
        <v>447.58300000000003</v>
      </c>
      <c r="Q24" s="7">
        <v>0</v>
      </c>
      <c r="R24" s="14">
        <v>0</v>
      </c>
      <c r="S24" s="7">
        <v>0</v>
      </c>
      <c r="T24" s="14">
        <v>447.58300000000003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4">
        <v>0</v>
      </c>
      <c r="AC24" s="14" t="s">
        <v>47</v>
      </c>
      <c r="AD24" s="7">
        <v>0</v>
      </c>
    </row>
    <row r="25" spans="1:30" ht="14.25" customHeight="1">
      <c r="A25" s="77" t="s">
        <v>57</v>
      </c>
      <c r="B25" s="76"/>
      <c r="C25" s="15">
        <v>0</v>
      </c>
      <c r="D25" s="15">
        <v>451</v>
      </c>
      <c r="E25" s="10">
        <v>0</v>
      </c>
      <c r="F25" s="15">
        <v>0</v>
      </c>
      <c r="G25" s="15">
        <v>0</v>
      </c>
      <c r="H25" s="15">
        <v>451</v>
      </c>
      <c r="I25" s="10">
        <v>0</v>
      </c>
      <c r="J25" s="15">
        <v>0</v>
      </c>
      <c r="K25" s="15">
        <v>0</v>
      </c>
      <c r="L25" s="15">
        <v>0</v>
      </c>
      <c r="M25" s="10">
        <v>0</v>
      </c>
      <c r="N25" s="15">
        <v>0</v>
      </c>
      <c r="O25" s="10">
        <v>0</v>
      </c>
      <c r="P25" s="15">
        <v>451</v>
      </c>
      <c r="Q25" s="10">
        <v>0</v>
      </c>
      <c r="R25" s="15">
        <v>0</v>
      </c>
      <c r="S25" s="10">
        <v>0</v>
      </c>
      <c r="T25" s="15">
        <v>451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5">
        <v>0</v>
      </c>
      <c r="AC25" s="15" t="s">
        <v>47</v>
      </c>
      <c r="AD25" s="10">
        <v>0</v>
      </c>
    </row>
    <row r="26" spans="1:30" ht="14.25" customHeight="1">
      <c r="A26" s="75" t="s">
        <v>58</v>
      </c>
      <c r="B26" s="76"/>
      <c r="C26" s="14">
        <v>0.26400000000000001</v>
      </c>
      <c r="D26" s="14">
        <v>453</v>
      </c>
      <c r="E26" s="7">
        <v>119.592</v>
      </c>
      <c r="F26" s="14">
        <v>0</v>
      </c>
      <c r="G26" s="14">
        <v>0</v>
      </c>
      <c r="H26" s="14">
        <v>453</v>
      </c>
      <c r="I26" s="7">
        <v>0</v>
      </c>
      <c r="J26" s="14">
        <v>0</v>
      </c>
      <c r="K26" s="14">
        <v>0</v>
      </c>
      <c r="L26" s="14">
        <v>0</v>
      </c>
      <c r="M26" s="7">
        <v>0</v>
      </c>
      <c r="N26" s="14">
        <v>0</v>
      </c>
      <c r="O26" s="7">
        <v>0</v>
      </c>
      <c r="P26" s="14">
        <v>453</v>
      </c>
      <c r="Q26" s="7">
        <v>0</v>
      </c>
      <c r="R26" s="14">
        <v>0</v>
      </c>
      <c r="S26" s="7">
        <v>0</v>
      </c>
      <c r="T26" s="14">
        <v>453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0.04</v>
      </c>
      <c r="AB26" s="14">
        <v>0.26400000000000001</v>
      </c>
      <c r="AC26" s="14">
        <v>453.15151515151513</v>
      </c>
      <c r="AD26" s="7">
        <v>119.63200000000001</v>
      </c>
    </row>
    <row r="27" spans="1:30" ht="14.25" customHeight="1">
      <c r="A27" s="77" t="s">
        <v>59</v>
      </c>
      <c r="B27" s="76"/>
      <c r="C27" s="15">
        <v>3.347</v>
      </c>
      <c r="D27" s="15">
        <v>458.08300000000003</v>
      </c>
      <c r="E27" s="10">
        <v>1533.2038010000001</v>
      </c>
      <c r="F27" s="15">
        <v>0</v>
      </c>
      <c r="G27" s="15">
        <v>0</v>
      </c>
      <c r="H27" s="15">
        <v>458.08300000000003</v>
      </c>
      <c r="I27" s="10">
        <v>0</v>
      </c>
      <c r="J27" s="15">
        <v>0</v>
      </c>
      <c r="K27" s="15">
        <v>0</v>
      </c>
      <c r="L27" s="15">
        <v>0</v>
      </c>
      <c r="M27" s="10">
        <v>0</v>
      </c>
      <c r="N27" s="15">
        <v>0</v>
      </c>
      <c r="O27" s="10">
        <v>0</v>
      </c>
      <c r="P27" s="15">
        <v>458.08300000000003</v>
      </c>
      <c r="Q27" s="10">
        <v>0</v>
      </c>
      <c r="R27" s="15">
        <v>0</v>
      </c>
      <c r="S27" s="10">
        <v>0</v>
      </c>
      <c r="T27" s="15">
        <v>458.08300000000003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0.14000000000000001</v>
      </c>
      <c r="AB27" s="15">
        <v>3.347</v>
      </c>
      <c r="AC27" s="15">
        <v>458.12482850313711</v>
      </c>
      <c r="AD27" s="10">
        <v>1533.343801</v>
      </c>
    </row>
    <row r="28" spans="1:30" ht="14.25" customHeight="1">
      <c r="A28" s="75" t="s">
        <v>60</v>
      </c>
      <c r="B28" s="76"/>
      <c r="C28" s="14">
        <v>0.35199999999999998</v>
      </c>
      <c r="D28" s="14">
        <v>442.375</v>
      </c>
      <c r="E28" s="7">
        <v>155.71600000000001</v>
      </c>
      <c r="F28" s="14">
        <v>0</v>
      </c>
      <c r="G28" s="14">
        <v>0</v>
      </c>
      <c r="H28" s="14">
        <v>442.375</v>
      </c>
      <c r="I28" s="7">
        <v>0</v>
      </c>
      <c r="J28" s="14">
        <v>0</v>
      </c>
      <c r="K28" s="14">
        <v>0</v>
      </c>
      <c r="L28" s="14">
        <v>0</v>
      </c>
      <c r="M28" s="7">
        <v>0</v>
      </c>
      <c r="N28" s="14">
        <v>0</v>
      </c>
      <c r="O28" s="7">
        <v>0</v>
      </c>
      <c r="P28" s="14">
        <v>442.375</v>
      </c>
      <c r="Q28" s="7">
        <v>0</v>
      </c>
      <c r="R28" s="14">
        <v>0</v>
      </c>
      <c r="S28" s="7">
        <v>0</v>
      </c>
      <c r="T28" s="14">
        <v>442.375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0.01</v>
      </c>
      <c r="AB28" s="14">
        <v>0.35199999999999998</v>
      </c>
      <c r="AC28" s="14">
        <v>442.40340909090912</v>
      </c>
      <c r="AD28" s="7">
        <v>155.726</v>
      </c>
    </row>
    <row r="29" spans="1:30" ht="14.25" customHeight="1">
      <c r="A29" s="75" t="s">
        <v>61</v>
      </c>
      <c r="B29" s="76"/>
      <c r="C29" s="15">
        <f>SUM(C5:C28)</f>
        <v>96.447000000000017</v>
      </c>
      <c r="D29" s="15">
        <f>E29/C29</f>
        <v>377.03466648003564</v>
      </c>
      <c r="E29" s="10">
        <f>SUM(E5:E28)</f>
        <v>36363.862478000003</v>
      </c>
      <c r="F29" s="15">
        <v>0</v>
      </c>
      <c r="G29" s="15" t="s">
        <v>47</v>
      </c>
      <c r="H29" s="15" t="s">
        <v>47</v>
      </c>
      <c r="I29" s="10">
        <v>0</v>
      </c>
      <c r="J29" s="15">
        <v>0</v>
      </c>
      <c r="K29" s="10" t="s">
        <v>47</v>
      </c>
      <c r="L29" s="10" t="s">
        <v>47</v>
      </c>
      <c r="M29" s="10">
        <v>0</v>
      </c>
      <c r="N29" s="15">
        <v>0</v>
      </c>
      <c r="O29" s="15" t="s">
        <v>47</v>
      </c>
      <c r="P29" s="15" t="s">
        <v>47</v>
      </c>
      <c r="Q29" s="10">
        <v>0</v>
      </c>
      <c r="R29" s="15">
        <v>0</v>
      </c>
      <c r="S29" s="15" t="s">
        <v>47</v>
      </c>
      <c r="T29" s="15" t="s">
        <v>47</v>
      </c>
      <c r="U29" s="10">
        <v>0</v>
      </c>
      <c r="V29" s="10">
        <v>0</v>
      </c>
      <c r="W29" s="10">
        <v>156.15</v>
      </c>
      <c r="X29" s="10">
        <v>0</v>
      </c>
      <c r="Y29" s="10">
        <v>59.46</v>
      </c>
      <c r="Z29" s="10">
        <v>0</v>
      </c>
      <c r="AA29" s="10">
        <v>1.17</v>
      </c>
      <c r="AB29" s="15">
        <v>96.447000000000003</v>
      </c>
      <c r="AC29" s="15">
        <v>379.28232581625139</v>
      </c>
      <c r="AD29" s="10">
        <f>E29+I29+M29+W29+Y29+V29+X29+Z29+AA29</f>
        <v>36580.642478000002</v>
      </c>
    </row>
  </sheetData>
  <mergeCells count="35"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</mergeCells>
  <phoneticPr fontId="4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workbookViewId="0">
      <selection sqref="A1:AP1"/>
    </sheetView>
  </sheetViews>
  <sheetFormatPr defaultColWidth="9.77734375" defaultRowHeight="13.8"/>
  <cols>
    <col min="1" max="1" width="32.21875" style="22" customWidth="1"/>
    <col min="2" max="7" width="18.33203125" style="22" customWidth="1"/>
    <col min="8" max="10" width="20.21875" style="22" customWidth="1"/>
    <col min="11" max="18" width="18.33203125" style="22" customWidth="1"/>
    <col min="19" max="19" width="23.109375" style="22" customWidth="1"/>
    <col min="20" max="20" width="22.109375" style="22" customWidth="1"/>
    <col min="21" max="23" width="18.33203125" style="22" customWidth="1"/>
    <col min="24" max="24" width="27.88671875" style="22" customWidth="1"/>
    <col min="25" max="26" width="18.33203125" style="22" customWidth="1"/>
    <col min="27" max="27" width="23.77734375" style="22" customWidth="1"/>
    <col min="28" max="29" width="18.33203125" style="22" customWidth="1"/>
    <col min="30" max="30" width="16.33203125" style="22" customWidth="1"/>
    <col min="31" max="35" width="18.33203125" style="22" customWidth="1"/>
    <col min="36" max="40" width="20.21875" style="22" customWidth="1"/>
    <col min="41" max="41" width="18.33203125" style="22" customWidth="1"/>
    <col min="42" max="42" width="25.109375" style="22" customWidth="1"/>
    <col min="43" max="44" width="13.88671875" style="22" customWidth="1"/>
    <col min="45" max="45" width="9.77734375" style="22" customWidth="1"/>
    <col min="46" max="16384" width="9.77734375" style="22"/>
  </cols>
  <sheetData>
    <row r="1" spans="1:42" ht="22.65" customHeight="1">
      <c r="A1" s="8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</row>
    <row r="2" spans="1:42" ht="34.65" customHeight="1">
      <c r="A2" s="86" t="s">
        <v>62</v>
      </c>
      <c r="B2" s="79"/>
      <c r="C2" s="79"/>
      <c r="D2" s="79"/>
      <c r="E2" s="79"/>
      <c r="F2" s="79"/>
      <c r="G2" s="79"/>
      <c r="H2" s="79"/>
      <c r="I2" s="79"/>
      <c r="J2" s="79"/>
      <c r="K2" s="24"/>
      <c r="L2" s="24"/>
      <c r="M2" s="24"/>
      <c r="O2" s="2"/>
      <c r="P2" s="24"/>
      <c r="Q2" s="24"/>
      <c r="R2" s="24"/>
      <c r="S2" s="24"/>
      <c r="T2" s="24"/>
      <c r="U2" s="24"/>
      <c r="V2" s="24"/>
      <c r="W2" s="24"/>
      <c r="X2" s="24"/>
      <c r="Y2" s="24"/>
      <c r="AE2" s="24"/>
      <c r="AF2" s="3"/>
      <c r="AG2" s="3"/>
      <c r="AH2" s="3"/>
      <c r="AI2" s="3"/>
      <c r="AJ2" s="4"/>
      <c r="AK2" s="24"/>
      <c r="AL2" s="24"/>
      <c r="AM2" s="24"/>
      <c r="AN2" s="24"/>
      <c r="AO2" s="24"/>
      <c r="AP2" s="5" t="s">
        <v>1</v>
      </c>
    </row>
    <row r="3" spans="1:42" ht="19.95" customHeight="1">
      <c r="A3" s="88" t="s">
        <v>2</v>
      </c>
      <c r="B3" s="88" t="s">
        <v>63</v>
      </c>
      <c r="C3" s="81"/>
      <c r="D3" s="81"/>
      <c r="E3" s="81"/>
      <c r="F3" s="81"/>
      <c r="G3" s="81"/>
      <c r="H3" s="81"/>
      <c r="I3" s="81"/>
      <c r="J3" s="76"/>
      <c r="K3" s="88" t="s">
        <v>64</v>
      </c>
      <c r="L3" s="81"/>
      <c r="M3" s="76"/>
      <c r="N3" s="25" t="s">
        <v>65</v>
      </c>
      <c r="O3" s="88" t="s">
        <v>3</v>
      </c>
      <c r="P3" s="81"/>
      <c r="Q3" s="76"/>
      <c r="R3" s="88" t="s">
        <v>4</v>
      </c>
      <c r="S3" s="81"/>
      <c r="T3" s="81"/>
      <c r="U3" s="76"/>
      <c r="V3" s="88" t="s">
        <v>5</v>
      </c>
      <c r="W3" s="81"/>
      <c r="X3" s="81"/>
      <c r="Y3" s="76"/>
      <c r="Z3" s="88" t="s">
        <v>66</v>
      </c>
      <c r="AA3" s="81"/>
      <c r="AB3" s="81"/>
      <c r="AC3" s="81"/>
      <c r="AD3" s="81"/>
      <c r="AE3" s="81"/>
      <c r="AF3" s="76"/>
      <c r="AG3" s="88" t="s">
        <v>67</v>
      </c>
      <c r="AH3" s="76"/>
      <c r="AI3" s="16" t="s">
        <v>68</v>
      </c>
      <c r="AJ3" s="88" t="s">
        <v>69</v>
      </c>
      <c r="AK3" s="76"/>
      <c r="AL3" s="88" t="s">
        <v>70</v>
      </c>
      <c r="AM3" s="81"/>
      <c r="AN3" s="76"/>
      <c r="AO3" s="88" t="s">
        <v>71</v>
      </c>
      <c r="AP3" s="76"/>
    </row>
    <row r="4" spans="1:42" ht="19.95" customHeight="1">
      <c r="A4" s="90"/>
      <c r="B4" s="25" t="s">
        <v>72</v>
      </c>
      <c r="C4" s="25" t="s">
        <v>73</v>
      </c>
      <c r="D4" s="25" t="s">
        <v>74</v>
      </c>
      <c r="E4" s="16" t="s">
        <v>75</v>
      </c>
      <c r="F4" s="16" t="s">
        <v>76</v>
      </c>
      <c r="G4" s="16" t="s">
        <v>77</v>
      </c>
      <c r="H4" s="16" t="s">
        <v>78</v>
      </c>
      <c r="I4" s="16" t="s">
        <v>79</v>
      </c>
      <c r="J4" s="16" t="s">
        <v>80</v>
      </c>
      <c r="K4" s="16" t="s">
        <v>81</v>
      </c>
      <c r="L4" s="16" t="s">
        <v>82</v>
      </c>
      <c r="M4" s="16" t="s">
        <v>83</v>
      </c>
      <c r="N4" s="16" t="s">
        <v>84</v>
      </c>
      <c r="O4" s="16" t="s">
        <v>85</v>
      </c>
      <c r="P4" s="16" t="s">
        <v>86</v>
      </c>
      <c r="Q4" s="16" t="s">
        <v>14</v>
      </c>
      <c r="R4" s="16" t="s">
        <v>15</v>
      </c>
      <c r="S4" s="16" t="s">
        <v>16</v>
      </c>
      <c r="T4" s="16" t="s">
        <v>17</v>
      </c>
      <c r="U4" s="16" t="s">
        <v>18</v>
      </c>
      <c r="V4" s="16" t="s">
        <v>19</v>
      </c>
      <c r="W4" s="16" t="s">
        <v>87</v>
      </c>
      <c r="X4" s="16" t="s">
        <v>21</v>
      </c>
      <c r="Y4" s="16" t="s">
        <v>22</v>
      </c>
      <c r="Z4" s="16" t="s">
        <v>88</v>
      </c>
      <c r="AA4" s="16" t="s">
        <v>89</v>
      </c>
      <c r="AB4" s="16" t="s">
        <v>90</v>
      </c>
      <c r="AC4" s="16" t="s">
        <v>91</v>
      </c>
      <c r="AD4" s="16" t="s">
        <v>92</v>
      </c>
      <c r="AE4" s="16" t="s">
        <v>29</v>
      </c>
      <c r="AF4" s="16" t="s">
        <v>177</v>
      </c>
      <c r="AG4" s="16" t="s">
        <v>93</v>
      </c>
      <c r="AH4" s="16" t="s">
        <v>94</v>
      </c>
      <c r="AI4" s="16" t="s">
        <v>68</v>
      </c>
      <c r="AJ4" s="16" t="s">
        <v>178</v>
      </c>
      <c r="AK4" s="16" t="s">
        <v>95</v>
      </c>
      <c r="AL4" s="25" t="s">
        <v>96</v>
      </c>
      <c r="AM4" s="25" t="s">
        <v>97</v>
      </c>
      <c r="AN4" s="16" t="s">
        <v>98</v>
      </c>
      <c r="AO4" s="16" t="s">
        <v>33</v>
      </c>
      <c r="AP4" s="16" t="s">
        <v>35</v>
      </c>
    </row>
    <row r="5" spans="1:42" ht="14.25" customHeight="1">
      <c r="A5" s="9" t="s">
        <v>99</v>
      </c>
      <c r="B5" s="15">
        <v>0</v>
      </c>
      <c r="C5" s="15">
        <v>0</v>
      </c>
      <c r="D5" s="10">
        <v>0</v>
      </c>
      <c r="E5" s="15">
        <v>0</v>
      </c>
      <c r="F5" s="15">
        <v>0</v>
      </c>
      <c r="G5" s="10">
        <v>0</v>
      </c>
      <c r="H5" s="17"/>
      <c r="I5" s="17"/>
      <c r="J5" s="11"/>
      <c r="K5" s="15">
        <v>0</v>
      </c>
      <c r="L5" s="15">
        <v>0</v>
      </c>
      <c r="M5" s="10">
        <v>0</v>
      </c>
      <c r="N5" s="10">
        <v>0</v>
      </c>
      <c r="O5" s="15">
        <v>0</v>
      </c>
      <c r="P5" s="15">
        <v>402</v>
      </c>
      <c r="Q5" s="10">
        <v>0</v>
      </c>
      <c r="R5" s="15">
        <v>0</v>
      </c>
      <c r="S5" s="15">
        <v>0</v>
      </c>
      <c r="T5" s="15">
        <v>402</v>
      </c>
      <c r="U5" s="10">
        <v>0</v>
      </c>
      <c r="V5" s="15">
        <v>0</v>
      </c>
      <c r="W5" s="15">
        <v>0</v>
      </c>
      <c r="X5" s="15">
        <v>0</v>
      </c>
      <c r="Y5" s="10">
        <v>0</v>
      </c>
      <c r="Z5" s="10"/>
      <c r="AA5" s="18"/>
      <c r="AB5" s="10"/>
      <c r="AC5" s="10"/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5">
        <v>0</v>
      </c>
      <c r="AP5" s="10">
        <v>0</v>
      </c>
    </row>
    <row r="6" spans="1:42" ht="14.25" customHeight="1">
      <c r="A6" s="6" t="s">
        <v>100</v>
      </c>
      <c r="B6" s="14">
        <v>0</v>
      </c>
      <c r="C6" s="14">
        <v>0</v>
      </c>
      <c r="D6" s="7">
        <v>0</v>
      </c>
      <c r="E6" s="14">
        <v>0</v>
      </c>
      <c r="F6" s="14">
        <v>0</v>
      </c>
      <c r="G6" s="7">
        <v>0</v>
      </c>
      <c r="H6" s="19"/>
      <c r="I6" s="19"/>
      <c r="J6" s="8"/>
      <c r="K6" s="14">
        <v>0</v>
      </c>
      <c r="L6" s="14">
        <v>0</v>
      </c>
      <c r="M6" s="7">
        <v>0</v>
      </c>
      <c r="N6" s="7">
        <v>0</v>
      </c>
      <c r="O6" s="14">
        <v>0</v>
      </c>
      <c r="P6" s="14">
        <v>392.04399999999998</v>
      </c>
      <c r="Q6" s="7">
        <v>0</v>
      </c>
      <c r="R6" s="14">
        <v>0</v>
      </c>
      <c r="S6" s="14">
        <v>0</v>
      </c>
      <c r="T6" s="14">
        <v>392.04</v>
      </c>
      <c r="U6" s="7">
        <v>0</v>
      </c>
      <c r="V6" s="14">
        <v>0</v>
      </c>
      <c r="W6" s="14">
        <v>0</v>
      </c>
      <c r="X6" s="14">
        <v>0</v>
      </c>
      <c r="Y6" s="7">
        <v>0</v>
      </c>
      <c r="Z6" s="7"/>
      <c r="AA6" s="20"/>
      <c r="AB6" s="7"/>
      <c r="AC6" s="7"/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14">
        <v>0</v>
      </c>
      <c r="AP6" s="7">
        <v>0</v>
      </c>
    </row>
    <row r="7" spans="1:42" ht="14.25" customHeight="1">
      <c r="A7" s="9" t="s">
        <v>101</v>
      </c>
      <c r="B7" s="15">
        <v>0</v>
      </c>
      <c r="C7" s="15">
        <v>0</v>
      </c>
      <c r="D7" s="10">
        <v>0</v>
      </c>
      <c r="E7" s="15">
        <v>0</v>
      </c>
      <c r="F7" s="15">
        <v>0</v>
      </c>
      <c r="G7" s="10">
        <v>0</v>
      </c>
      <c r="H7" s="17"/>
      <c r="I7" s="17"/>
      <c r="J7" s="11"/>
      <c r="K7" s="15">
        <v>0</v>
      </c>
      <c r="L7" s="15">
        <v>0</v>
      </c>
      <c r="M7" s="10">
        <v>0</v>
      </c>
      <c r="N7" s="10">
        <v>0</v>
      </c>
      <c r="O7" s="15">
        <v>0</v>
      </c>
      <c r="P7" s="15">
        <v>391.02699999999999</v>
      </c>
      <c r="Q7" s="10">
        <v>0</v>
      </c>
      <c r="R7" s="15">
        <v>0</v>
      </c>
      <c r="S7" s="15">
        <v>0</v>
      </c>
      <c r="T7" s="15">
        <v>391.03</v>
      </c>
      <c r="U7" s="10">
        <v>0</v>
      </c>
      <c r="V7" s="15">
        <v>0</v>
      </c>
      <c r="W7" s="15">
        <v>0</v>
      </c>
      <c r="X7" s="15">
        <v>0</v>
      </c>
      <c r="Y7" s="10">
        <v>0</v>
      </c>
      <c r="Z7" s="10"/>
      <c r="AA7" s="18"/>
      <c r="AB7" s="10"/>
      <c r="AC7" s="10"/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5">
        <v>0</v>
      </c>
      <c r="AP7" s="10">
        <v>0</v>
      </c>
    </row>
    <row r="8" spans="1:42" ht="14.25" customHeight="1">
      <c r="A8" s="6" t="s">
        <v>36</v>
      </c>
      <c r="B8" s="14">
        <v>0</v>
      </c>
      <c r="C8" s="14">
        <v>0</v>
      </c>
      <c r="D8" s="7">
        <v>0</v>
      </c>
      <c r="E8" s="14">
        <v>0</v>
      </c>
      <c r="F8" s="14">
        <v>0</v>
      </c>
      <c r="G8" s="7">
        <v>0</v>
      </c>
      <c r="H8" s="19"/>
      <c r="I8" s="19"/>
      <c r="J8" s="8"/>
      <c r="K8" s="14">
        <v>0</v>
      </c>
      <c r="L8" s="14">
        <v>0</v>
      </c>
      <c r="M8" s="7">
        <v>0</v>
      </c>
      <c r="N8" s="7">
        <v>0</v>
      </c>
      <c r="O8" s="14">
        <v>0</v>
      </c>
      <c r="P8" s="14">
        <v>387.5</v>
      </c>
      <c r="Q8" s="7">
        <v>0</v>
      </c>
      <c r="R8" s="14">
        <v>0</v>
      </c>
      <c r="S8" s="14">
        <v>0</v>
      </c>
      <c r="T8" s="14">
        <v>387.5</v>
      </c>
      <c r="U8" s="7">
        <v>0</v>
      </c>
      <c r="V8" s="14">
        <v>0</v>
      </c>
      <c r="W8" s="14">
        <v>0</v>
      </c>
      <c r="X8" s="14">
        <v>0</v>
      </c>
      <c r="Y8" s="7">
        <v>0</v>
      </c>
      <c r="Z8" s="7"/>
      <c r="AA8" s="20"/>
      <c r="AB8" s="7"/>
      <c r="AC8" s="7"/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14">
        <v>0</v>
      </c>
      <c r="AP8" s="7">
        <v>0</v>
      </c>
    </row>
    <row r="9" spans="1:42" ht="14.25" customHeight="1">
      <c r="A9" s="9" t="s">
        <v>102</v>
      </c>
      <c r="B9" s="15">
        <v>0</v>
      </c>
      <c r="C9" s="15">
        <v>0</v>
      </c>
      <c r="D9" s="10">
        <v>0</v>
      </c>
      <c r="E9" s="15">
        <v>0</v>
      </c>
      <c r="F9" s="15">
        <v>0</v>
      </c>
      <c r="G9" s="10">
        <v>0</v>
      </c>
      <c r="H9" s="17"/>
      <c r="I9" s="17"/>
      <c r="J9" s="11"/>
      <c r="K9" s="15">
        <v>0</v>
      </c>
      <c r="L9" s="15">
        <v>0</v>
      </c>
      <c r="M9" s="10">
        <v>0</v>
      </c>
      <c r="N9" s="10">
        <v>0</v>
      </c>
      <c r="O9" s="15">
        <v>0</v>
      </c>
      <c r="P9" s="15">
        <v>386</v>
      </c>
      <c r="Q9" s="10">
        <v>0</v>
      </c>
      <c r="R9" s="15">
        <v>0</v>
      </c>
      <c r="S9" s="15">
        <v>0</v>
      </c>
      <c r="T9" s="15">
        <v>386</v>
      </c>
      <c r="U9" s="10">
        <v>0</v>
      </c>
      <c r="V9" s="15">
        <v>0</v>
      </c>
      <c r="W9" s="15">
        <v>0</v>
      </c>
      <c r="X9" s="15">
        <v>0</v>
      </c>
      <c r="Y9" s="10">
        <v>0</v>
      </c>
      <c r="Z9" s="10"/>
      <c r="AA9" s="18"/>
      <c r="AB9" s="10"/>
      <c r="AC9" s="10"/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5">
        <v>0</v>
      </c>
      <c r="AP9" s="10">
        <v>0</v>
      </c>
    </row>
    <row r="10" spans="1:42" ht="14.25" customHeight="1">
      <c r="A10" s="6" t="s">
        <v>103</v>
      </c>
      <c r="B10" s="14">
        <v>0</v>
      </c>
      <c r="C10" s="14">
        <v>0</v>
      </c>
      <c r="D10" s="7">
        <v>0</v>
      </c>
      <c r="E10" s="14">
        <v>0</v>
      </c>
      <c r="F10" s="14">
        <v>0</v>
      </c>
      <c r="G10" s="7">
        <v>0</v>
      </c>
      <c r="H10" s="19"/>
      <c r="I10" s="19"/>
      <c r="J10" s="8"/>
      <c r="K10" s="14">
        <v>0</v>
      </c>
      <c r="L10" s="14">
        <v>0</v>
      </c>
      <c r="M10" s="7">
        <v>0</v>
      </c>
      <c r="N10" s="7">
        <v>0</v>
      </c>
      <c r="O10" s="14">
        <v>0</v>
      </c>
      <c r="P10" s="14">
        <v>383.29399999999998</v>
      </c>
      <c r="Q10" s="7">
        <v>0</v>
      </c>
      <c r="R10" s="14">
        <v>0</v>
      </c>
      <c r="S10" s="14">
        <v>0</v>
      </c>
      <c r="T10" s="14">
        <v>383.29</v>
      </c>
      <c r="U10" s="7">
        <v>0</v>
      </c>
      <c r="V10" s="14">
        <v>0</v>
      </c>
      <c r="W10" s="14">
        <v>0</v>
      </c>
      <c r="X10" s="14">
        <v>0</v>
      </c>
      <c r="Y10" s="7">
        <v>0</v>
      </c>
      <c r="Z10" s="7"/>
      <c r="AA10" s="20"/>
      <c r="AB10" s="7"/>
      <c r="AC10" s="7"/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14">
        <v>0</v>
      </c>
      <c r="AP10" s="7">
        <v>0</v>
      </c>
    </row>
    <row r="11" spans="1:42" ht="14.25" customHeight="1">
      <c r="A11" s="9" t="s">
        <v>104</v>
      </c>
      <c r="B11" s="15">
        <v>0</v>
      </c>
      <c r="C11" s="15">
        <v>0</v>
      </c>
      <c r="D11" s="10">
        <v>0</v>
      </c>
      <c r="E11" s="15">
        <v>0</v>
      </c>
      <c r="F11" s="15">
        <v>0</v>
      </c>
      <c r="G11" s="10">
        <v>0</v>
      </c>
      <c r="H11" s="17"/>
      <c r="I11" s="17"/>
      <c r="J11" s="11"/>
      <c r="K11" s="15">
        <v>0</v>
      </c>
      <c r="L11" s="15">
        <v>0</v>
      </c>
      <c r="M11" s="10">
        <v>0</v>
      </c>
      <c r="N11" s="10">
        <v>0</v>
      </c>
      <c r="O11" s="15">
        <v>0</v>
      </c>
      <c r="P11" s="15">
        <v>382</v>
      </c>
      <c r="Q11" s="10">
        <v>0</v>
      </c>
      <c r="R11" s="15">
        <v>0</v>
      </c>
      <c r="S11" s="15">
        <v>0</v>
      </c>
      <c r="T11" s="15">
        <v>382</v>
      </c>
      <c r="U11" s="10">
        <v>0</v>
      </c>
      <c r="V11" s="15">
        <v>0</v>
      </c>
      <c r="W11" s="15">
        <v>0</v>
      </c>
      <c r="X11" s="15">
        <v>0</v>
      </c>
      <c r="Y11" s="10">
        <v>0</v>
      </c>
      <c r="Z11" s="10"/>
      <c r="AA11" s="18"/>
      <c r="AB11" s="10"/>
      <c r="AC11" s="10"/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5">
        <v>0</v>
      </c>
      <c r="AP11" s="10">
        <v>0</v>
      </c>
    </row>
    <row r="12" spans="1:42" ht="14.25" customHeight="1">
      <c r="A12" s="6" t="s">
        <v>37</v>
      </c>
      <c r="B12" s="14">
        <v>0</v>
      </c>
      <c r="C12" s="14">
        <v>0</v>
      </c>
      <c r="D12" s="7">
        <v>0</v>
      </c>
      <c r="E12" s="14">
        <v>0</v>
      </c>
      <c r="F12" s="14">
        <v>0</v>
      </c>
      <c r="G12" s="7">
        <v>0</v>
      </c>
      <c r="H12" s="19"/>
      <c r="I12" s="19"/>
      <c r="J12" s="8"/>
      <c r="K12" s="14">
        <v>0</v>
      </c>
      <c r="L12" s="14">
        <v>0</v>
      </c>
      <c r="M12" s="7">
        <v>0</v>
      </c>
      <c r="N12" s="7">
        <v>0</v>
      </c>
      <c r="O12" s="14">
        <v>0</v>
      </c>
      <c r="P12" s="14">
        <v>378.75</v>
      </c>
      <c r="Q12" s="7">
        <v>0</v>
      </c>
      <c r="R12" s="14">
        <v>0</v>
      </c>
      <c r="S12" s="14">
        <v>0</v>
      </c>
      <c r="T12" s="14">
        <v>378.75</v>
      </c>
      <c r="U12" s="7">
        <v>0</v>
      </c>
      <c r="V12" s="14">
        <v>0</v>
      </c>
      <c r="W12" s="14">
        <v>0</v>
      </c>
      <c r="X12" s="14">
        <v>0</v>
      </c>
      <c r="Y12" s="7">
        <v>0</v>
      </c>
      <c r="Z12" s="7"/>
      <c r="AA12" s="20"/>
      <c r="AB12" s="7"/>
      <c r="AC12" s="7"/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14">
        <v>0</v>
      </c>
      <c r="AP12" s="7">
        <v>0</v>
      </c>
    </row>
    <row r="13" spans="1:42" ht="14.25" customHeight="1">
      <c r="A13" s="9" t="s">
        <v>105</v>
      </c>
      <c r="B13" s="15">
        <v>0</v>
      </c>
      <c r="C13" s="15">
        <v>0</v>
      </c>
      <c r="D13" s="10">
        <v>0</v>
      </c>
      <c r="E13" s="15">
        <v>0</v>
      </c>
      <c r="F13" s="15">
        <v>0</v>
      </c>
      <c r="G13" s="10">
        <v>0</v>
      </c>
      <c r="H13" s="17"/>
      <c r="I13" s="17"/>
      <c r="J13" s="11"/>
      <c r="K13" s="15">
        <v>0</v>
      </c>
      <c r="L13" s="15">
        <v>0</v>
      </c>
      <c r="M13" s="10">
        <v>0</v>
      </c>
      <c r="N13" s="10">
        <v>0</v>
      </c>
      <c r="O13" s="15">
        <v>0</v>
      </c>
      <c r="P13" s="15">
        <v>381</v>
      </c>
      <c r="Q13" s="10">
        <v>0</v>
      </c>
      <c r="R13" s="15">
        <v>0</v>
      </c>
      <c r="S13" s="15">
        <v>0</v>
      </c>
      <c r="T13" s="15">
        <v>381</v>
      </c>
      <c r="U13" s="10">
        <v>0</v>
      </c>
      <c r="V13" s="15">
        <v>0</v>
      </c>
      <c r="W13" s="15">
        <v>0</v>
      </c>
      <c r="X13" s="15">
        <v>0</v>
      </c>
      <c r="Y13" s="10">
        <v>0</v>
      </c>
      <c r="Z13" s="10"/>
      <c r="AA13" s="18"/>
      <c r="AB13" s="10"/>
      <c r="AC13" s="10"/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5">
        <v>0</v>
      </c>
      <c r="AP13" s="10">
        <v>0</v>
      </c>
    </row>
    <row r="14" spans="1:42" ht="14.25" customHeight="1">
      <c r="A14" s="6" t="s">
        <v>106</v>
      </c>
      <c r="B14" s="14">
        <v>0</v>
      </c>
      <c r="C14" s="14">
        <v>0</v>
      </c>
      <c r="D14" s="7">
        <v>0</v>
      </c>
      <c r="E14" s="14">
        <v>0</v>
      </c>
      <c r="F14" s="14">
        <v>0</v>
      </c>
      <c r="G14" s="7">
        <v>0</v>
      </c>
      <c r="H14" s="19"/>
      <c r="I14" s="19"/>
      <c r="J14" s="8"/>
      <c r="K14" s="14">
        <v>0</v>
      </c>
      <c r="L14" s="14">
        <v>0</v>
      </c>
      <c r="M14" s="7">
        <v>0</v>
      </c>
      <c r="N14" s="7">
        <v>0</v>
      </c>
      <c r="O14" s="14">
        <v>0</v>
      </c>
      <c r="P14" s="14">
        <v>380</v>
      </c>
      <c r="Q14" s="7">
        <v>0</v>
      </c>
      <c r="R14" s="14">
        <v>0</v>
      </c>
      <c r="S14" s="14">
        <v>0</v>
      </c>
      <c r="T14" s="14">
        <v>380</v>
      </c>
      <c r="U14" s="7">
        <v>0</v>
      </c>
      <c r="V14" s="14">
        <v>0</v>
      </c>
      <c r="W14" s="14">
        <v>0</v>
      </c>
      <c r="X14" s="14">
        <v>0</v>
      </c>
      <c r="Y14" s="7">
        <v>0</v>
      </c>
      <c r="Z14" s="7"/>
      <c r="AA14" s="20"/>
      <c r="AB14" s="7"/>
      <c r="AC14" s="7"/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14">
        <v>0</v>
      </c>
      <c r="AP14" s="7">
        <v>0</v>
      </c>
    </row>
    <row r="15" spans="1:42" ht="14.25" customHeight="1">
      <c r="A15" s="9" t="s">
        <v>107</v>
      </c>
      <c r="B15" s="15">
        <v>0</v>
      </c>
      <c r="C15" s="15">
        <v>0</v>
      </c>
      <c r="D15" s="10">
        <v>0</v>
      </c>
      <c r="E15" s="15">
        <v>0</v>
      </c>
      <c r="F15" s="15">
        <v>0</v>
      </c>
      <c r="G15" s="10">
        <v>0</v>
      </c>
      <c r="H15" s="17"/>
      <c r="I15" s="17"/>
      <c r="J15" s="11"/>
      <c r="K15" s="15">
        <v>0</v>
      </c>
      <c r="L15" s="15">
        <v>0</v>
      </c>
      <c r="M15" s="10">
        <v>0</v>
      </c>
      <c r="N15" s="10">
        <v>0</v>
      </c>
      <c r="O15" s="15">
        <v>0</v>
      </c>
      <c r="P15" s="15">
        <v>380</v>
      </c>
      <c r="Q15" s="10">
        <v>0</v>
      </c>
      <c r="R15" s="15">
        <v>0</v>
      </c>
      <c r="S15" s="15">
        <v>0</v>
      </c>
      <c r="T15" s="15">
        <v>380</v>
      </c>
      <c r="U15" s="10">
        <v>0</v>
      </c>
      <c r="V15" s="15">
        <v>0</v>
      </c>
      <c r="W15" s="15">
        <v>0</v>
      </c>
      <c r="X15" s="15">
        <v>0</v>
      </c>
      <c r="Y15" s="10">
        <v>0</v>
      </c>
      <c r="Z15" s="10"/>
      <c r="AA15" s="18"/>
      <c r="AB15" s="10"/>
      <c r="AC15" s="10"/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5">
        <v>0</v>
      </c>
      <c r="AP15" s="10">
        <v>0</v>
      </c>
    </row>
    <row r="16" spans="1:42" ht="14.25" customHeight="1">
      <c r="A16" s="6" t="s">
        <v>38</v>
      </c>
      <c r="B16" s="14">
        <v>0</v>
      </c>
      <c r="C16" s="14">
        <v>0</v>
      </c>
      <c r="D16" s="7">
        <v>0</v>
      </c>
      <c r="E16" s="14">
        <v>0</v>
      </c>
      <c r="F16" s="14">
        <v>0</v>
      </c>
      <c r="G16" s="7">
        <v>0</v>
      </c>
      <c r="H16" s="19"/>
      <c r="I16" s="19"/>
      <c r="J16" s="8"/>
      <c r="K16" s="14">
        <v>0</v>
      </c>
      <c r="L16" s="14">
        <v>0</v>
      </c>
      <c r="M16" s="7">
        <v>0</v>
      </c>
      <c r="N16" s="7">
        <v>0</v>
      </c>
      <c r="O16" s="14">
        <v>0</v>
      </c>
      <c r="P16" s="14">
        <v>380</v>
      </c>
      <c r="Q16" s="7">
        <v>0</v>
      </c>
      <c r="R16" s="14">
        <v>0</v>
      </c>
      <c r="S16" s="14">
        <v>0</v>
      </c>
      <c r="T16" s="14">
        <v>380</v>
      </c>
      <c r="U16" s="7">
        <v>0</v>
      </c>
      <c r="V16" s="14">
        <v>0</v>
      </c>
      <c r="W16" s="14">
        <v>0</v>
      </c>
      <c r="X16" s="14">
        <v>0</v>
      </c>
      <c r="Y16" s="7">
        <v>0</v>
      </c>
      <c r="Z16" s="7"/>
      <c r="AA16" s="20"/>
      <c r="AB16" s="7"/>
      <c r="AC16" s="7"/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14">
        <v>0</v>
      </c>
      <c r="AP16" s="7">
        <v>0</v>
      </c>
    </row>
    <row r="17" spans="1:42" ht="14.25" customHeight="1">
      <c r="A17" s="9" t="s">
        <v>108</v>
      </c>
      <c r="B17" s="15">
        <v>0</v>
      </c>
      <c r="C17" s="15">
        <v>0</v>
      </c>
      <c r="D17" s="10">
        <v>0</v>
      </c>
      <c r="E17" s="15">
        <v>0</v>
      </c>
      <c r="F17" s="15">
        <v>0</v>
      </c>
      <c r="G17" s="10">
        <v>0</v>
      </c>
      <c r="H17" s="17"/>
      <c r="I17" s="17"/>
      <c r="J17" s="11"/>
      <c r="K17" s="15">
        <v>0</v>
      </c>
      <c r="L17" s="15">
        <v>0</v>
      </c>
      <c r="M17" s="10">
        <v>0</v>
      </c>
      <c r="N17" s="10">
        <v>0</v>
      </c>
      <c r="O17" s="15">
        <v>0</v>
      </c>
      <c r="P17" s="15">
        <v>380</v>
      </c>
      <c r="Q17" s="10">
        <v>0</v>
      </c>
      <c r="R17" s="15">
        <v>0</v>
      </c>
      <c r="S17" s="15">
        <v>0</v>
      </c>
      <c r="T17" s="15">
        <v>380</v>
      </c>
      <c r="U17" s="10">
        <v>0</v>
      </c>
      <c r="V17" s="15">
        <v>0</v>
      </c>
      <c r="W17" s="15">
        <v>0</v>
      </c>
      <c r="X17" s="15">
        <v>0</v>
      </c>
      <c r="Y17" s="10">
        <v>0</v>
      </c>
      <c r="Z17" s="10"/>
      <c r="AA17" s="18"/>
      <c r="AB17" s="10"/>
      <c r="AC17" s="10"/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5">
        <v>0</v>
      </c>
      <c r="AP17" s="10">
        <v>0</v>
      </c>
    </row>
    <row r="18" spans="1:42" ht="14.25" customHeight="1">
      <c r="A18" s="6" t="s">
        <v>109</v>
      </c>
      <c r="B18" s="14">
        <v>0</v>
      </c>
      <c r="C18" s="14">
        <v>0</v>
      </c>
      <c r="D18" s="7">
        <v>0</v>
      </c>
      <c r="E18" s="14">
        <v>0</v>
      </c>
      <c r="F18" s="14">
        <v>0</v>
      </c>
      <c r="G18" s="7">
        <v>0</v>
      </c>
      <c r="H18" s="19"/>
      <c r="I18" s="19"/>
      <c r="J18" s="8"/>
      <c r="K18" s="14">
        <v>0</v>
      </c>
      <c r="L18" s="14">
        <v>0</v>
      </c>
      <c r="M18" s="7">
        <v>0</v>
      </c>
      <c r="N18" s="7">
        <v>0</v>
      </c>
      <c r="O18" s="14">
        <v>0</v>
      </c>
      <c r="P18" s="14">
        <v>379.21100000000001</v>
      </c>
      <c r="Q18" s="7">
        <v>0</v>
      </c>
      <c r="R18" s="14">
        <v>0</v>
      </c>
      <c r="S18" s="14">
        <v>0</v>
      </c>
      <c r="T18" s="14">
        <v>379.21</v>
      </c>
      <c r="U18" s="7">
        <v>0</v>
      </c>
      <c r="V18" s="14">
        <v>0</v>
      </c>
      <c r="W18" s="14">
        <v>0</v>
      </c>
      <c r="X18" s="14">
        <v>0</v>
      </c>
      <c r="Y18" s="7">
        <v>0</v>
      </c>
      <c r="Z18" s="7"/>
      <c r="AA18" s="20"/>
      <c r="AB18" s="7"/>
      <c r="AC18" s="7"/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14">
        <v>0</v>
      </c>
      <c r="AP18" s="7">
        <v>0</v>
      </c>
    </row>
    <row r="19" spans="1:42" ht="14.25" customHeight="1">
      <c r="A19" s="9" t="s">
        <v>110</v>
      </c>
      <c r="B19" s="15">
        <v>0</v>
      </c>
      <c r="C19" s="15">
        <v>0</v>
      </c>
      <c r="D19" s="10">
        <v>0</v>
      </c>
      <c r="E19" s="15">
        <v>0</v>
      </c>
      <c r="F19" s="15">
        <v>0</v>
      </c>
      <c r="G19" s="10">
        <v>0</v>
      </c>
      <c r="H19" s="17"/>
      <c r="I19" s="17"/>
      <c r="J19" s="11"/>
      <c r="K19" s="15">
        <v>0</v>
      </c>
      <c r="L19" s="15">
        <v>0</v>
      </c>
      <c r="M19" s="10">
        <v>0</v>
      </c>
      <c r="N19" s="10">
        <v>0</v>
      </c>
      <c r="O19" s="15">
        <v>0</v>
      </c>
      <c r="P19" s="15">
        <v>378</v>
      </c>
      <c r="Q19" s="10">
        <v>0</v>
      </c>
      <c r="R19" s="15">
        <v>0</v>
      </c>
      <c r="S19" s="15">
        <v>0</v>
      </c>
      <c r="T19" s="15">
        <v>378</v>
      </c>
      <c r="U19" s="10">
        <v>0</v>
      </c>
      <c r="V19" s="15">
        <v>0</v>
      </c>
      <c r="W19" s="15">
        <v>0</v>
      </c>
      <c r="X19" s="15">
        <v>0</v>
      </c>
      <c r="Y19" s="10">
        <v>0</v>
      </c>
      <c r="Z19" s="10"/>
      <c r="AA19" s="18"/>
      <c r="AB19" s="10"/>
      <c r="AC19" s="10"/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5">
        <v>0</v>
      </c>
      <c r="AP19" s="10">
        <v>0</v>
      </c>
    </row>
    <row r="20" spans="1:42" ht="14.25" customHeight="1">
      <c r="A20" s="6" t="s">
        <v>39</v>
      </c>
      <c r="B20" s="14">
        <v>0</v>
      </c>
      <c r="C20" s="14">
        <v>0</v>
      </c>
      <c r="D20" s="7">
        <v>0</v>
      </c>
      <c r="E20" s="14">
        <v>0</v>
      </c>
      <c r="F20" s="14">
        <v>0</v>
      </c>
      <c r="G20" s="7">
        <v>0</v>
      </c>
      <c r="H20" s="19"/>
      <c r="I20" s="19"/>
      <c r="J20" s="8"/>
      <c r="K20" s="14">
        <v>0</v>
      </c>
      <c r="L20" s="14">
        <v>0</v>
      </c>
      <c r="M20" s="7">
        <v>0</v>
      </c>
      <c r="N20" s="7">
        <v>0</v>
      </c>
      <c r="O20" s="14">
        <v>0</v>
      </c>
      <c r="P20" s="14">
        <v>376</v>
      </c>
      <c r="Q20" s="7">
        <v>0</v>
      </c>
      <c r="R20" s="14">
        <v>0</v>
      </c>
      <c r="S20" s="14">
        <v>0</v>
      </c>
      <c r="T20" s="14">
        <v>376</v>
      </c>
      <c r="U20" s="7">
        <v>0</v>
      </c>
      <c r="V20" s="14">
        <v>0</v>
      </c>
      <c r="W20" s="14">
        <v>0</v>
      </c>
      <c r="X20" s="14">
        <v>0</v>
      </c>
      <c r="Y20" s="7">
        <v>0</v>
      </c>
      <c r="Z20" s="7"/>
      <c r="AA20" s="20"/>
      <c r="AB20" s="7"/>
      <c r="AC20" s="7"/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14">
        <v>0</v>
      </c>
      <c r="AP20" s="7">
        <v>0</v>
      </c>
    </row>
    <row r="21" spans="1:42" ht="14.25" customHeight="1">
      <c r="A21" s="9" t="s">
        <v>111</v>
      </c>
      <c r="B21" s="15">
        <v>0</v>
      </c>
      <c r="C21" s="15">
        <v>0</v>
      </c>
      <c r="D21" s="10">
        <v>0</v>
      </c>
      <c r="E21" s="15">
        <v>0</v>
      </c>
      <c r="F21" s="15">
        <v>0</v>
      </c>
      <c r="G21" s="10">
        <v>0</v>
      </c>
      <c r="H21" s="17"/>
      <c r="I21" s="17"/>
      <c r="J21" s="11"/>
      <c r="K21" s="15">
        <v>0</v>
      </c>
      <c r="L21" s="15">
        <v>0</v>
      </c>
      <c r="M21" s="10">
        <v>0</v>
      </c>
      <c r="N21" s="10">
        <v>0</v>
      </c>
      <c r="O21" s="15">
        <v>0</v>
      </c>
      <c r="P21" s="15">
        <v>376</v>
      </c>
      <c r="Q21" s="10">
        <v>0</v>
      </c>
      <c r="R21" s="15">
        <v>0</v>
      </c>
      <c r="S21" s="15">
        <v>0</v>
      </c>
      <c r="T21" s="15">
        <v>376</v>
      </c>
      <c r="U21" s="10">
        <v>0</v>
      </c>
      <c r="V21" s="15">
        <v>0</v>
      </c>
      <c r="W21" s="15">
        <v>0</v>
      </c>
      <c r="X21" s="15">
        <v>0</v>
      </c>
      <c r="Y21" s="10">
        <v>0</v>
      </c>
      <c r="Z21" s="10"/>
      <c r="AA21" s="18"/>
      <c r="AB21" s="10"/>
      <c r="AC21" s="10"/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5">
        <v>0</v>
      </c>
      <c r="AP21" s="10">
        <v>0</v>
      </c>
    </row>
    <row r="22" spans="1:42" ht="14.25" customHeight="1">
      <c r="A22" s="6" t="s">
        <v>112</v>
      </c>
      <c r="B22" s="14">
        <v>0</v>
      </c>
      <c r="C22" s="14">
        <v>0</v>
      </c>
      <c r="D22" s="7">
        <v>0</v>
      </c>
      <c r="E22" s="14">
        <v>0</v>
      </c>
      <c r="F22" s="14">
        <v>0</v>
      </c>
      <c r="G22" s="7">
        <v>0</v>
      </c>
      <c r="H22" s="19"/>
      <c r="I22" s="19"/>
      <c r="J22" s="8"/>
      <c r="K22" s="14">
        <v>0</v>
      </c>
      <c r="L22" s="14">
        <v>0</v>
      </c>
      <c r="M22" s="7">
        <v>0</v>
      </c>
      <c r="N22" s="7">
        <v>0</v>
      </c>
      <c r="O22" s="14">
        <v>0</v>
      </c>
      <c r="P22" s="14">
        <v>375</v>
      </c>
      <c r="Q22" s="7">
        <v>0</v>
      </c>
      <c r="R22" s="14">
        <v>0</v>
      </c>
      <c r="S22" s="14">
        <v>0</v>
      </c>
      <c r="T22" s="14">
        <v>375</v>
      </c>
      <c r="U22" s="7">
        <v>0</v>
      </c>
      <c r="V22" s="14">
        <v>0</v>
      </c>
      <c r="W22" s="14">
        <v>0</v>
      </c>
      <c r="X22" s="14">
        <v>0</v>
      </c>
      <c r="Y22" s="7">
        <v>0</v>
      </c>
      <c r="Z22" s="7"/>
      <c r="AA22" s="20"/>
      <c r="AB22" s="7"/>
      <c r="AC22" s="7"/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14">
        <v>0</v>
      </c>
      <c r="AP22" s="7">
        <v>0</v>
      </c>
    </row>
    <row r="23" spans="1:42" ht="14.25" customHeight="1">
      <c r="A23" s="9" t="s">
        <v>113</v>
      </c>
      <c r="B23" s="15">
        <v>0</v>
      </c>
      <c r="C23" s="15">
        <v>0</v>
      </c>
      <c r="D23" s="10">
        <v>0</v>
      </c>
      <c r="E23" s="15">
        <v>0</v>
      </c>
      <c r="F23" s="15">
        <v>0</v>
      </c>
      <c r="G23" s="10">
        <v>0</v>
      </c>
      <c r="H23" s="17"/>
      <c r="I23" s="17"/>
      <c r="J23" s="11"/>
      <c r="K23" s="15">
        <v>0</v>
      </c>
      <c r="L23" s="15">
        <v>0</v>
      </c>
      <c r="M23" s="10">
        <v>0</v>
      </c>
      <c r="N23" s="10">
        <v>0</v>
      </c>
      <c r="O23" s="15">
        <v>0</v>
      </c>
      <c r="P23" s="15">
        <v>373</v>
      </c>
      <c r="Q23" s="10">
        <v>0</v>
      </c>
      <c r="R23" s="15">
        <v>0</v>
      </c>
      <c r="S23" s="15">
        <v>0</v>
      </c>
      <c r="T23" s="15">
        <v>373</v>
      </c>
      <c r="U23" s="10">
        <v>0</v>
      </c>
      <c r="V23" s="15">
        <v>0</v>
      </c>
      <c r="W23" s="15">
        <v>0</v>
      </c>
      <c r="X23" s="15">
        <v>0</v>
      </c>
      <c r="Y23" s="10">
        <v>0</v>
      </c>
      <c r="Z23" s="10"/>
      <c r="AA23" s="18"/>
      <c r="AB23" s="10"/>
      <c r="AC23" s="10"/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5">
        <v>0</v>
      </c>
      <c r="AP23" s="10">
        <v>0</v>
      </c>
    </row>
    <row r="24" spans="1:42" ht="14.25" customHeight="1">
      <c r="A24" s="6" t="s">
        <v>40</v>
      </c>
      <c r="B24" s="14">
        <v>0</v>
      </c>
      <c r="C24" s="14">
        <v>0</v>
      </c>
      <c r="D24" s="7">
        <v>0</v>
      </c>
      <c r="E24" s="14">
        <v>0</v>
      </c>
      <c r="F24" s="14">
        <v>0</v>
      </c>
      <c r="G24" s="7">
        <v>0</v>
      </c>
      <c r="H24" s="19"/>
      <c r="I24" s="19"/>
      <c r="J24" s="8"/>
      <c r="K24" s="14">
        <v>0</v>
      </c>
      <c r="L24" s="14">
        <v>0</v>
      </c>
      <c r="M24" s="7">
        <v>0</v>
      </c>
      <c r="N24" s="7">
        <v>0</v>
      </c>
      <c r="O24" s="14">
        <v>0</v>
      </c>
      <c r="P24" s="14">
        <v>375.21699999999998</v>
      </c>
      <c r="Q24" s="7">
        <v>0</v>
      </c>
      <c r="R24" s="14">
        <v>0</v>
      </c>
      <c r="S24" s="14">
        <v>0</v>
      </c>
      <c r="T24" s="14">
        <v>375.22</v>
      </c>
      <c r="U24" s="7">
        <v>0</v>
      </c>
      <c r="V24" s="14">
        <v>0</v>
      </c>
      <c r="W24" s="14">
        <v>0</v>
      </c>
      <c r="X24" s="14">
        <v>0</v>
      </c>
      <c r="Y24" s="7">
        <v>0</v>
      </c>
      <c r="Z24" s="7"/>
      <c r="AA24" s="20"/>
      <c r="AB24" s="7"/>
      <c r="AC24" s="7"/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14">
        <v>0</v>
      </c>
      <c r="AP24" s="7">
        <v>0</v>
      </c>
    </row>
    <row r="25" spans="1:42" ht="14.25" customHeight="1">
      <c r="A25" s="9" t="s">
        <v>114</v>
      </c>
      <c r="B25" s="15">
        <v>0</v>
      </c>
      <c r="C25" s="15">
        <v>0</v>
      </c>
      <c r="D25" s="10">
        <v>0</v>
      </c>
      <c r="E25" s="15">
        <v>0</v>
      </c>
      <c r="F25" s="15">
        <v>0</v>
      </c>
      <c r="G25" s="10">
        <v>0</v>
      </c>
      <c r="H25" s="17"/>
      <c r="I25" s="17"/>
      <c r="J25" s="11"/>
      <c r="K25" s="15">
        <v>0</v>
      </c>
      <c r="L25" s="15">
        <v>0</v>
      </c>
      <c r="M25" s="10">
        <v>0</v>
      </c>
      <c r="N25" s="10">
        <v>0</v>
      </c>
      <c r="O25" s="15">
        <v>0</v>
      </c>
      <c r="P25" s="15">
        <v>380</v>
      </c>
      <c r="Q25" s="10">
        <v>0</v>
      </c>
      <c r="R25" s="15">
        <v>0</v>
      </c>
      <c r="S25" s="15">
        <v>0</v>
      </c>
      <c r="T25" s="15">
        <v>380</v>
      </c>
      <c r="U25" s="10">
        <v>0</v>
      </c>
      <c r="V25" s="15">
        <v>0</v>
      </c>
      <c r="W25" s="15">
        <v>0</v>
      </c>
      <c r="X25" s="15">
        <v>0</v>
      </c>
      <c r="Y25" s="10">
        <v>0</v>
      </c>
      <c r="Z25" s="10"/>
      <c r="AA25" s="18"/>
      <c r="AB25" s="10"/>
      <c r="AC25" s="10"/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5">
        <v>0</v>
      </c>
      <c r="AP25" s="10">
        <v>0</v>
      </c>
    </row>
    <row r="26" spans="1:42" ht="14.25" customHeight="1">
      <c r="A26" s="6" t="s">
        <v>115</v>
      </c>
      <c r="B26" s="14">
        <v>0</v>
      </c>
      <c r="C26" s="14">
        <v>0</v>
      </c>
      <c r="D26" s="7">
        <v>0</v>
      </c>
      <c r="E26" s="14">
        <v>0</v>
      </c>
      <c r="F26" s="14">
        <v>0</v>
      </c>
      <c r="G26" s="7">
        <v>0</v>
      </c>
      <c r="H26" s="19"/>
      <c r="I26" s="19"/>
      <c r="J26" s="8"/>
      <c r="K26" s="14">
        <v>0</v>
      </c>
      <c r="L26" s="14">
        <v>0</v>
      </c>
      <c r="M26" s="7">
        <v>0</v>
      </c>
      <c r="N26" s="7">
        <v>0</v>
      </c>
      <c r="O26" s="14">
        <v>0</v>
      </c>
      <c r="P26" s="14">
        <v>380</v>
      </c>
      <c r="Q26" s="7">
        <v>0</v>
      </c>
      <c r="R26" s="14">
        <v>0</v>
      </c>
      <c r="S26" s="14">
        <v>0</v>
      </c>
      <c r="T26" s="14">
        <v>380</v>
      </c>
      <c r="U26" s="7">
        <v>0</v>
      </c>
      <c r="V26" s="14">
        <v>0</v>
      </c>
      <c r="W26" s="14">
        <v>0</v>
      </c>
      <c r="X26" s="14">
        <v>0</v>
      </c>
      <c r="Y26" s="7">
        <v>0</v>
      </c>
      <c r="Z26" s="7"/>
      <c r="AA26" s="20"/>
      <c r="AB26" s="7"/>
      <c r="AC26" s="7"/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14">
        <v>0</v>
      </c>
      <c r="AP26" s="7">
        <v>0</v>
      </c>
    </row>
    <row r="27" spans="1:42" ht="14.25" customHeight="1">
      <c r="A27" s="9" t="s">
        <v>116</v>
      </c>
      <c r="B27" s="15">
        <v>0</v>
      </c>
      <c r="C27" s="15">
        <v>0</v>
      </c>
      <c r="D27" s="10">
        <v>0</v>
      </c>
      <c r="E27" s="15">
        <v>0</v>
      </c>
      <c r="F27" s="15">
        <v>0</v>
      </c>
      <c r="G27" s="10">
        <v>0</v>
      </c>
      <c r="H27" s="17"/>
      <c r="I27" s="17"/>
      <c r="J27" s="11"/>
      <c r="K27" s="15">
        <v>0</v>
      </c>
      <c r="L27" s="15">
        <v>0</v>
      </c>
      <c r="M27" s="10">
        <v>0</v>
      </c>
      <c r="N27" s="10">
        <v>0</v>
      </c>
      <c r="O27" s="15">
        <v>0</v>
      </c>
      <c r="P27" s="15">
        <v>378</v>
      </c>
      <c r="Q27" s="10">
        <v>0</v>
      </c>
      <c r="R27" s="15">
        <v>0</v>
      </c>
      <c r="S27" s="15">
        <v>0</v>
      </c>
      <c r="T27" s="15">
        <v>378</v>
      </c>
      <c r="U27" s="10">
        <v>0</v>
      </c>
      <c r="V27" s="15">
        <v>0</v>
      </c>
      <c r="W27" s="15">
        <v>0</v>
      </c>
      <c r="X27" s="15">
        <v>0</v>
      </c>
      <c r="Y27" s="10">
        <v>0</v>
      </c>
      <c r="Z27" s="10"/>
      <c r="AA27" s="18"/>
      <c r="AB27" s="10"/>
      <c r="AC27" s="10"/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5">
        <v>0</v>
      </c>
      <c r="AP27" s="10">
        <v>0</v>
      </c>
    </row>
    <row r="28" spans="1:42" ht="14.25" customHeight="1">
      <c r="A28" s="6" t="s">
        <v>41</v>
      </c>
      <c r="B28" s="14">
        <v>0</v>
      </c>
      <c r="C28" s="14">
        <v>0</v>
      </c>
      <c r="D28" s="7">
        <v>0</v>
      </c>
      <c r="E28" s="14">
        <v>0</v>
      </c>
      <c r="F28" s="14">
        <v>0</v>
      </c>
      <c r="G28" s="7">
        <v>0</v>
      </c>
      <c r="H28" s="19"/>
      <c r="I28" s="19"/>
      <c r="J28" s="8"/>
      <c r="K28" s="14">
        <v>0</v>
      </c>
      <c r="L28" s="14">
        <v>0</v>
      </c>
      <c r="M28" s="7">
        <v>0</v>
      </c>
      <c r="N28" s="7">
        <v>0</v>
      </c>
      <c r="O28" s="14">
        <v>0</v>
      </c>
      <c r="P28" s="14">
        <v>372</v>
      </c>
      <c r="Q28" s="7">
        <v>0</v>
      </c>
      <c r="R28" s="14">
        <v>0</v>
      </c>
      <c r="S28" s="14">
        <v>0</v>
      </c>
      <c r="T28" s="14">
        <v>373.44799999999998</v>
      </c>
      <c r="U28" s="7">
        <v>0</v>
      </c>
      <c r="V28" s="14">
        <v>0</v>
      </c>
      <c r="W28" s="14">
        <v>0</v>
      </c>
      <c r="X28" s="14">
        <v>0</v>
      </c>
      <c r="Y28" s="7">
        <v>0</v>
      </c>
      <c r="Z28" s="7"/>
      <c r="AA28" s="20"/>
      <c r="AB28" s="7"/>
      <c r="AC28" s="7"/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14">
        <v>0</v>
      </c>
      <c r="AP28" s="7">
        <v>0</v>
      </c>
    </row>
    <row r="29" spans="1:42" ht="14.25" customHeight="1">
      <c r="A29" s="9" t="s">
        <v>117</v>
      </c>
      <c r="B29" s="15">
        <v>0</v>
      </c>
      <c r="C29" s="15">
        <v>0</v>
      </c>
      <c r="D29" s="10">
        <v>0</v>
      </c>
      <c r="E29" s="15">
        <v>0</v>
      </c>
      <c r="F29" s="15">
        <v>0</v>
      </c>
      <c r="G29" s="10">
        <v>0</v>
      </c>
      <c r="H29" s="17"/>
      <c r="I29" s="17"/>
      <c r="J29" s="11"/>
      <c r="K29" s="15">
        <v>0</v>
      </c>
      <c r="L29" s="15">
        <v>0</v>
      </c>
      <c r="M29" s="10">
        <v>0</v>
      </c>
      <c r="N29" s="10">
        <v>0</v>
      </c>
      <c r="O29" s="15">
        <v>0</v>
      </c>
      <c r="P29" s="15">
        <v>366.38600000000002</v>
      </c>
      <c r="Q29" s="10">
        <v>0</v>
      </c>
      <c r="R29" s="15">
        <v>0</v>
      </c>
      <c r="S29" s="15">
        <v>0</v>
      </c>
      <c r="T29" s="15">
        <v>369.78399999999999</v>
      </c>
      <c r="U29" s="10">
        <v>0</v>
      </c>
      <c r="V29" s="15">
        <v>0</v>
      </c>
      <c r="W29" s="15">
        <v>0</v>
      </c>
      <c r="X29" s="15">
        <v>0</v>
      </c>
      <c r="Y29" s="10">
        <v>0</v>
      </c>
      <c r="Z29" s="10"/>
      <c r="AA29" s="18"/>
      <c r="AB29" s="10"/>
      <c r="AC29" s="10"/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5">
        <v>0</v>
      </c>
      <c r="AP29" s="10">
        <v>0</v>
      </c>
    </row>
    <row r="30" spans="1:42" ht="14.25" customHeight="1">
      <c r="A30" s="6" t="s">
        <v>118</v>
      </c>
      <c r="B30" s="14">
        <v>0</v>
      </c>
      <c r="C30" s="14">
        <v>0</v>
      </c>
      <c r="D30" s="7">
        <v>0</v>
      </c>
      <c r="E30" s="14">
        <v>0</v>
      </c>
      <c r="F30" s="14">
        <v>0</v>
      </c>
      <c r="G30" s="7">
        <v>0</v>
      </c>
      <c r="H30" s="19"/>
      <c r="I30" s="19"/>
      <c r="J30" s="8"/>
      <c r="K30" s="14">
        <v>0</v>
      </c>
      <c r="L30" s="14">
        <v>0</v>
      </c>
      <c r="M30" s="7">
        <v>0</v>
      </c>
      <c r="N30" s="7">
        <v>0</v>
      </c>
      <c r="O30" s="14">
        <v>0</v>
      </c>
      <c r="P30" s="14">
        <v>364.73899999999998</v>
      </c>
      <c r="Q30" s="7">
        <v>0</v>
      </c>
      <c r="R30" s="14">
        <v>0</v>
      </c>
      <c r="S30" s="14">
        <v>0</v>
      </c>
      <c r="T30" s="14">
        <v>367.50400000000002</v>
      </c>
      <c r="U30" s="7">
        <v>0</v>
      </c>
      <c r="V30" s="14">
        <v>0</v>
      </c>
      <c r="W30" s="14">
        <v>0</v>
      </c>
      <c r="X30" s="14">
        <v>0</v>
      </c>
      <c r="Y30" s="7">
        <v>0</v>
      </c>
      <c r="Z30" s="7"/>
      <c r="AA30" s="20"/>
      <c r="AB30" s="7"/>
      <c r="AC30" s="7"/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14">
        <v>0</v>
      </c>
      <c r="AP30" s="7">
        <v>0</v>
      </c>
    </row>
    <row r="31" spans="1:42" ht="14.25" customHeight="1">
      <c r="A31" s="9" t="s">
        <v>119</v>
      </c>
      <c r="B31" s="15">
        <v>0</v>
      </c>
      <c r="C31" s="15">
        <v>0</v>
      </c>
      <c r="D31" s="10">
        <v>0</v>
      </c>
      <c r="E31" s="15">
        <v>0</v>
      </c>
      <c r="F31" s="15">
        <v>0</v>
      </c>
      <c r="G31" s="10">
        <v>0</v>
      </c>
      <c r="H31" s="17"/>
      <c r="I31" s="17"/>
      <c r="J31" s="11"/>
      <c r="K31" s="15">
        <v>0</v>
      </c>
      <c r="L31" s="15">
        <v>0</v>
      </c>
      <c r="M31" s="10">
        <v>0</v>
      </c>
      <c r="N31" s="10">
        <v>0</v>
      </c>
      <c r="O31" s="15">
        <v>0</v>
      </c>
      <c r="P31" s="15">
        <v>360</v>
      </c>
      <c r="Q31" s="10">
        <v>0</v>
      </c>
      <c r="R31" s="15">
        <v>0</v>
      </c>
      <c r="S31" s="15">
        <v>0</v>
      </c>
      <c r="T31" s="15">
        <v>362.28500000000003</v>
      </c>
      <c r="U31" s="10">
        <v>0</v>
      </c>
      <c r="V31" s="15">
        <v>0</v>
      </c>
      <c r="W31" s="15">
        <v>0</v>
      </c>
      <c r="X31" s="15">
        <v>0</v>
      </c>
      <c r="Y31" s="10">
        <v>0</v>
      </c>
      <c r="Z31" s="10"/>
      <c r="AA31" s="18"/>
      <c r="AB31" s="10"/>
      <c r="AC31" s="10"/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5">
        <v>0</v>
      </c>
      <c r="AP31" s="10">
        <v>0</v>
      </c>
    </row>
    <row r="32" spans="1:42" ht="14.25" customHeight="1">
      <c r="A32" s="6" t="s">
        <v>42</v>
      </c>
      <c r="B32" s="14">
        <v>0</v>
      </c>
      <c r="C32" s="14">
        <v>0</v>
      </c>
      <c r="D32" s="7">
        <v>0</v>
      </c>
      <c r="E32" s="14">
        <v>0</v>
      </c>
      <c r="F32" s="14">
        <v>0</v>
      </c>
      <c r="G32" s="7">
        <v>0</v>
      </c>
      <c r="H32" s="19"/>
      <c r="I32" s="19"/>
      <c r="J32" s="8"/>
      <c r="K32" s="14">
        <v>0</v>
      </c>
      <c r="L32" s="14">
        <v>0</v>
      </c>
      <c r="M32" s="7">
        <v>0</v>
      </c>
      <c r="N32" s="7">
        <v>0</v>
      </c>
      <c r="O32" s="14">
        <v>0</v>
      </c>
      <c r="P32" s="14">
        <v>357</v>
      </c>
      <c r="Q32" s="7">
        <v>0</v>
      </c>
      <c r="R32" s="14">
        <v>0</v>
      </c>
      <c r="S32" s="14">
        <v>0</v>
      </c>
      <c r="T32" s="14">
        <v>359.57900000000001</v>
      </c>
      <c r="U32" s="7">
        <v>0</v>
      </c>
      <c r="V32" s="14">
        <v>0</v>
      </c>
      <c r="W32" s="14">
        <v>0</v>
      </c>
      <c r="X32" s="14">
        <v>0</v>
      </c>
      <c r="Y32" s="7">
        <v>0</v>
      </c>
      <c r="Z32" s="7"/>
      <c r="AA32" s="20"/>
      <c r="AB32" s="7"/>
      <c r="AC32" s="7"/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14">
        <v>0</v>
      </c>
      <c r="AP32" s="7">
        <v>0</v>
      </c>
    </row>
    <row r="33" spans="1:42" ht="14.25" customHeight="1">
      <c r="A33" s="9" t="s">
        <v>120</v>
      </c>
      <c r="B33" s="15">
        <v>0</v>
      </c>
      <c r="C33" s="15">
        <v>0</v>
      </c>
      <c r="D33" s="10">
        <v>0</v>
      </c>
      <c r="E33" s="15">
        <v>0</v>
      </c>
      <c r="F33" s="15">
        <v>0</v>
      </c>
      <c r="G33" s="10">
        <v>0</v>
      </c>
      <c r="H33" s="17"/>
      <c r="I33" s="17"/>
      <c r="J33" s="11"/>
      <c r="K33" s="15">
        <v>0</v>
      </c>
      <c r="L33" s="15">
        <v>0</v>
      </c>
      <c r="M33" s="10">
        <v>0</v>
      </c>
      <c r="N33" s="10">
        <v>0</v>
      </c>
      <c r="O33" s="15">
        <v>0</v>
      </c>
      <c r="P33" s="15">
        <v>348</v>
      </c>
      <c r="Q33" s="10">
        <v>0</v>
      </c>
      <c r="R33" s="15">
        <v>0</v>
      </c>
      <c r="S33" s="15">
        <v>0</v>
      </c>
      <c r="T33" s="15">
        <v>351.25099999999998</v>
      </c>
      <c r="U33" s="10">
        <v>0</v>
      </c>
      <c r="V33" s="15">
        <v>0</v>
      </c>
      <c r="W33" s="15">
        <v>0</v>
      </c>
      <c r="X33" s="15">
        <v>0</v>
      </c>
      <c r="Y33" s="10">
        <v>0</v>
      </c>
      <c r="Z33" s="10"/>
      <c r="AA33" s="18"/>
      <c r="AB33" s="10"/>
      <c r="AC33" s="10"/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5">
        <v>0</v>
      </c>
      <c r="AP33" s="10">
        <v>0</v>
      </c>
    </row>
    <row r="34" spans="1:42" ht="14.25" customHeight="1">
      <c r="A34" s="6" t="s">
        <v>121</v>
      </c>
      <c r="B34" s="14">
        <v>0</v>
      </c>
      <c r="C34" s="14">
        <v>0</v>
      </c>
      <c r="D34" s="7">
        <v>0</v>
      </c>
      <c r="E34" s="14">
        <v>0</v>
      </c>
      <c r="F34" s="14">
        <v>0</v>
      </c>
      <c r="G34" s="7">
        <v>0</v>
      </c>
      <c r="H34" s="19"/>
      <c r="I34" s="19"/>
      <c r="J34" s="8"/>
      <c r="K34" s="14">
        <v>0</v>
      </c>
      <c r="L34" s="14">
        <v>0</v>
      </c>
      <c r="M34" s="7">
        <v>0</v>
      </c>
      <c r="N34" s="7">
        <v>0</v>
      </c>
      <c r="O34" s="14">
        <v>0</v>
      </c>
      <c r="P34" s="14">
        <v>342.16500000000002</v>
      </c>
      <c r="Q34" s="7">
        <v>0</v>
      </c>
      <c r="R34" s="14">
        <v>0</v>
      </c>
      <c r="S34" s="14">
        <v>0</v>
      </c>
      <c r="T34" s="14">
        <v>342.255</v>
      </c>
      <c r="U34" s="7">
        <v>0</v>
      </c>
      <c r="V34" s="14">
        <v>0</v>
      </c>
      <c r="W34" s="14">
        <v>0</v>
      </c>
      <c r="X34" s="14">
        <v>0</v>
      </c>
      <c r="Y34" s="7">
        <v>0</v>
      </c>
      <c r="Z34" s="7"/>
      <c r="AA34" s="20"/>
      <c r="AB34" s="7"/>
      <c r="AC34" s="7"/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14">
        <v>0</v>
      </c>
      <c r="AP34" s="7">
        <v>0</v>
      </c>
    </row>
    <row r="35" spans="1:42" ht="14.25" customHeight="1">
      <c r="A35" s="9" t="s">
        <v>122</v>
      </c>
      <c r="B35" s="15">
        <v>0</v>
      </c>
      <c r="C35" s="15">
        <v>0</v>
      </c>
      <c r="D35" s="10">
        <v>0</v>
      </c>
      <c r="E35" s="15">
        <v>0</v>
      </c>
      <c r="F35" s="15">
        <v>0</v>
      </c>
      <c r="G35" s="10">
        <v>0</v>
      </c>
      <c r="H35" s="17"/>
      <c r="I35" s="17"/>
      <c r="J35" s="11"/>
      <c r="K35" s="15">
        <v>0</v>
      </c>
      <c r="L35" s="15">
        <v>0</v>
      </c>
      <c r="M35" s="10">
        <v>0</v>
      </c>
      <c r="N35" s="10">
        <v>0</v>
      </c>
      <c r="O35" s="15">
        <v>0</v>
      </c>
      <c r="P35" s="15">
        <v>347.858</v>
      </c>
      <c r="Q35" s="10">
        <v>0</v>
      </c>
      <c r="R35" s="15">
        <v>0</v>
      </c>
      <c r="S35" s="15">
        <v>0</v>
      </c>
      <c r="T35" s="15">
        <v>351.786</v>
      </c>
      <c r="U35" s="10">
        <v>0</v>
      </c>
      <c r="V35" s="15">
        <v>0</v>
      </c>
      <c r="W35" s="15">
        <v>0</v>
      </c>
      <c r="X35" s="15">
        <v>0</v>
      </c>
      <c r="Y35" s="10">
        <v>0</v>
      </c>
      <c r="Z35" s="10"/>
      <c r="AA35" s="18"/>
      <c r="AB35" s="10"/>
      <c r="AC35" s="10"/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5">
        <v>0</v>
      </c>
      <c r="AP35" s="10">
        <v>0</v>
      </c>
    </row>
    <row r="36" spans="1:42" ht="14.25" customHeight="1">
      <c r="A36" s="6" t="s">
        <v>43</v>
      </c>
      <c r="B36" s="14">
        <v>0</v>
      </c>
      <c r="C36" s="14">
        <v>0</v>
      </c>
      <c r="D36" s="7">
        <v>0</v>
      </c>
      <c r="E36" s="14">
        <v>0</v>
      </c>
      <c r="F36" s="14">
        <v>0</v>
      </c>
      <c r="G36" s="7">
        <v>0</v>
      </c>
      <c r="H36" s="19"/>
      <c r="I36" s="19"/>
      <c r="J36" s="8"/>
      <c r="K36" s="14">
        <v>0</v>
      </c>
      <c r="L36" s="14">
        <v>0</v>
      </c>
      <c r="M36" s="7">
        <v>0</v>
      </c>
      <c r="N36" s="7">
        <v>0</v>
      </c>
      <c r="O36" s="14">
        <v>0</v>
      </c>
      <c r="P36" s="14">
        <v>369</v>
      </c>
      <c r="Q36" s="7">
        <v>0</v>
      </c>
      <c r="R36" s="14">
        <v>0</v>
      </c>
      <c r="S36" s="14">
        <v>0</v>
      </c>
      <c r="T36" s="14">
        <v>372.02300000000002</v>
      </c>
      <c r="U36" s="7">
        <v>0</v>
      </c>
      <c r="V36" s="14">
        <v>0</v>
      </c>
      <c r="W36" s="14">
        <v>0</v>
      </c>
      <c r="X36" s="14">
        <v>0</v>
      </c>
      <c r="Y36" s="7">
        <v>0</v>
      </c>
      <c r="Z36" s="7"/>
      <c r="AA36" s="20"/>
      <c r="AB36" s="7"/>
      <c r="AC36" s="7"/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14">
        <v>0</v>
      </c>
      <c r="AP36" s="7">
        <v>0</v>
      </c>
    </row>
    <row r="37" spans="1:42" ht="14.25" customHeight="1">
      <c r="A37" s="9" t="s">
        <v>123</v>
      </c>
      <c r="B37" s="15">
        <v>0</v>
      </c>
      <c r="C37" s="15">
        <v>0</v>
      </c>
      <c r="D37" s="10">
        <v>0</v>
      </c>
      <c r="E37" s="15">
        <v>0</v>
      </c>
      <c r="F37" s="15">
        <v>0</v>
      </c>
      <c r="G37" s="10">
        <v>0</v>
      </c>
      <c r="H37" s="17"/>
      <c r="I37" s="17"/>
      <c r="J37" s="11"/>
      <c r="K37" s="15">
        <v>0</v>
      </c>
      <c r="L37" s="15">
        <v>0</v>
      </c>
      <c r="M37" s="10">
        <v>0</v>
      </c>
      <c r="N37" s="10">
        <v>0</v>
      </c>
      <c r="O37" s="15">
        <v>0.35199999999999998</v>
      </c>
      <c r="P37" s="15">
        <v>375.529</v>
      </c>
      <c r="Q37" s="10">
        <v>132.18620799999999</v>
      </c>
      <c r="R37" s="15">
        <v>0</v>
      </c>
      <c r="S37" s="15">
        <v>0</v>
      </c>
      <c r="T37" s="15">
        <v>377.57</v>
      </c>
      <c r="U37" s="10">
        <v>0</v>
      </c>
      <c r="V37" s="15">
        <v>0</v>
      </c>
      <c r="W37" s="15">
        <v>0</v>
      </c>
      <c r="X37" s="15">
        <v>0</v>
      </c>
      <c r="Y37" s="10">
        <v>0</v>
      </c>
      <c r="Z37" s="10"/>
      <c r="AA37" s="18"/>
      <c r="AB37" s="10"/>
      <c r="AC37" s="10"/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5">
        <v>0.35199999999999998</v>
      </c>
      <c r="AP37" s="10">
        <v>132.18620799999999</v>
      </c>
    </row>
    <row r="38" spans="1:42" ht="14.25" customHeight="1">
      <c r="A38" s="6" t="s">
        <v>124</v>
      </c>
      <c r="B38" s="14">
        <v>0</v>
      </c>
      <c r="C38" s="14">
        <v>0</v>
      </c>
      <c r="D38" s="7">
        <v>0</v>
      </c>
      <c r="E38" s="14">
        <v>0</v>
      </c>
      <c r="F38" s="14">
        <v>0</v>
      </c>
      <c r="G38" s="7">
        <v>0</v>
      </c>
      <c r="H38" s="19"/>
      <c r="I38" s="19"/>
      <c r="J38" s="8"/>
      <c r="K38" s="14">
        <v>0</v>
      </c>
      <c r="L38" s="14">
        <v>0</v>
      </c>
      <c r="M38" s="7">
        <v>0</v>
      </c>
      <c r="N38" s="7">
        <v>0</v>
      </c>
      <c r="O38" s="14">
        <v>0.79100000000000004</v>
      </c>
      <c r="P38" s="14">
        <v>379.54700000000003</v>
      </c>
      <c r="Q38" s="7">
        <v>300.221677</v>
      </c>
      <c r="R38" s="14">
        <v>0</v>
      </c>
      <c r="S38" s="14">
        <v>0</v>
      </c>
      <c r="T38" s="14">
        <v>385.35300000000001</v>
      </c>
      <c r="U38" s="7">
        <v>0</v>
      </c>
      <c r="V38" s="14">
        <v>0</v>
      </c>
      <c r="W38" s="14">
        <v>0</v>
      </c>
      <c r="X38" s="14">
        <v>0</v>
      </c>
      <c r="Y38" s="7">
        <v>0</v>
      </c>
      <c r="Z38" s="7"/>
      <c r="AA38" s="20"/>
      <c r="AB38" s="7"/>
      <c r="AC38" s="7"/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14">
        <v>0.79100000000000004</v>
      </c>
      <c r="AP38" s="7">
        <v>300.221677</v>
      </c>
    </row>
    <row r="39" spans="1:42" ht="14.25" customHeight="1">
      <c r="A39" s="9" t="s">
        <v>125</v>
      </c>
      <c r="B39" s="15">
        <v>0</v>
      </c>
      <c r="C39" s="15">
        <v>0</v>
      </c>
      <c r="D39" s="10">
        <v>0</v>
      </c>
      <c r="E39" s="15">
        <v>0</v>
      </c>
      <c r="F39" s="15">
        <v>0</v>
      </c>
      <c r="G39" s="10">
        <v>0</v>
      </c>
      <c r="H39" s="17"/>
      <c r="I39" s="17"/>
      <c r="J39" s="11"/>
      <c r="K39" s="15">
        <v>0</v>
      </c>
      <c r="L39" s="15">
        <v>0</v>
      </c>
      <c r="M39" s="10">
        <v>0</v>
      </c>
      <c r="N39" s="10">
        <v>0</v>
      </c>
      <c r="O39" s="15">
        <v>0</v>
      </c>
      <c r="P39" s="15">
        <v>371.72699999999998</v>
      </c>
      <c r="Q39" s="10">
        <v>0</v>
      </c>
      <c r="R39" s="15">
        <v>0</v>
      </c>
      <c r="S39" s="15">
        <v>0</v>
      </c>
      <c r="T39" s="15">
        <v>377.46100000000001</v>
      </c>
      <c r="U39" s="10">
        <v>0</v>
      </c>
      <c r="V39" s="15">
        <v>0</v>
      </c>
      <c r="W39" s="15">
        <v>0</v>
      </c>
      <c r="X39" s="15">
        <v>0</v>
      </c>
      <c r="Y39" s="10">
        <v>0</v>
      </c>
      <c r="Z39" s="10"/>
      <c r="AA39" s="18"/>
      <c r="AB39" s="10"/>
      <c r="AC39" s="10"/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5">
        <v>0</v>
      </c>
      <c r="AP39" s="10">
        <v>0</v>
      </c>
    </row>
    <row r="40" spans="1:42" ht="14.25" customHeight="1">
      <c r="A40" s="6" t="s">
        <v>44</v>
      </c>
      <c r="B40" s="14">
        <v>0</v>
      </c>
      <c r="C40" s="14">
        <v>0</v>
      </c>
      <c r="D40" s="7">
        <v>0</v>
      </c>
      <c r="E40" s="14">
        <v>0</v>
      </c>
      <c r="F40" s="14">
        <v>0</v>
      </c>
      <c r="G40" s="7">
        <v>0</v>
      </c>
      <c r="H40" s="19"/>
      <c r="I40" s="19"/>
      <c r="J40" s="8"/>
      <c r="K40" s="14">
        <v>0</v>
      </c>
      <c r="L40" s="14">
        <v>0</v>
      </c>
      <c r="M40" s="7">
        <v>0</v>
      </c>
      <c r="N40" s="7">
        <v>0</v>
      </c>
      <c r="O40" s="14">
        <v>0</v>
      </c>
      <c r="P40" s="14">
        <v>368</v>
      </c>
      <c r="Q40" s="7">
        <v>0</v>
      </c>
      <c r="R40" s="14">
        <v>0</v>
      </c>
      <c r="S40" s="14">
        <v>0</v>
      </c>
      <c r="T40" s="14">
        <v>369.846</v>
      </c>
      <c r="U40" s="7">
        <v>0</v>
      </c>
      <c r="V40" s="14">
        <v>0</v>
      </c>
      <c r="W40" s="14">
        <v>0</v>
      </c>
      <c r="X40" s="14">
        <v>0</v>
      </c>
      <c r="Y40" s="7">
        <v>0</v>
      </c>
      <c r="Z40" s="7"/>
      <c r="AA40" s="20"/>
      <c r="AB40" s="7"/>
      <c r="AC40" s="7"/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14">
        <v>0</v>
      </c>
      <c r="AP40" s="7">
        <v>0</v>
      </c>
    </row>
    <row r="41" spans="1:42" ht="14.25" customHeight="1">
      <c r="A41" s="9" t="s">
        <v>126</v>
      </c>
      <c r="B41" s="15">
        <v>0</v>
      </c>
      <c r="C41" s="15">
        <v>0</v>
      </c>
      <c r="D41" s="10">
        <v>0</v>
      </c>
      <c r="E41" s="15">
        <v>0</v>
      </c>
      <c r="F41" s="15">
        <v>0</v>
      </c>
      <c r="G41" s="10">
        <v>0</v>
      </c>
      <c r="H41" s="17"/>
      <c r="I41" s="17"/>
      <c r="J41" s="11"/>
      <c r="K41" s="15">
        <v>0</v>
      </c>
      <c r="L41" s="15">
        <v>0</v>
      </c>
      <c r="M41" s="10">
        <v>0</v>
      </c>
      <c r="N41" s="10">
        <v>0</v>
      </c>
      <c r="O41" s="15">
        <v>0</v>
      </c>
      <c r="P41" s="15">
        <v>348.33300000000003</v>
      </c>
      <c r="Q41" s="10">
        <v>0</v>
      </c>
      <c r="R41" s="15">
        <v>0</v>
      </c>
      <c r="S41" s="15">
        <v>0</v>
      </c>
      <c r="T41" s="15">
        <v>348.33</v>
      </c>
      <c r="U41" s="10">
        <v>0</v>
      </c>
      <c r="V41" s="15">
        <v>0</v>
      </c>
      <c r="W41" s="15">
        <v>0</v>
      </c>
      <c r="X41" s="15">
        <v>0</v>
      </c>
      <c r="Y41" s="10">
        <v>0</v>
      </c>
      <c r="Z41" s="10"/>
      <c r="AA41" s="18"/>
      <c r="AB41" s="10"/>
      <c r="AC41" s="10"/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5">
        <v>0</v>
      </c>
      <c r="AP41" s="10">
        <v>0</v>
      </c>
    </row>
    <row r="42" spans="1:42" ht="14.25" customHeight="1">
      <c r="A42" s="6" t="s">
        <v>127</v>
      </c>
      <c r="B42" s="14">
        <v>0</v>
      </c>
      <c r="C42" s="14">
        <v>0</v>
      </c>
      <c r="D42" s="7">
        <v>0</v>
      </c>
      <c r="E42" s="14">
        <v>0</v>
      </c>
      <c r="F42" s="14">
        <v>0</v>
      </c>
      <c r="G42" s="7">
        <v>0</v>
      </c>
      <c r="H42" s="19"/>
      <c r="I42" s="19"/>
      <c r="J42" s="8"/>
      <c r="K42" s="14">
        <v>0</v>
      </c>
      <c r="L42" s="14">
        <v>0</v>
      </c>
      <c r="M42" s="7">
        <v>0</v>
      </c>
      <c r="N42" s="7">
        <v>0</v>
      </c>
      <c r="O42" s="14">
        <v>0</v>
      </c>
      <c r="P42" s="14">
        <v>348</v>
      </c>
      <c r="Q42" s="7">
        <v>0</v>
      </c>
      <c r="R42" s="14">
        <v>0</v>
      </c>
      <c r="S42" s="14">
        <v>0</v>
      </c>
      <c r="T42" s="14">
        <v>348</v>
      </c>
      <c r="U42" s="7">
        <v>0</v>
      </c>
      <c r="V42" s="14">
        <v>0</v>
      </c>
      <c r="W42" s="14">
        <v>0</v>
      </c>
      <c r="X42" s="14">
        <v>0</v>
      </c>
      <c r="Y42" s="7">
        <v>0</v>
      </c>
      <c r="Z42" s="7"/>
      <c r="AA42" s="20"/>
      <c r="AB42" s="7"/>
      <c r="AC42" s="7"/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14">
        <v>0</v>
      </c>
      <c r="AP42" s="7">
        <v>0</v>
      </c>
    </row>
    <row r="43" spans="1:42" ht="14.25" customHeight="1">
      <c r="A43" s="9" t="s">
        <v>128</v>
      </c>
      <c r="B43" s="15">
        <v>0</v>
      </c>
      <c r="C43" s="15">
        <v>0</v>
      </c>
      <c r="D43" s="10">
        <v>0</v>
      </c>
      <c r="E43" s="15">
        <v>0</v>
      </c>
      <c r="F43" s="15">
        <v>0</v>
      </c>
      <c r="G43" s="10">
        <v>0</v>
      </c>
      <c r="H43" s="17"/>
      <c r="I43" s="17"/>
      <c r="J43" s="11"/>
      <c r="K43" s="15">
        <v>0</v>
      </c>
      <c r="L43" s="15">
        <v>0</v>
      </c>
      <c r="M43" s="10">
        <v>0</v>
      </c>
      <c r="N43" s="10">
        <v>0</v>
      </c>
      <c r="O43" s="15">
        <v>0</v>
      </c>
      <c r="P43" s="15">
        <v>325.92099999999999</v>
      </c>
      <c r="Q43" s="10">
        <v>0</v>
      </c>
      <c r="R43" s="15">
        <v>0</v>
      </c>
      <c r="S43" s="15">
        <v>0</v>
      </c>
      <c r="T43" s="15">
        <v>325.92</v>
      </c>
      <c r="U43" s="10">
        <v>0</v>
      </c>
      <c r="V43" s="15">
        <v>0</v>
      </c>
      <c r="W43" s="15">
        <v>0</v>
      </c>
      <c r="X43" s="15">
        <v>0</v>
      </c>
      <c r="Y43" s="10">
        <v>0</v>
      </c>
      <c r="Z43" s="10"/>
      <c r="AA43" s="18"/>
      <c r="AB43" s="10"/>
      <c r="AC43" s="10"/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5">
        <v>0</v>
      </c>
      <c r="AP43" s="10">
        <v>0</v>
      </c>
    </row>
    <row r="44" spans="1:42" ht="14.25" customHeight="1">
      <c r="A44" s="6" t="s">
        <v>45</v>
      </c>
      <c r="B44" s="14">
        <v>0</v>
      </c>
      <c r="C44" s="14">
        <v>0</v>
      </c>
      <c r="D44" s="7">
        <v>0</v>
      </c>
      <c r="E44" s="14">
        <v>0</v>
      </c>
      <c r="F44" s="14">
        <v>0</v>
      </c>
      <c r="G44" s="7">
        <v>0</v>
      </c>
      <c r="H44" s="19"/>
      <c r="I44" s="19"/>
      <c r="J44" s="8"/>
      <c r="K44" s="14">
        <v>0</v>
      </c>
      <c r="L44" s="14">
        <v>0</v>
      </c>
      <c r="M44" s="7">
        <v>0</v>
      </c>
      <c r="N44" s="7">
        <v>0</v>
      </c>
      <c r="O44" s="14">
        <v>0</v>
      </c>
      <c r="P44" s="14">
        <v>308</v>
      </c>
      <c r="Q44" s="7">
        <v>0</v>
      </c>
      <c r="R44" s="14">
        <v>0</v>
      </c>
      <c r="S44" s="14">
        <v>0</v>
      </c>
      <c r="T44" s="14">
        <v>308.608</v>
      </c>
      <c r="U44" s="7">
        <v>0</v>
      </c>
      <c r="V44" s="14">
        <v>0</v>
      </c>
      <c r="W44" s="14">
        <v>0</v>
      </c>
      <c r="X44" s="14">
        <v>0</v>
      </c>
      <c r="Y44" s="7">
        <v>0</v>
      </c>
      <c r="Z44" s="7"/>
      <c r="AA44" s="20"/>
      <c r="AB44" s="7"/>
      <c r="AC44" s="7"/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14">
        <v>0</v>
      </c>
      <c r="AP44" s="7">
        <v>0</v>
      </c>
    </row>
    <row r="45" spans="1:42" ht="14.25" customHeight="1">
      <c r="A45" s="9" t="s">
        <v>129</v>
      </c>
      <c r="B45" s="15">
        <v>0</v>
      </c>
      <c r="C45" s="15">
        <v>0</v>
      </c>
      <c r="D45" s="10">
        <v>0</v>
      </c>
      <c r="E45" s="15">
        <v>0</v>
      </c>
      <c r="F45" s="15">
        <v>0</v>
      </c>
      <c r="G45" s="10">
        <v>0</v>
      </c>
      <c r="H45" s="17"/>
      <c r="I45" s="17"/>
      <c r="J45" s="11"/>
      <c r="K45" s="15">
        <v>0</v>
      </c>
      <c r="L45" s="15">
        <v>0</v>
      </c>
      <c r="M45" s="10">
        <v>0</v>
      </c>
      <c r="N45" s="10">
        <v>0</v>
      </c>
      <c r="O45" s="15">
        <v>12.573</v>
      </c>
      <c r="P45" s="15">
        <v>351.85599999999999</v>
      </c>
      <c r="Q45" s="10">
        <v>4423.8854879999999</v>
      </c>
      <c r="R45" s="15">
        <v>0</v>
      </c>
      <c r="S45" s="15">
        <v>0</v>
      </c>
      <c r="T45" s="15">
        <v>352.38200000000001</v>
      </c>
      <c r="U45" s="10">
        <v>0</v>
      </c>
      <c r="V45" s="15">
        <v>0</v>
      </c>
      <c r="W45" s="15">
        <v>0</v>
      </c>
      <c r="X45" s="15">
        <v>0</v>
      </c>
      <c r="Y45" s="10">
        <v>0</v>
      </c>
      <c r="Z45" s="10"/>
      <c r="AA45" s="18"/>
      <c r="AB45" s="10"/>
      <c r="AC45" s="10"/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5">
        <v>12.573</v>
      </c>
      <c r="AP45" s="10">
        <v>4423.8854879999999</v>
      </c>
    </row>
    <row r="46" spans="1:42" ht="14.25" customHeight="1">
      <c r="A46" s="6" t="s">
        <v>130</v>
      </c>
      <c r="B46" s="14">
        <v>0</v>
      </c>
      <c r="C46" s="14">
        <v>0</v>
      </c>
      <c r="D46" s="7">
        <v>0</v>
      </c>
      <c r="E46" s="14">
        <v>0</v>
      </c>
      <c r="F46" s="14">
        <v>0</v>
      </c>
      <c r="G46" s="7">
        <v>0</v>
      </c>
      <c r="H46" s="19"/>
      <c r="I46" s="19"/>
      <c r="J46" s="8"/>
      <c r="K46" s="14">
        <v>0</v>
      </c>
      <c r="L46" s="14">
        <v>0</v>
      </c>
      <c r="M46" s="7">
        <v>0</v>
      </c>
      <c r="N46" s="7">
        <v>0</v>
      </c>
      <c r="O46" s="14">
        <v>6.1539999999999999</v>
      </c>
      <c r="P46" s="14">
        <v>379.98</v>
      </c>
      <c r="Q46" s="7">
        <v>2338.3969200000001</v>
      </c>
      <c r="R46" s="14">
        <v>0</v>
      </c>
      <c r="S46" s="14">
        <v>0</v>
      </c>
      <c r="T46" s="14">
        <v>444.93099999999998</v>
      </c>
      <c r="U46" s="7">
        <v>0</v>
      </c>
      <c r="V46" s="14">
        <v>0</v>
      </c>
      <c r="W46" s="14">
        <v>0</v>
      </c>
      <c r="X46" s="14">
        <v>0</v>
      </c>
      <c r="Y46" s="7">
        <v>0</v>
      </c>
      <c r="Z46" s="7"/>
      <c r="AA46" s="20"/>
      <c r="AB46" s="7"/>
      <c r="AC46" s="7"/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14">
        <v>6.1539999999999999</v>
      </c>
      <c r="AP46" s="7">
        <v>2338.3969200000001</v>
      </c>
    </row>
    <row r="47" spans="1:42" ht="14.25" customHeight="1">
      <c r="A47" s="9" t="s">
        <v>131</v>
      </c>
      <c r="B47" s="15">
        <v>0</v>
      </c>
      <c r="C47" s="15">
        <v>0</v>
      </c>
      <c r="D47" s="10">
        <v>0</v>
      </c>
      <c r="E47" s="15">
        <v>0</v>
      </c>
      <c r="F47" s="15">
        <v>0</v>
      </c>
      <c r="G47" s="10">
        <v>0</v>
      </c>
      <c r="H47" s="17"/>
      <c r="I47" s="17"/>
      <c r="J47" s="11"/>
      <c r="K47" s="15">
        <v>0</v>
      </c>
      <c r="L47" s="15">
        <v>0</v>
      </c>
      <c r="M47" s="10">
        <v>0</v>
      </c>
      <c r="N47" s="10">
        <v>0</v>
      </c>
      <c r="O47" s="15">
        <v>0</v>
      </c>
      <c r="P47" s="15">
        <v>377.92599999999999</v>
      </c>
      <c r="Q47" s="10">
        <v>0</v>
      </c>
      <c r="R47" s="15">
        <v>0</v>
      </c>
      <c r="S47" s="15">
        <v>0</v>
      </c>
      <c r="T47" s="15">
        <v>417.36200000000002</v>
      </c>
      <c r="U47" s="10">
        <v>0</v>
      </c>
      <c r="V47" s="15">
        <v>0</v>
      </c>
      <c r="W47" s="15">
        <v>0</v>
      </c>
      <c r="X47" s="15">
        <v>0</v>
      </c>
      <c r="Y47" s="10">
        <v>0</v>
      </c>
      <c r="Z47" s="10"/>
      <c r="AA47" s="18"/>
      <c r="AB47" s="10"/>
      <c r="AC47" s="10"/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5">
        <v>0</v>
      </c>
      <c r="AP47" s="10">
        <v>0</v>
      </c>
    </row>
    <row r="48" spans="1:42" ht="14.25" customHeight="1">
      <c r="A48" s="6" t="s">
        <v>46</v>
      </c>
      <c r="B48" s="14">
        <v>0</v>
      </c>
      <c r="C48" s="14">
        <v>0</v>
      </c>
      <c r="D48" s="7">
        <v>0</v>
      </c>
      <c r="E48" s="14">
        <v>0</v>
      </c>
      <c r="F48" s="14">
        <v>0</v>
      </c>
      <c r="G48" s="7">
        <v>0</v>
      </c>
      <c r="H48" s="19"/>
      <c r="I48" s="19"/>
      <c r="J48" s="8"/>
      <c r="K48" s="14">
        <v>0</v>
      </c>
      <c r="L48" s="14">
        <v>0</v>
      </c>
      <c r="M48" s="7">
        <v>0</v>
      </c>
      <c r="N48" s="7">
        <v>0</v>
      </c>
      <c r="O48" s="14">
        <v>0</v>
      </c>
      <c r="P48" s="14">
        <v>372.89100000000002</v>
      </c>
      <c r="Q48" s="7">
        <v>0</v>
      </c>
      <c r="R48" s="14">
        <v>0</v>
      </c>
      <c r="S48" s="14">
        <v>0</v>
      </c>
      <c r="T48" s="14">
        <v>386.83699999999999</v>
      </c>
      <c r="U48" s="7">
        <v>0</v>
      </c>
      <c r="V48" s="14">
        <v>0</v>
      </c>
      <c r="W48" s="14">
        <v>0</v>
      </c>
      <c r="X48" s="14">
        <v>0</v>
      </c>
      <c r="Y48" s="7">
        <v>0</v>
      </c>
      <c r="Z48" s="7"/>
      <c r="AA48" s="20"/>
      <c r="AB48" s="7"/>
      <c r="AC48" s="7"/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14">
        <v>0</v>
      </c>
      <c r="AP48" s="7">
        <v>0</v>
      </c>
    </row>
    <row r="49" spans="1:42" ht="14.25" customHeight="1">
      <c r="A49" s="9" t="s">
        <v>132</v>
      </c>
      <c r="B49" s="15">
        <v>0</v>
      </c>
      <c r="C49" s="15">
        <v>0</v>
      </c>
      <c r="D49" s="10">
        <v>0</v>
      </c>
      <c r="E49" s="15">
        <v>0</v>
      </c>
      <c r="F49" s="15">
        <v>0</v>
      </c>
      <c r="G49" s="10">
        <v>0</v>
      </c>
      <c r="H49" s="17"/>
      <c r="I49" s="17"/>
      <c r="J49" s="11"/>
      <c r="K49" s="15">
        <v>0</v>
      </c>
      <c r="L49" s="15">
        <v>0</v>
      </c>
      <c r="M49" s="10">
        <v>0</v>
      </c>
      <c r="N49" s="10">
        <v>0</v>
      </c>
      <c r="O49" s="15">
        <v>0</v>
      </c>
      <c r="P49" s="15">
        <v>376</v>
      </c>
      <c r="Q49" s="10">
        <v>0</v>
      </c>
      <c r="R49" s="15">
        <v>0</v>
      </c>
      <c r="S49" s="15">
        <v>0</v>
      </c>
      <c r="T49" s="15">
        <v>388.20699999999999</v>
      </c>
      <c r="U49" s="10">
        <v>0</v>
      </c>
      <c r="V49" s="15">
        <v>0</v>
      </c>
      <c r="W49" s="15">
        <v>0</v>
      </c>
      <c r="X49" s="15">
        <v>0</v>
      </c>
      <c r="Y49" s="10">
        <v>0</v>
      </c>
      <c r="Z49" s="10"/>
      <c r="AA49" s="18"/>
      <c r="AB49" s="10"/>
      <c r="AC49" s="10"/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5">
        <v>0</v>
      </c>
      <c r="AP49" s="10">
        <v>0</v>
      </c>
    </row>
    <row r="50" spans="1:42" ht="14.25" customHeight="1">
      <c r="A50" s="6" t="s">
        <v>133</v>
      </c>
      <c r="B50" s="14">
        <v>0</v>
      </c>
      <c r="C50" s="14">
        <v>0</v>
      </c>
      <c r="D50" s="7">
        <v>0</v>
      </c>
      <c r="E50" s="14">
        <v>0</v>
      </c>
      <c r="F50" s="14">
        <v>0</v>
      </c>
      <c r="G50" s="7">
        <v>0</v>
      </c>
      <c r="H50" s="19"/>
      <c r="I50" s="19"/>
      <c r="J50" s="8"/>
      <c r="K50" s="14">
        <v>0</v>
      </c>
      <c r="L50" s="14">
        <v>0</v>
      </c>
      <c r="M50" s="7">
        <v>0</v>
      </c>
      <c r="N50" s="7">
        <v>0</v>
      </c>
      <c r="O50" s="14">
        <v>0</v>
      </c>
      <c r="P50" s="14">
        <v>398</v>
      </c>
      <c r="Q50" s="7">
        <v>0</v>
      </c>
      <c r="R50" s="14">
        <v>0</v>
      </c>
      <c r="S50" s="14">
        <v>0</v>
      </c>
      <c r="T50" s="14">
        <v>416.41300000000001</v>
      </c>
      <c r="U50" s="7">
        <v>0</v>
      </c>
      <c r="V50" s="14">
        <v>0</v>
      </c>
      <c r="W50" s="14">
        <v>0</v>
      </c>
      <c r="X50" s="14">
        <v>0</v>
      </c>
      <c r="Y50" s="7">
        <v>0</v>
      </c>
      <c r="Z50" s="7"/>
      <c r="AA50" s="20"/>
      <c r="AB50" s="7"/>
      <c r="AC50" s="7"/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14">
        <v>0</v>
      </c>
      <c r="AP50" s="7">
        <v>0</v>
      </c>
    </row>
    <row r="51" spans="1:42" ht="14.25" customHeight="1">
      <c r="A51" s="9" t="s">
        <v>134</v>
      </c>
      <c r="B51" s="15">
        <v>0</v>
      </c>
      <c r="C51" s="15">
        <v>0</v>
      </c>
      <c r="D51" s="10">
        <v>0</v>
      </c>
      <c r="E51" s="15">
        <v>0</v>
      </c>
      <c r="F51" s="15">
        <v>0</v>
      </c>
      <c r="G51" s="10">
        <v>0</v>
      </c>
      <c r="H51" s="17"/>
      <c r="I51" s="17"/>
      <c r="J51" s="11"/>
      <c r="K51" s="15">
        <v>0</v>
      </c>
      <c r="L51" s="15">
        <v>0</v>
      </c>
      <c r="M51" s="10">
        <v>0</v>
      </c>
      <c r="N51" s="10">
        <v>0</v>
      </c>
      <c r="O51" s="15">
        <v>0</v>
      </c>
      <c r="P51" s="15">
        <v>351.64600000000002</v>
      </c>
      <c r="Q51" s="10">
        <v>0</v>
      </c>
      <c r="R51" s="15">
        <v>0</v>
      </c>
      <c r="S51" s="15">
        <v>0</v>
      </c>
      <c r="T51" s="15">
        <v>367.98200000000003</v>
      </c>
      <c r="U51" s="10">
        <v>0</v>
      </c>
      <c r="V51" s="15">
        <v>0</v>
      </c>
      <c r="W51" s="15">
        <v>0</v>
      </c>
      <c r="X51" s="15">
        <v>0</v>
      </c>
      <c r="Y51" s="10">
        <v>0</v>
      </c>
      <c r="Z51" s="10"/>
      <c r="AA51" s="18"/>
      <c r="AB51" s="10"/>
      <c r="AC51" s="10"/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5">
        <v>0</v>
      </c>
      <c r="AP51" s="10">
        <v>0</v>
      </c>
    </row>
    <row r="52" spans="1:42" ht="14.25" customHeight="1">
      <c r="A52" s="6" t="s">
        <v>48</v>
      </c>
      <c r="B52" s="14">
        <v>0</v>
      </c>
      <c r="C52" s="14">
        <v>0</v>
      </c>
      <c r="D52" s="7">
        <v>0</v>
      </c>
      <c r="E52" s="14">
        <v>0</v>
      </c>
      <c r="F52" s="14">
        <v>0</v>
      </c>
      <c r="G52" s="7">
        <v>0</v>
      </c>
      <c r="H52" s="19"/>
      <c r="I52" s="19"/>
      <c r="J52" s="8"/>
      <c r="K52" s="14">
        <v>0</v>
      </c>
      <c r="L52" s="14">
        <v>0</v>
      </c>
      <c r="M52" s="7">
        <v>0</v>
      </c>
      <c r="N52" s="7">
        <v>0</v>
      </c>
      <c r="O52" s="14">
        <v>0</v>
      </c>
      <c r="P52" s="14">
        <v>-80</v>
      </c>
      <c r="Q52" s="7">
        <v>0</v>
      </c>
      <c r="R52" s="14">
        <v>0</v>
      </c>
      <c r="S52" s="14">
        <v>0</v>
      </c>
      <c r="T52" s="14">
        <v>-80</v>
      </c>
      <c r="U52" s="7">
        <v>0</v>
      </c>
      <c r="V52" s="14">
        <v>0</v>
      </c>
      <c r="W52" s="14">
        <v>0</v>
      </c>
      <c r="X52" s="14">
        <v>0</v>
      </c>
      <c r="Y52" s="7">
        <v>0</v>
      </c>
      <c r="Z52" s="7"/>
      <c r="AA52" s="20"/>
      <c r="AB52" s="7"/>
      <c r="AC52" s="7"/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14">
        <v>0</v>
      </c>
      <c r="AP52" s="7">
        <v>0</v>
      </c>
    </row>
    <row r="53" spans="1:42" ht="14.25" customHeight="1">
      <c r="A53" s="9" t="s">
        <v>135</v>
      </c>
      <c r="B53" s="15">
        <v>0</v>
      </c>
      <c r="C53" s="15">
        <v>0</v>
      </c>
      <c r="D53" s="10">
        <v>0</v>
      </c>
      <c r="E53" s="15">
        <v>0</v>
      </c>
      <c r="F53" s="15">
        <v>0</v>
      </c>
      <c r="G53" s="10">
        <v>0</v>
      </c>
      <c r="H53" s="17"/>
      <c r="I53" s="17"/>
      <c r="J53" s="11"/>
      <c r="K53" s="15">
        <v>0</v>
      </c>
      <c r="L53" s="15">
        <v>0</v>
      </c>
      <c r="M53" s="10">
        <v>0</v>
      </c>
      <c r="N53" s="10">
        <v>0</v>
      </c>
      <c r="O53" s="15">
        <v>0</v>
      </c>
      <c r="P53" s="15">
        <v>87.802999999999997</v>
      </c>
      <c r="Q53" s="10">
        <v>0</v>
      </c>
      <c r="R53" s="15">
        <v>0</v>
      </c>
      <c r="S53" s="15">
        <v>0</v>
      </c>
      <c r="T53" s="15">
        <v>167.68</v>
      </c>
      <c r="U53" s="10">
        <v>0</v>
      </c>
      <c r="V53" s="15">
        <v>0</v>
      </c>
      <c r="W53" s="15">
        <v>0</v>
      </c>
      <c r="X53" s="15">
        <v>0</v>
      </c>
      <c r="Y53" s="10">
        <v>0</v>
      </c>
      <c r="Z53" s="10"/>
      <c r="AA53" s="18"/>
      <c r="AB53" s="10"/>
      <c r="AC53" s="10"/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5">
        <v>0</v>
      </c>
      <c r="AP53" s="10">
        <v>0</v>
      </c>
    </row>
    <row r="54" spans="1:42" ht="14.25" customHeight="1">
      <c r="A54" s="6" t="s">
        <v>136</v>
      </c>
      <c r="B54" s="14">
        <v>0</v>
      </c>
      <c r="C54" s="14">
        <v>0</v>
      </c>
      <c r="D54" s="7">
        <v>0</v>
      </c>
      <c r="E54" s="14">
        <v>0</v>
      </c>
      <c r="F54" s="14">
        <v>0</v>
      </c>
      <c r="G54" s="7">
        <v>0</v>
      </c>
      <c r="H54" s="19"/>
      <c r="I54" s="19"/>
      <c r="J54" s="8"/>
      <c r="K54" s="14">
        <v>0</v>
      </c>
      <c r="L54" s="14">
        <v>0</v>
      </c>
      <c r="M54" s="7">
        <v>0</v>
      </c>
      <c r="N54" s="7">
        <v>0</v>
      </c>
      <c r="O54" s="14">
        <v>0</v>
      </c>
      <c r="P54" s="14">
        <v>54.773000000000003</v>
      </c>
      <c r="Q54" s="7">
        <v>0</v>
      </c>
      <c r="R54" s="14">
        <v>0</v>
      </c>
      <c r="S54" s="14">
        <v>0</v>
      </c>
      <c r="T54" s="14">
        <v>137.53700000000001</v>
      </c>
      <c r="U54" s="7">
        <v>0</v>
      </c>
      <c r="V54" s="14">
        <v>0</v>
      </c>
      <c r="W54" s="14">
        <v>0</v>
      </c>
      <c r="X54" s="14">
        <v>0</v>
      </c>
      <c r="Y54" s="7">
        <v>0</v>
      </c>
      <c r="Z54" s="7"/>
      <c r="AA54" s="20"/>
      <c r="AB54" s="7"/>
      <c r="AC54" s="7"/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14">
        <v>0</v>
      </c>
      <c r="AP54" s="7">
        <v>0</v>
      </c>
    </row>
    <row r="55" spans="1:42" ht="14.25" customHeight="1">
      <c r="A55" s="9" t="s">
        <v>137</v>
      </c>
      <c r="B55" s="15">
        <v>0</v>
      </c>
      <c r="C55" s="15">
        <v>0</v>
      </c>
      <c r="D55" s="10">
        <v>0</v>
      </c>
      <c r="E55" s="15">
        <v>0</v>
      </c>
      <c r="F55" s="15">
        <v>0</v>
      </c>
      <c r="G55" s="10">
        <v>0</v>
      </c>
      <c r="H55" s="17"/>
      <c r="I55" s="17"/>
      <c r="J55" s="11"/>
      <c r="K55" s="15">
        <v>0</v>
      </c>
      <c r="L55" s="15">
        <v>0</v>
      </c>
      <c r="M55" s="10">
        <v>0</v>
      </c>
      <c r="N55" s="10">
        <v>0</v>
      </c>
      <c r="O55" s="15">
        <v>0</v>
      </c>
      <c r="P55" s="15">
        <v>106.9</v>
      </c>
      <c r="Q55" s="10">
        <v>0</v>
      </c>
      <c r="R55" s="15">
        <v>0</v>
      </c>
      <c r="S55" s="15">
        <v>0</v>
      </c>
      <c r="T55" s="15">
        <v>188.87700000000001</v>
      </c>
      <c r="U55" s="10">
        <v>0</v>
      </c>
      <c r="V55" s="15">
        <v>0</v>
      </c>
      <c r="W55" s="15">
        <v>0</v>
      </c>
      <c r="X55" s="15">
        <v>0</v>
      </c>
      <c r="Y55" s="10">
        <v>0</v>
      </c>
      <c r="Z55" s="10"/>
      <c r="AA55" s="18"/>
      <c r="AB55" s="10"/>
      <c r="AC55" s="10"/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5">
        <v>0</v>
      </c>
      <c r="AP55" s="10">
        <v>0</v>
      </c>
    </row>
    <row r="56" spans="1:42" ht="14.25" customHeight="1">
      <c r="A56" s="6" t="s">
        <v>49</v>
      </c>
      <c r="B56" s="14">
        <v>0</v>
      </c>
      <c r="C56" s="14">
        <v>0</v>
      </c>
      <c r="D56" s="7">
        <v>0</v>
      </c>
      <c r="E56" s="14">
        <v>0</v>
      </c>
      <c r="F56" s="14">
        <v>0</v>
      </c>
      <c r="G56" s="7">
        <v>0</v>
      </c>
      <c r="H56" s="19"/>
      <c r="I56" s="19"/>
      <c r="J56" s="8"/>
      <c r="K56" s="14">
        <v>0</v>
      </c>
      <c r="L56" s="14">
        <v>0</v>
      </c>
      <c r="M56" s="7">
        <v>0</v>
      </c>
      <c r="N56" s="7">
        <v>0</v>
      </c>
      <c r="O56" s="14">
        <v>0</v>
      </c>
      <c r="P56" s="14">
        <v>329.71699999999998</v>
      </c>
      <c r="Q56" s="7">
        <v>0</v>
      </c>
      <c r="R56" s="14">
        <v>0</v>
      </c>
      <c r="S56" s="14">
        <v>0</v>
      </c>
      <c r="T56" s="14">
        <v>440.48899999999998</v>
      </c>
      <c r="U56" s="7">
        <v>0</v>
      </c>
      <c r="V56" s="14">
        <v>0</v>
      </c>
      <c r="W56" s="14">
        <v>0</v>
      </c>
      <c r="X56" s="14">
        <v>0</v>
      </c>
      <c r="Y56" s="7">
        <v>0</v>
      </c>
      <c r="Z56" s="7"/>
      <c r="AA56" s="20"/>
      <c r="AB56" s="7"/>
      <c r="AC56" s="7"/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14">
        <v>0</v>
      </c>
      <c r="AP56" s="7">
        <v>0</v>
      </c>
    </row>
    <row r="57" spans="1:42" ht="14.25" customHeight="1">
      <c r="A57" s="9" t="s">
        <v>138</v>
      </c>
      <c r="B57" s="15">
        <v>0</v>
      </c>
      <c r="C57" s="15">
        <v>0</v>
      </c>
      <c r="D57" s="10">
        <v>0</v>
      </c>
      <c r="E57" s="15">
        <v>0</v>
      </c>
      <c r="F57" s="15">
        <v>0</v>
      </c>
      <c r="G57" s="10">
        <v>0</v>
      </c>
      <c r="H57" s="17"/>
      <c r="I57" s="17"/>
      <c r="J57" s="11"/>
      <c r="K57" s="15">
        <v>0</v>
      </c>
      <c r="L57" s="15">
        <v>0</v>
      </c>
      <c r="M57" s="10">
        <v>0</v>
      </c>
      <c r="N57" s="10">
        <v>0</v>
      </c>
      <c r="O57" s="15">
        <v>2.726</v>
      </c>
      <c r="P57" s="15">
        <v>360</v>
      </c>
      <c r="Q57" s="10">
        <v>981.36</v>
      </c>
      <c r="R57" s="15">
        <v>0</v>
      </c>
      <c r="S57" s="15">
        <v>0</v>
      </c>
      <c r="T57" s="15">
        <v>466.20400000000001</v>
      </c>
      <c r="U57" s="10">
        <v>0</v>
      </c>
      <c r="V57" s="15">
        <v>0</v>
      </c>
      <c r="W57" s="15">
        <v>0</v>
      </c>
      <c r="X57" s="15">
        <v>0</v>
      </c>
      <c r="Y57" s="10">
        <v>0</v>
      </c>
      <c r="Z57" s="10"/>
      <c r="AA57" s="18"/>
      <c r="AB57" s="10"/>
      <c r="AC57" s="10"/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5">
        <v>2.726</v>
      </c>
      <c r="AP57" s="10">
        <v>981.36</v>
      </c>
    </row>
    <row r="58" spans="1:42" ht="14.25" customHeight="1">
      <c r="A58" s="6" t="s">
        <v>139</v>
      </c>
      <c r="B58" s="14">
        <v>0</v>
      </c>
      <c r="C58" s="14">
        <v>0</v>
      </c>
      <c r="D58" s="7">
        <v>0</v>
      </c>
      <c r="E58" s="14">
        <v>0</v>
      </c>
      <c r="F58" s="14">
        <v>0</v>
      </c>
      <c r="G58" s="7">
        <v>0</v>
      </c>
      <c r="H58" s="19"/>
      <c r="I58" s="19"/>
      <c r="J58" s="8"/>
      <c r="K58" s="14">
        <v>0</v>
      </c>
      <c r="L58" s="14">
        <v>0</v>
      </c>
      <c r="M58" s="7">
        <v>0</v>
      </c>
      <c r="N58" s="7">
        <v>0</v>
      </c>
      <c r="O58" s="14">
        <v>0</v>
      </c>
      <c r="P58" s="14">
        <v>350.1</v>
      </c>
      <c r="Q58" s="7">
        <v>0</v>
      </c>
      <c r="R58" s="14">
        <v>0</v>
      </c>
      <c r="S58" s="14">
        <v>0</v>
      </c>
      <c r="T58" s="14">
        <v>388.19900000000001</v>
      </c>
      <c r="U58" s="7">
        <v>0</v>
      </c>
      <c r="V58" s="14">
        <v>0</v>
      </c>
      <c r="W58" s="14">
        <v>0</v>
      </c>
      <c r="X58" s="14">
        <v>0</v>
      </c>
      <c r="Y58" s="7">
        <v>0</v>
      </c>
      <c r="Z58" s="7"/>
      <c r="AA58" s="20"/>
      <c r="AB58" s="7"/>
      <c r="AC58" s="7"/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14">
        <v>0</v>
      </c>
      <c r="AP58" s="7">
        <v>0</v>
      </c>
    </row>
    <row r="59" spans="1:42" ht="14.25" customHeight="1">
      <c r="A59" s="9" t="s">
        <v>140</v>
      </c>
      <c r="B59" s="15">
        <v>0</v>
      </c>
      <c r="C59" s="15">
        <v>0</v>
      </c>
      <c r="D59" s="10">
        <v>0</v>
      </c>
      <c r="E59" s="15">
        <v>0</v>
      </c>
      <c r="F59" s="15">
        <v>0</v>
      </c>
      <c r="G59" s="10">
        <v>0</v>
      </c>
      <c r="H59" s="17"/>
      <c r="I59" s="17"/>
      <c r="J59" s="11"/>
      <c r="K59" s="15">
        <v>0</v>
      </c>
      <c r="L59" s="15">
        <v>0</v>
      </c>
      <c r="M59" s="10">
        <v>0</v>
      </c>
      <c r="N59" s="10">
        <v>0</v>
      </c>
      <c r="O59" s="15">
        <v>0</v>
      </c>
      <c r="P59" s="15">
        <v>366</v>
      </c>
      <c r="Q59" s="10">
        <v>0</v>
      </c>
      <c r="R59" s="15">
        <v>0</v>
      </c>
      <c r="S59" s="15">
        <v>0</v>
      </c>
      <c r="T59" s="15">
        <v>391.63799999999998</v>
      </c>
      <c r="U59" s="10">
        <v>0</v>
      </c>
      <c r="V59" s="15">
        <v>0</v>
      </c>
      <c r="W59" s="15">
        <v>0</v>
      </c>
      <c r="X59" s="15">
        <v>0</v>
      </c>
      <c r="Y59" s="10">
        <v>0</v>
      </c>
      <c r="Z59" s="10"/>
      <c r="AA59" s="18"/>
      <c r="AB59" s="10"/>
      <c r="AC59" s="10"/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5">
        <v>0</v>
      </c>
      <c r="AP59" s="10">
        <v>0</v>
      </c>
    </row>
    <row r="60" spans="1:42" ht="14.25" customHeight="1">
      <c r="A60" s="6" t="s">
        <v>50</v>
      </c>
      <c r="B60" s="14">
        <v>0</v>
      </c>
      <c r="C60" s="14">
        <v>0</v>
      </c>
      <c r="D60" s="7">
        <v>0</v>
      </c>
      <c r="E60" s="14">
        <v>0</v>
      </c>
      <c r="F60" s="14">
        <v>0</v>
      </c>
      <c r="G60" s="7">
        <v>0</v>
      </c>
      <c r="H60" s="19"/>
      <c r="I60" s="19"/>
      <c r="J60" s="8"/>
      <c r="K60" s="14">
        <v>0</v>
      </c>
      <c r="L60" s="14">
        <v>0</v>
      </c>
      <c r="M60" s="7">
        <v>0</v>
      </c>
      <c r="N60" s="7">
        <v>0</v>
      </c>
      <c r="O60" s="14">
        <v>0</v>
      </c>
      <c r="P60" s="14">
        <v>356</v>
      </c>
      <c r="Q60" s="7">
        <v>0</v>
      </c>
      <c r="R60" s="14">
        <v>0</v>
      </c>
      <c r="S60" s="14">
        <v>0</v>
      </c>
      <c r="T60" s="14">
        <v>384.64</v>
      </c>
      <c r="U60" s="7">
        <v>0</v>
      </c>
      <c r="V60" s="14">
        <v>0</v>
      </c>
      <c r="W60" s="14">
        <v>0</v>
      </c>
      <c r="X60" s="14">
        <v>0</v>
      </c>
      <c r="Y60" s="7">
        <v>0</v>
      </c>
      <c r="Z60" s="7"/>
      <c r="AA60" s="20"/>
      <c r="AB60" s="7"/>
      <c r="AC60" s="7"/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14">
        <v>0</v>
      </c>
      <c r="AP60" s="7">
        <v>0</v>
      </c>
    </row>
    <row r="61" spans="1:42" ht="14.25" customHeight="1">
      <c r="A61" s="9" t="s">
        <v>141</v>
      </c>
      <c r="B61" s="15">
        <v>0</v>
      </c>
      <c r="C61" s="15">
        <v>0</v>
      </c>
      <c r="D61" s="10">
        <v>0</v>
      </c>
      <c r="E61" s="15">
        <v>0</v>
      </c>
      <c r="F61" s="15">
        <v>0</v>
      </c>
      <c r="G61" s="10">
        <v>0</v>
      </c>
      <c r="H61" s="17"/>
      <c r="I61" s="17"/>
      <c r="J61" s="11"/>
      <c r="K61" s="15">
        <v>0</v>
      </c>
      <c r="L61" s="15">
        <v>0</v>
      </c>
      <c r="M61" s="10">
        <v>0</v>
      </c>
      <c r="N61" s="10">
        <v>0</v>
      </c>
      <c r="O61" s="15">
        <v>0</v>
      </c>
      <c r="P61" s="15">
        <v>348.33300000000003</v>
      </c>
      <c r="Q61" s="10">
        <v>0</v>
      </c>
      <c r="R61" s="15">
        <v>0</v>
      </c>
      <c r="S61" s="15">
        <v>0</v>
      </c>
      <c r="T61" s="15">
        <v>364.77800000000002</v>
      </c>
      <c r="U61" s="10">
        <v>0</v>
      </c>
      <c r="V61" s="15">
        <v>0</v>
      </c>
      <c r="W61" s="15">
        <v>0</v>
      </c>
      <c r="X61" s="15">
        <v>0</v>
      </c>
      <c r="Y61" s="10">
        <v>0</v>
      </c>
      <c r="Z61" s="10"/>
      <c r="AA61" s="18"/>
      <c r="AB61" s="10"/>
      <c r="AC61" s="10"/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5">
        <v>0</v>
      </c>
      <c r="AP61" s="10">
        <v>0</v>
      </c>
    </row>
    <row r="62" spans="1:42" ht="14.25" customHeight="1">
      <c r="A62" s="6" t="s">
        <v>142</v>
      </c>
      <c r="B62" s="14">
        <v>0</v>
      </c>
      <c r="C62" s="14">
        <v>0</v>
      </c>
      <c r="D62" s="7">
        <v>0</v>
      </c>
      <c r="E62" s="14">
        <v>0</v>
      </c>
      <c r="F62" s="14">
        <v>0</v>
      </c>
      <c r="G62" s="7">
        <v>0</v>
      </c>
      <c r="H62" s="19"/>
      <c r="I62" s="19"/>
      <c r="J62" s="8"/>
      <c r="K62" s="14">
        <v>0</v>
      </c>
      <c r="L62" s="14">
        <v>0</v>
      </c>
      <c r="M62" s="7">
        <v>0</v>
      </c>
      <c r="N62" s="7">
        <v>0</v>
      </c>
      <c r="O62" s="14">
        <v>0</v>
      </c>
      <c r="P62" s="14">
        <v>358.81400000000002</v>
      </c>
      <c r="Q62" s="7">
        <v>0</v>
      </c>
      <c r="R62" s="14">
        <v>0</v>
      </c>
      <c r="S62" s="14">
        <v>0</v>
      </c>
      <c r="T62" s="14">
        <v>372.32600000000002</v>
      </c>
      <c r="U62" s="7">
        <v>0</v>
      </c>
      <c r="V62" s="14">
        <v>0</v>
      </c>
      <c r="W62" s="14">
        <v>0</v>
      </c>
      <c r="X62" s="14">
        <v>0</v>
      </c>
      <c r="Y62" s="7">
        <v>0</v>
      </c>
      <c r="Z62" s="7"/>
      <c r="AA62" s="20"/>
      <c r="AB62" s="7"/>
      <c r="AC62" s="7"/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14">
        <v>0</v>
      </c>
      <c r="AP62" s="7">
        <v>0</v>
      </c>
    </row>
    <row r="63" spans="1:42" ht="14.25" customHeight="1">
      <c r="A63" s="9" t="s">
        <v>143</v>
      </c>
      <c r="B63" s="15">
        <v>0</v>
      </c>
      <c r="C63" s="15">
        <v>0</v>
      </c>
      <c r="D63" s="10">
        <v>0</v>
      </c>
      <c r="E63" s="15">
        <v>0</v>
      </c>
      <c r="F63" s="15">
        <v>0</v>
      </c>
      <c r="G63" s="10">
        <v>0</v>
      </c>
      <c r="H63" s="17"/>
      <c r="I63" s="17"/>
      <c r="J63" s="11"/>
      <c r="K63" s="15">
        <v>0</v>
      </c>
      <c r="L63" s="15">
        <v>0</v>
      </c>
      <c r="M63" s="10">
        <v>0</v>
      </c>
      <c r="N63" s="10">
        <v>0</v>
      </c>
      <c r="O63" s="15">
        <v>0</v>
      </c>
      <c r="P63" s="15">
        <v>360</v>
      </c>
      <c r="Q63" s="10">
        <v>0</v>
      </c>
      <c r="R63" s="15">
        <v>0</v>
      </c>
      <c r="S63" s="15">
        <v>0</v>
      </c>
      <c r="T63" s="15">
        <v>375.14600000000002</v>
      </c>
      <c r="U63" s="10">
        <v>0</v>
      </c>
      <c r="V63" s="15">
        <v>0</v>
      </c>
      <c r="W63" s="15">
        <v>0</v>
      </c>
      <c r="X63" s="15">
        <v>0</v>
      </c>
      <c r="Y63" s="10">
        <v>0</v>
      </c>
      <c r="Z63" s="10"/>
      <c r="AA63" s="18"/>
      <c r="AB63" s="10"/>
      <c r="AC63" s="10"/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5">
        <v>0</v>
      </c>
      <c r="AP63" s="10">
        <v>0</v>
      </c>
    </row>
    <row r="64" spans="1:42" ht="14.25" customHeight="1">
      <c r="A64" s="6" t="s">
        <v>51</v>
      </c>
      <c r="B64" s="14">
        <v>0</v>
      </c>
      <c r="C64" s="14">
        <v>0</v>
      </c>
      <c r="D64" s="7">
        <v>0</v>
      </c>
      <c r="E64" s="14">
        <v>0</v>
      </c>
      <c r="F64" s="14">
        <v>0</v>
      </c>
      <c r="G64" s="7">
        <v>0</v>
      </c>
      <c r="H64" s="19"/>
      <c r="I64" s="19"/>
      <c r="J64" s="8"/>
      <c r="K64" s="14">
        <v>0</v>
      </c>
      <c r="L64" s="14">
        <v>0</v>
      </c>
      <c r="M64" s="7">
        <v>0</v>
      </c>
      <c r="N64" s="7">
        <v>0</v>
      </c>
      <c r="O64" s="14">
        <v>0</v>
      </c>
      <c r="P64" s="14">
        <v>359.82100000000003</v>
      </c>
      <c r="Q64" s="7">
        <v>0</v>
      </c>
      <c r="R64" s="14">
        <v>0</v>
      </c>
      <c r="S64" s="14">
        <v>0</v>
      </c>
      <c r="T64" s="14">
        <v>374.822</v>
      </c>
      <c r="U64" s="7">
        <v>0</v>
      </c>
      <c r="V64" s="14">
        <v>0</v>
      </c>
      <c r="W64" s="14">
        <v>0</v>
      </c>
      <c r="X64" s="14">
        <v>0</v>
      </c>
      <c r="Y64" s="7">
        <v>0</v>
      </c>
      <c r="Z64" s="7"/>
      <c r="AA64" s="20"/>
      <c r="AB64" s="7"/>
      <c r="AC64" s="7"/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14">
        <v>0</v>
      </c>
      <c r="AP64" s="7">
        <v>0</v>
      </c>
    </row>
    <row r="65" spans="1:42" ht="14.25" customHeight="1">
      <c r="A65" s="9" t="s">
        <v>144</v>
      </c>
      <c r="B65" s="15">
        <v>0</v>
      </c>
      <c r="C65" s="15">
        <v>0</v>
      </c>
      <c r="D65" s="10">
        <v>0</v>
      </c>
      <c r="E65" s="15">
        <v>0</v>
      </c>
      <c r="F65" s="15">
        <v>0</v>
      </c>
      <c r="G65" s="10">
        <v>0</v>
      </c>
      <c r="H65" s="17"/>
      <c r="I65" s="17"/>
      <c r="J65" s="11"/>
      <c r="K65" s="15">
        <v>0</v>
      </c>
      <c r="L65" s="15">
        <v>0</v>
      </c>
      <c r="M65" s="10">
        <v>0</v>
      </c>
      <c r="N65" s="10">
        <v>0</v>
      </c>
      <c r="O65" s="15">
        <v>0</v>
      </c>
      <c r="P65" s="15">
        <v>354</v>
      </c>
      <c r="Q65" s="10">
        <v>0</v>
      </c>
      <c r="R65" s="15">
        <v>0</v>
      </c>
      <c r="S65" s="15">
        <v>0</v>
      </c>
      <c r="T65" s="15">
        <v>365.85</v>
      </c>
      <c r="U65" s="10">
        <v>0</v>
      </c>
      <c r="V65" s="15">
        <v>0</v>
      </c>
      <c r="W65" s="15">
        <v>0</v>
      </c>
      <c r="X65" s="15">
        <v>0</v>
      </c>
      <c r="Y65" s="10">
        <v>0</v>
      </c>
      <c r="Z65" s="10"/>
      <c r="AA65" s="18"/>
      <c r="AB65" s="10"/>
      <c r="AC65" s="10"/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5">
        <v>0</v>
      </c>
      <c r="AP65" s="10">
        <v>0</v>
      </c>
    </row>
    <row r="66" spans="1:42" ht="14.25" customHeight="1">
      <c r="A66" s="6" t="s">
        <v>145</v>
      </c>
      <c r="B66" s="14">
        <v>0</v>
      </c>
      <c r="C66" s="14">
        <v>0</v>
      </c>
      <c r="D66" s="7">
        <v>0</v>
      </c>
      <c r="E66" s="14">
        <v>0</v>
      </c>
      <c r="F66" s="14">
        <v>0</v>
      </c>
      <c r="G66" s="7">
        <v>0</v>
      </c>
      <c r="H66" s="19"/>
      <c r="I66" s="19"/>
      <c r="J66" s="8"/>
      <c r="K66" s="14">
        <v>0</v>
      </c>
      <c r="L66" s="14">
        <v>0</v>
      </c>
      <c r="M66" s="7">
        <v>0</v>
      </c>
      <c r="N66" s="7">
        <v>0</v>
      </c>
      <c r="O66" s="14">
        <v>0</v>
      </c>
      <c r="P66" s="14">
        <v>358</v>
      </c>
      <c r="Q66" s="7">
        <v>0</v>
      </c>
      <c r="R66" s="14">
        <v>0</v>
      </c>
      <c r="S66" s="14">
        <v>0</v>
      </c>
      <c r="T66" s="14">
        <v>367.423</v>
      </c>
      <c r="U66" s="7">
        <v>0</v>
      </c>
      <c r="V66" s="14">
        <v>0</v>
      </c>
      <c r="W66" s="14">
        <v>0</v>
      </c>
      <c r="X66" s="14">
        <v>0</v>
      </c>
      <c r="Y66" s="7">
        <v>0</v>
      </c>
      <c r="Z66" s="7"/>
      <c r="AA66" s="20"/>
      <c r="AB66" s="7"/>
      <c r="AC66" s="7"/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14">
        <v>0</v>
      </c>
      <c r="AP66" s="7">
        <v>0</v>
      </c>
    </row>
    <row r="67" spans="1:42" ht="14.25" customHeight="1">
      <c r="A67" s="9" t="s">
        <v>146</v>
      </c>
      <c r="B67" s="15">
        <v>0</v>
      </c>
      <c r="C67" s="15">
        <v>0</v>
      </c>
      <c r="D67" s="10">
        <v>0</v>
      </c>
      <c r="E67" s="15">
        <v>0</v>
      </c>
      <c r="F67" s="15">
        <v>0</v>
      </c>
      <c r="G67" s="10">
        <v>0</v>
      </c>
      <c r="H67" s="17"/>
      <c r="I67" s="17"/>
      <c r="J67" s="11"/>
      <c r="K67" s="15">
        <v>0</v>
      </c>
      <c r="L67" s="15">
        <v>0</v>
      </c>
      <c r="M67" s="10">
        <v>0</v>
      </c>
      <c r="N67" s="10">
        <v>0</v>
      </c>
      <c r="O67" s="15">
        <v>0</v>
      </c>
      <c r="P67" s="15">
        <v>377</v>
      </c>
      <c r="Q67" s="10">
        <v>0</v>
      </c>
      <c r="R67" s="15">
        <v>0</v>
      </c>
      <c r="S67" s="15">
        <v>0</v>
      </c>
      <c r="T67" s="15">
        <v>381.23700000000002</v>
      </c>
      <c r="U67" s="10">
        <v>0</v>
      </c>
      <c r="V67" s="15">
        <v>0</v>
      </c>
      <c r="W67" s="15">
        <v>0</v>
      </c>
      <c r="X67" s="15">
        <v>0</v>
      </c>
      <c r="Y67" s="10">
        <v>0</v>
      </c>
      <c r="Z67" s="10"/>
      <c r="AA67" s="18"/>
      <c r="AB67" s="10"/>
      <c r="AC67" s="10"/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5">
        <v>0</v>
      </c>
      <c r="AP67" s="10">
        <v>0</v>
      </c>
    </row>
    <row r="68" spans="1:42" ht="14.25" customHeight="1">
      <c r="A68" s="6" t="s">
        <v>52</v>
      </c>
      <c r="B68" s="14">
        <v>0</v>
      </c>
      <c r="C68" s="14">
        <v>0</v>
      </c>
      <c r="D68" s="7">
        <v>0</v>
      </c>
      <c r="E68" s="14">
        <v>0</v>
      </c>
      <c r="F68" s="14">
        <v>0</v>
      </c>
      <c r="G68" s="7">
        <v>0</v>
      </c>
      <c r="H68" s="19"/>
      <c r="I68" s="19"/>
      <c r="J68" s="8"/>
      <c r="K68" s="14">
        <v>0</v>
      </c>
      <c r="L68" s="14">
        <v>0</v>
      </c>
      <c r="M68" s="7">
        <v>0</v>
      </c>
      <c r="N68" s="7">
        <v>0</v>
      </c>
      <c r="O68" s="14">
        <v>0</v>
      </c>
      <c r="P68" s="14">
        <v>384.76400000000001</v>
      </c>
      <c r="Q68" s="7">
        <v>0</v>
      </c>
      <c r="R68" s="14">
        <v>0</v>
      </c>
      <c r="S68" s="14">
        <v>0</v>
      </c>
      <c r="T68" s="14">
        <v>385.73899999999998</v>
      </c>
      <c r="U68" s="7">
        <v>0</v>
      </c>
      <c r="V68" s="14">
        <v>0</v>
      </c>
      <c r="W68" s="14">
        <v>0</v>
      </c>
      <c r="X68" s="14">
        <v>0</v>
      </c>
      <c r="Y68" s="7">
        <v>0</v>
      </c>
      <c r="Z68" s="7"/>
      <c r="AA68" s="20"/>
      <c r="AB68" s="7"/>
      <c r="AC68" s="7"/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14">
        <v>0</v>
      </c>
      <c r="AP68" s="7">
        <v>0</v>
      </c>
    </row>
    <row r="69" spans="1:42" ht="14.25" customHeight="1">
      <c r="A69" s="9" t="s">
        <v>147</v>
      </c>
      <c r="B69" s="15">
        <v>0</v>
      </c>
      <c r="C69" s="15">
        <v>0</v>
      </c>
      <c r="D69" s="10">
        <v>0</v>
      </c>
      <c r="E69" s="15">
        <v>0</v>
      </c>
      <c r="F69" s="15">
        <v>0</v>
      </c>
      <c r="G69" s="10">
        <v>0</v>
      </c>
      <c r="H69" s="17"/>
      <c r="I69" s="17"/>
      <c r="J69" s="11"/>
      <c r="K69" s="15">
        <v>0</v>
      </c>
      <c r="L69" s="15">
        <v>0</v>
      </c>
      <c r="M69" s="10">
        <v>0</v>
      </c>
      <c r="N69" s="10">
        <v>0</v>
      </c>
      <c r="O69" s="15">
        <v>0</v>
      </c>
      <c r="P69" s="15">
        <v>394</v>
      </c>
      <c r="Q69" s="10">
        <v>0</v>
      </c>
      <c r="R69" s="15">
        <v>0</v>
      </c>
      <c r="S69" s="15">
        <v>0</v>
      </c>
      <c r="T69" s="15">
        <v>394</v>
      </c>
      <c r="U69" s="10">
        <v>0</v>
      </c>
      <c r="V69" s="15">
        <v>0</v>
      </c>
      <c r="W69" s="15">
        <v>0</v>
      </c>
      <c r="X69" s="15">
        <v>0</v>
      </c>
      <c r="Y69" s="10">
        <v>0</v>
      </c>
      <c r="Z69" s="10"/>
      <c r="AA69" s="18"/>
      <c r="AB69" s="10"/>
      <c r="AC69" s="10"/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5">
        <v>0</v>
      </c>
      <c r="AP69" s="10">
        <v>0</v>
      </c>
    </row>
    <row r="70" spans="1:42" ht="14.25" customHeight="1">
      <c r="A70" s="6" t="s">
        <v>148</v>
      </c>
      <c r="B70" s="14">
        <v>0</v>
      </c>
      <c r="C70" s="14">
        <v>0</v>
      </c>
      <c r="D70" s="7">
        <v>0</v>
      </c>
      <c r="E70" s="14">
        <v>0</v>
      </c>
      <c r="F70" s="14">
        <v>0</v>
      </c>
      <c r="G70" s="7">
        <v>0</v>
      </c>
      <c r="H70" s="19"/>
      <c r="I70" s="19"/>
      <c r="J70" s="8"/>
      <c r="K70" s="14">
        <v>0</v>
      </c>
      <c r="L70" s="14">
        <v>0</v>
      </c>
      <c r="M70" s="7">
        <v>0</v>
      </c>
      <c r="N70" s="7">
        <v>0</v>
      </c>
      <c r="O70" s="14">
        <v>0</v>
      </c>
      <c r="P70" s="14">
        <v>394</v>
      </c>
      <c r="Q70" s="7">
        <v>0</v>
      </c>
      <c r="R70" s="14">
        <v>0</v>
      </c>
      <c r="S70" s="14">
        <v>0</v>
      </c>
      <c r="T70" s="14">
        <v>394</v>
      </c>
      <c r="U70" s="7">
        <v>0</v>
      </c>
      <c r="V70" s="14">
        <v>0</v>
      </c>
      <c r="W70" s="14">
        <v>0</v>
      </c>
      <c r="X70" s="14">
        <v>0</v>
      </c>
      <c r="Y70" s="7">
        <v>0</v>
      </c>
      <c r="Z70" s="7"/>
      <c r="AA70" s="20"/>
      <c r="AB70" s="7"/>
      <c r="AC70" s="7"/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14">
        <v>0</v>
      </c>
      <c r="AP70" s="7">
        <v>0</v>
      </c>
    </row>
    <row r="71" spans="1:42" ht="14.25" customHeight="1">
      <c r="A71" s="9" t="s">
        <v>149</v>
      </c>
      <c r="B71" s="15">
        <v>0</v>
      </c>
      <c r="C71" s="15">
        <v>0</v>
      </c>
      <c r="D71" s="10">
        <v>0</v>
      </c>
      <c r="E71" s="15">
        <v>0</v>
      </c>
      <c r="F71" s="15">
        <v>0</v>
      </c>
      <c r="G71" s="10">
        <v>0</v>
      </c>
      <c r="H71" s="17"/>
      <c r="I71" s="17"/>
      <c r="J71" s="11"/>
      <c r="K71" s="15">
        <v>0</v>
      </c>
      <c r="L71" s="15">
        <v>0</v>
      </c>
      <c r="M71" s="10">
        <v>0</v>
      </c>
      <c r="N71" s="10">
        <v>0</v>
      </c>
      <c r="O71" s="15">
        <v>0</v>
      </c>
      <c r="P71" s="15">
        <v>402.81799999999998</v>
      </c>
      <c r="Q71" s="10">
        <v>0</v>
      </c>
      <c r="R71" s="15">
        <v>0</v>
      </c>
      <c r="S71" s="15">
        <v>0</v>
      </c>
      <c r="T71" s="15">
        <v>402.82</v>
      </c>
      <c r="U71" s="10">
        <v>0</v>
      </c>
      <c r="V71" s="15">
        <v>0</v>
      </c>
      <c r="W71" s="15">
        <v>0</v>
      </c>
      <c r="X71" s="15">
        <v>0</v>
      </c>
      <c r="Y71" s="10">
        <v>0</v>
      </c>
      <c r="Z71" s="10"/>
      <c r="AA71" s="18"/>
      <c r="AB71" s="10"/>
      <c r="AC71" s="10"/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5">
        <v>0</v>
      </c>
      <c r="AP71" s="10">
        <v>0</v>
      </c>
    </row>
    <row r="72" spans="1:42" ht="14.25" customHeight="1">
      <c r="A72" s="6" t="s">
        <v>53</v>
      </c>
      <c r="B72" s="14">
        <v>0</v>
      </c>
      <c r="C72" s="14">
        <v>0</v>
      </c>
      <c r="D72" s="7">
        <v>0</v>
      </c>
      <c r="E72" s="14">
        <v>0</v>
      </c>
      <c r="F72" s="14">
        <v>0</v>
      </c>
      <c r="G72" s="7">
        <v>0</v>
      </c>
      <c r="H72" s="19"/>
      <c r="I72" s="19"/>
      <c r="J72" s="8"/>
      <c r="K72" s="14">
        <v>0</v>
      </c>
      <c r="L72" s="14">
        <v>0</v>
      </c>
      <c r="M72" s="7">
        <v>0</v>
      </c>
      <c r="N72" s="7">
        <v>0</v>
      </c>
      <c r="O72" s="14">
        <v>0</v>
      </c>
      <c r="P72" s="14">
        <v>408</v>
      </c>
      <c r="Q72" s="7">
        <v>0</v>
      </c>
      <c r="R72" s="14">
        <v>0</v>
      </c>
      <c r="S72" s="14">
        <v>0</v>
      </c>
      <c r="T72" s="14">
        <v>408</v>
      </c>
      <c r="U72" s="7">
        <v>0</v>
      </c>
      <c r="V72" s="14">
        <v>0</v>
      </c>
      <c r="W72" s="14">
        <v>0</v>
      </c>
      <c r="X72" s="14">
        <v>0</v>
      </c>
      <c r="Y72" s="7">
        <v>0</v>
      </c>
      <c r="Z72" s="7"/>
      <c r="AA72" s="20"/>
      <c r="AB72" s="7"/>
      <c r="AC72" s="7"/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14">
        <v>0</v>
      </c>
      <c r="AP72" s="7">
        <v>0</v>
      </c>
    </row>
    <row r="73" spans="1:42" ht="14.25" customHeight="1">
      <c r="A73" s="9" t="s">
        <v>150</v>
      </c>
      <c r="B73" s="15">
        <v>0</v>
      </c>
      <c r="C73" s="15">
        <v>0</v>
      </c>
      <c r="D73" s="10">
        <v>0</v>
      </c>
      <c r="E73" s="15">
        <v>0</v>
      </c>
      <c r="F73" s="15">
        <v>0</v>
      </c>
      <c r="G73" s="10">
        <v>0</v>
      </c>
      <c r="H73" s="17"/>
      <c r="I73" s="17"/>
      <c r="J73" s="11"/>
      <c r="K73" s="15">
        <v>0</v>
      </c>
      <c r="L73" s="15">
        <v>0</v>
      </c>
      <c r="M73" s="10">
        <v>0</v>
      </c>
      <c r="N73" s="10">
        <v>0</v>
      </c>
      <c r="O73" s="15">
        <v>0</v>
      </c>
      <c r="P73" s="15">
        <v>404</v>
      </c>
      <c r="Q73" s="10">
        <v>0</v>
      </c>
      <c r="R73" s="15">
        <v>0</v>
      </c>
      <c r="S73" s="15">
        <v>0</v>
      </c>
      <c r="T73" s="15">
        <v>404</v>
      </c>
      <c r="U73" s="10">
        <v>0</v>
      </c>
      <c r="V73" s="15">
        <v>0</v>
      </c>
      <c r="W73" s="15">
        <v>0</v>
      </c>
      <c r="X73" s="15">
        <v>0</v>
      </c>
      <c r="Y73" s="10">
        <v>0</v>
      </c>
      <c r="Z73" s="10"/>
      <c r="AA73" s="18"/>
      <c r="AB73" s="10"/>
      <c r="AC73" s="10"/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5">
        <v>0</v>
      </c>
      <c r="AP73" s="10">
        <v>0</v>
      </c>
    </row>
    <row r="74" spans="1:42" ht="14.25" customHeight="1">
      <c r="A74" s="6" t="s">
        <v>151</v>
      </c>
      <c r="B74" s="14">
        <v>0</v>
      </c>
      <c r="C74" s="14">
        <v>0</v>
      </c>
      <c r="D74" s="7">
        <v>0</v>
      </c>
      <c r="E74" s="14">
        <v>0</v>
      </c>
      <c r="F74" s="14">
        <v>0</v>
      </c>
      <c r="G74" s="7">
        <v>0</v>
      </c>
      <c r="H74" s="19"/>
      <c r="I74" s="19"/>
      <c r="J74" s="8"/>
      <c r="K74" s="14">
        <v>0</v>
      </c>
      <c r="L74" s="14">
        <v>0</v>
      </c>
      <c r="M74" s="7">
        <v>0</v>
      </c>
      <c r="N74" s="7">
        <v>0</v>
      </c>
      <c r="O74" s="14">
        <v>3.165</v>
      </c>
      <c r="P74" s="14">
        <v>405</v>
      </c>
      <c r="Q74" s="7">
        <v>1281.825</v>
      </c>
      <c r="R74" s="14">
        <v>0</v>
      </c>
      <c r="S74" s="14">
        <v>0</v>
      </c>
      <c r="T74" s="14">
        <v>405</v>
      </c>
      <c r="U74" s="7">
        <v>0</v>
      </c>
      <c r="V74" s="14">
        <v>0</v>
      </c>
      <c r="W74" s="14">
        <v>0</v>
      </c>
      <c r="X74" s="14">
        <v>0</v>
      </c>
      <c r="Y74" s="7">
        <v>0</v>
      </c>
      <c r="Z74" s="7"/>
      <c r="AA74" s="20"/>
      <c r="AB74" s="7"/>
      <c r="AC74" s="7"/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14">
        <v>3.165</v>
      </c>
      <c r="AP74" s="7">
        <v>1281.825</v>
      </c>
    </row>
    <row r="75" spans="1:42" ht="14.25" customHeight="1">
      <c r="A75" s="9" t="s">
        <v>152</v>
      </c>
      <c r="B75" s="15">
        <v>0</v>
      </c>
      <c r="C75" s="15">
        <v>0</v>
      </c>
      <c r="D75" s="10">
        <v>0</v>
      </c>
      <c r="E75" s="15">
        <v>0</v>
      </c>
      <c r="F75" s="15">
        <v>0</v>
      </c>
      <c r="G75" s="10">
        <v>0</v>
      </c>
      <c r="H75" s="17"/>
      <c r="I75" s="17"/>
      <c r="J75" s="11"/>
      <c r="K75" s="15">
        <v>0</v>
      </c>
      <c r="L75" s="15">
        <v>0</v>
      </c>
      <c r="M75" s="10">
        <v>0</v>
      </c>
      <c r="N75" s="10">
        <v>0</v>
      </c>
      <c r="O75" s="15">
        <v>1.4950000000000001</v>
      </c>
      <c r="P75" s="15">
        <v>428.5</v>
      </c>
      <c r="Q75" s="10">
        <v>640.60749999999996</v>
      </c>
      <c r="R75" s="15">
        <v>0</v>
      </c>
      <c r="S75" s="15">
        <v>0</v>
      </c>
      <c r="T75" s="15">
        <v>428.5</v>
      </c>
      <c r="U75" s="10">
        <v>0</v>
      </c>
      <c r="V75" s="15">
        <v>0</v>
      </c>
      <c r="W75" s="15">
        <v>0</v>
      </c>
      <c r="X75" s="15">
        <v>0</v>
      </c>
      <c r="Y75" s="10">
        <v>0</v>
      </c>
      <c r="Z75" s="10"/>
      <c r="AA75" s="18"/>
      <c r="AB75" s="10"/>
      <c r="AC75" s="10"/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5">
        <v>1.4950000000000001</v>
      </c>
      <c r="AP75" s="10">
        <v>640.60749999999996</v>
      </c>
    </row>
    <row r="76" spans="1:42" ht="14.25" customHeight="1">
      <c r="A76" s="6" t="s">
        <v>54</v>
      </c>
      <c r="B76" s="14">
        <v>0</v>
      </c>
      <c r="C76" s="14">
        <v>0</v>
      </c>
      <c r="D76" s="7">
        <v>0</v>
      </c>
      <c r="E76" s="14">
        <v>0</v>
      </c>
      <c r="F76" s="14">
        <v>0</v>
      </c>
      <c r="G76" s="7">
        <v>0</v>
      </c>
      <c r="H76" s="19"/>
      <c r="I76" s="19"/>
      <c r="J76" s="8"/>
      <c r="K76" s="14">
        <v>0</v>
      </c>
      <c r="L76" s="14">
        <v>0</v>
      </c>
      <c r="M76" s="7">
        <v>0</v>
      </c>
      <c r="N76" s="7">
        <v>0</v>
      </c>
      <c r="O76" s="14">
        <v>0</v>
      </c>
      <c r="P76" s="14">
        <v>433.33300000000003</v>
      </c>
      <c r="Q76" s="7">
        <v>0</v>
      </c>
      <c r="R76" s="14">
        <v>0</v>
      </c>
      <c r="S76" s="14">
        <v>0</v>
      </c>
      <c r="T76" s="14">
        <v>433.33</v>
      </c>
      <c r="U76" s="7">
        <v>0</v>
      </c>
      <c r="V76" s="14">
        <v>0</v>
      </c>
      <c r="W76" s="14">
        <v>0</v>
      </c>
      <c r="X76" s="14">
        <v>0</v>
      </c>
      <c r="Y76" s="7">
        <v>0</v>
      </c>
      <c r="Z76" s="7"/>
      <c r="AA76" s="20"/>
      <c r="AB76" s="7"/>
      <c r="AC76" s="7"/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14">
        <v>0</v>
      </c>
      <c r="AP76" s="7">
        <v>0</v>
      </c>
    </row>
    <row r="77" spans="1:42" ht="14.25" customHeight="1">
      <c r="A77" s="9" t="s">
        <v>153</v>
      </c>
      <c r="B77" s="15">
        <v>0</v>
      </c>
      <c r="C77" s="15">
        <v>0</v>
      </c>
      <c r="D77" s="10">
        <v>0</v>
      </c>
      <c r="E77" s="15">
        <v>0</v>
      </c>
      <c r="F77" s="15">
        <v>0</v>
      </c>
      <c r="G77" s="10">
        <v>0</v>
      </c>
      <c r="H77" s="17"/>
      <c r="I77" s="17"/>
      <c r="J77" s="11"/>
      <c r="K77" s="15">
        <v>0</v>
      </c>
      <c r="L77" s="15">
        <v>0</v>
      </c>
      <c r="M77" s="10">
        <v>0</v>
      </c>
      <c r="N77" s="10">
        <v>0</v>
      </c>
      <c r="O77" s="15">
        <v>0</v>
      </c>
      <c r="P77" s="15">
        <v>448</v>
      </c>
      <c r="Q77" s="10">
        <v>0</v>
      </c>
      <c r="R77" s="15">
        <v>0</v>
      </c>
      <c r="S77" s="15">
        <v>0</v>
      </c>
      <c r="T77" s="15">
        <v>448</v>
      </c>
      <c r="U77" s="10">
        <v>0</v>
      </c>
      <c r="V77" s="15">
        <v>0</v>
      </c>
      <c r="W77" s="15">
        <v>0</v>
      </c>
      <c r="X77" s="15">
        <v>0</v>
      </c>
      <c r="Y77" s="10">
        <v>0</v>
      </c>
      <c r="Z77" s="10"/>
      <c r="AA77" s="18"/>
      <c r="AB77" s="10"/>
      <c r="AC77" s="10"/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5">
        <v>0</v>
      </c>
      <c r="AP77" s="10">
        <v>0</v>
      </c>
    </row>
    <row r="78" spans="1:42" ht="14.25" customHeight="1">
      <c r="A78" s="6" t="s">
        <v>154</v>
      </c>
      <c r="B78" s="14">
        <v>0</v>
      </c>
      <c r="C78" s="14">
        <v>0</v>
      </c>
      <c r="D78" s="7">
        <v>0</v>
      </c>
      <c r="E78" s="14">
        <v>0</v>
      </c>
      <c r="F78" s="14">
        <v>0</v>
      </c>
      <c r="G78" s="7">
        <v>0</v>
      </c>
      <c r="H78" s="19"/>
      <c r="I78" s="19"/>
      <c r="J78" s="8"/>
      <c r="K78" s="14">
        <v>0</v>
      </c>
      <c r="L78" s="14">
        <v>0</v>
      </c>
      <c r="M78" s="7">
        <v>0</v>
      </c>
      <c r="N78" s="7">
        <v>0</v>
      </c>
      <c r="O78" s="14">
        <v>0</v>
      </c>
      <c r="P78" s="14">
        <v>441</v>
      </c>
      <c r="Q78" s="7">
        <v>0</v>
      </c>
      <c r="R78" s="14">
        <v>0</v>
      </c>
      <c r="S78" s="14">
        <v>0</v>
      </c>
      <c r="T78" s="14">
        <v>441</v>
      </c>
      <c r="U78" s="7">
        <v>0</v>
      </c>
      <c r="V78" s="14">
        <v>0</v>
      </c>
      <c r="W78" s="14">
        <v>0</v>
      </c>
      <c r="X78" s="14">
        <v>0</v>
      </c>
      <c r="Y78" s="7">
        <v>0</v>
      </c>
      <c r="Z78" s="7"/>
      <c r="AA78" s="20"/>
      <c r="AB78" s="7"/>
      <c r="AC78" s="7"/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14">
        <v>0</v>
      </c>
      <c r="AP78" s="7">
        <v>0</v>
      </c>
    </row>
    <row r="79" spans="1:42" ht="14.25" customHeight="1">
      <c r="A79" s="9" t="s">
        <v>155</v>
      </c>
      <c r="B79" s="15">
        <v>0</v>
      </c>
      <c r="C79" s="15">
        <v>0</v>
      </c>
      <c r="D79" s="10">
        <v>0</v>
      </c>
      <c r="E79" s="15">
        <v>0</v>
      </c>
      <c r="F79" s="15">
        <v>0</v>
      </c>
      <c r="G79" s="10">
        <v>0</v>
      </c>
      <c r="H79" s="17"/>
      <c r="I79" s="17"/>
      <c r="J79" s="11"/>
      <c r="K79" s="15">
        <v>0</v>
      </c>
      <c r="L79" s="15">
        <v>0</v>
      </c>
      <c r="M79" s="10">
        <v>0</v>
      </c>
      <c r="N79" s="10">
        <v>0</v>
      </c>
      <c r="O79" s="15">
        <v>0</v>
      </c>
      <c r="P79" s="15">
        <v>446.5</v>
      </c>
      <c r="Q79" s="10">
        <v>0</v>
      </c>
      <c r="R79" s="15">
        <v>0</v>
      </c>
      <c r="S79" s="15">
        <v>0</v>
      </c>
      <c r="T79" s="15">
        <v>446.5</v>
      </c>
      <c r="U79" s="10">
        <v>0</v>
      </c>
      <c r="V79" s="15">
        <v>0</v>
      </c>
      <c r="W79" s="15">
        <v>0</v>
      </c>
      <c r="X79" s="15">
        <v>0</v>
      </c>
      <c r="Y79" s="10">
        <v>0</v>
      </c>
      <c r="Z79" s="10"/>
      <c r="AA79" s="18"/>
      <c r="AB79" s="10"/>
      <c r="AC79" s="10"/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5">
        <v>0</v>
      </c>
      <c r="AP79" s="10">
        <v>0</v>
      </c>
    </row>
    <row r="80" spans="1:42" ht="14.25" customHeight="1">
      <c r="A80" s="6" t="s">
        <v>55</v>
      </c>
      <c r="B80" s="14">
        <v>0</v>
      </c>
      <c r="C80" s="14">
        <v>0</v>
      </c>
      <c r="D80" s="7">
        <v>0</v>
      </c>
      <c r="E80" s="14">
        <v>0</v>
      </c>
      <c r="F80" s="14">
        <v>0</v>
      </c>
      <c r="G80" s="7">
        <v>0</v>
      </c>
      <c r="H80" s="19"/>
      <c r="I80" s="19"/>
      <c r="J80" s="8"/>
      <c r="K80" s="14">
        <v>0</v>
      </c>
      <c r="L80" s="14">
        <v>0</v>
      </c>
      <c r="M80" s="7">
        <v>0</v>
      </c>
      <c r="N80" s="7">
        <v>0</v>
      </c>
      <c r="O80" s="14">
        <v>0</v>
      </c>
      <c r="P80" s="14">
        <v>447</v>
      </c>
      <c r="Q80" s="7">
        <v>0</v>
      </c>
      <c r="R80" s="14">
        <v>0</v>
      </c>
      <c r="S80" s="14">
        <v>0</v>
      </c>
      <c r="T80" s="14">
        <v>447</v>
      </c>
      <c r="U80" s="7">
        <v>0</v>
      </c>
      <c r="V80" s="14">
        <v>0</v>
      </c>
      <c r="W80" s="14">
        <v>0</v>
      </c>
      <c r="X80" s="14">
        <v>0</v>
      </c>
      <c r="Y80" s="7">
        <v>0</v>
      </c>
      <c r="Z80" s="7"/>
      <c r="AA80" s="20"/>
      <c r="AB80" s="7"/>
      <c r="AC80" s="7"/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14">
        <v>0</v>
      </c>
      <c r="AP80" s="7">
        <v>0</v>
      </c>
    </row>
    <row r="81" spans="1:42" ht="14.25" customHeight="1">
      <c r="A81" s="9" t="s">
        <v>156</v>
      </c>
      <c r="B81" s="15">
        <v>0</v>
      </c>
      <c r="C81" s="15">
        <v>0</v>
      </c>
      <c r="D81" s="10">
        <v>0</v>
      </c>
      <c r="E81" s="15">
        <v>0</v>
      </c>
      <c r="F81" s="15">
        <v>0</v>
      </c>
      <c r="G81" s="10">
        <v>0</v>
      </c>
      <c r="H81" s="17"/>
      <c r="I81" s="17"/>
      <c r="J81" s="11"/>
      <c r="K81" s="15">
        <v>0</v>
      </c>
      <c r="L81" s="15">
        <v>0</v>
      </c>
      <c r="M81" s="10">
        <v>0</v>
      </c>
      <c r="N81" s="10">
        <v>0</v>
      </c>
      <c r="O81" s="15">
        <v>3.077</v>
      </c>
      <c r="P81" s="15">
        <v>449.33300000000003</v>
      </c>
      <c r="Q81" s="10">
        <v>1382.5976410000001</v>
      </c>
      <c r="R81" s="15">
        <v>0</v>
      </c>
      <c r="S81" s="15">
        <v>0</v>
      </c>
      <c r="T81" s="15">
        <v>449.33</v>
      </c>
      <c r="U81" s="10">
        <v>0</v>
      </c>
      <c r="V81" s="15">
        <v>0</v>
      </c>
      <c r="W81" s="15">
        <v>0</v>
      </c>
      <c r="X81" s="15">
        <v>0</v>
      </c>
      <c r="Y81" s="10">
        <v>0</v>
      </c>
      <c r="Z81" s="10"/>
      <c r="AA81" s="18"/>
      <c r="AB81" s="10"/>
      <c r="AC81" s="10"/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5">
        <v>3.077</v>
      </c>
      <c r="AP81" s="10">
        <v>1382.5976410000001</v>
      </c>
    </row>
    <row r="82" spans="1:42" ht="14.25" customHeight="1">
      <c r="A82" s="6" t="s">
        <v>157</v>
      </c>
      <c r="B82" s="14">
        <v>0</v>
      </c>
      <c r="C82" s="14">
        <v>0</v>
      </c>
      <c r="D82" s="7">
        <v>0</v>
      </c>
      <c r="E82" s="14">
        <v>0</v>
      </c>
      <c r="F82" s="14">
        <v>0</v>
      </c>
      <c r="G82" s="7">
        <v>0</v>
      </c>
      <c r="H82" s="19"/>
      <c r="I82" s="19"/>
      <c r="J82" s="8"/>
      <c r="K82" s="14">
        <v>0</v>
      </c>
      <c r="L82" s="14">
        <v>0</v>
      </c>
      <c r="M82" s="7">
        <v>0</v>
      </c>
      <c r="N82" s="7">
        <v>0</v>
      </c>
      <c r="O82" s="14">
        <v>6.8579999999999997</v>
      </c>
      <c r="P82" s="14">
        <v>448</v>
      </c>
      <c r="Q82" s="7">
        <v>3072.384</v>
      </c>
      <c r="R82" s="14">
        <v>0</v>
      </c>
      <c r="S82" s="14">
        <v>0</v>
      </c>
      <c r="T82" s="14">
        <v>448</v>
      </c>
      <c r="U82" s="7">
        <v>0</v>
      </c>
      <c r="V82" s="14">
        <v>0</v>
      </c>
      <c r="W82" s="14">
        <v>0</v>
      </c>
      <c r="X82" s="14">
        <v>0</v>
      </c>
      <c r="Y82" s="7">
        <v>0</v>
      </c>
      <c r="Z82" s="7"/>
      <c r="AA82" s="20"/>
      <c r="AB82" s="7"/>
      <c r="AC82" s="7"/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14">
        <v>6.8579999999999997</v>
      </c>
      <c r="AP82" s="7">
        <v>3072.384</v>
      </c>
    </row>
    <row r="83" spans="1:42" ht="14.25" customHeight="1">
      <c r="A83" s="9" t="s">
        <v>158</v>
      </c>
      <c r="B83" s="15">
        <v>0</v>
      </c>
      <c r="C83" s="15">
        <v>0</v>
      </c>
      <c r="D83" s="10">
        <v>0</v>
      </c>
      <c r="E83" s="15">
        <v>0</v>
      </c>
      <c r="F83" s="15">
        <v>0</v>
      </c>
      <c r="G83" s="10">
        <v>0</v>
      </c>
      <c r="H83" s="17"/>
      <c r="I83" s="17"/>
      <c r="J83" s="11"/>
      <c r="K83" s="15">
        <v>0</v>
      </c>
      <c r="L83" s="15">
        <v>0</v>
      </c>
      <c r="M83" s="10">
        <v>0</v>
      </c>
      <c r="N83" s="10">
        <v>0</v>
      </c>
      <c r="O83" s="15">
        <v>6.8579999999999997</v>
      </c>
      <c r="P83" s="15">
        <v>446</v>
      </c>
      <c r="Q83" s="10">
        <v>3058.6680000000001</v>
      </c>
      <c r="R83" s="15">
        <v>0</v>
      </c>
      <c r="S83" s="15">
        <v>0</v>
      </c>
      <c r="T83" s="15">
        <v>446</v>
      </c>
      <c r="U83" s="10">
        <v>0</v>
      </c>
      <c r="V83" s="15">
        <v>0</v>
      </c>
      <c r="W83" s="15">
        <v>0</v>
      </c>
      <c r="X83" s="15">
        <v>0</v>
      </c>
      <c r="Y83" s="10">
        <v>0</v>
      </c>
      <c r="Z83" s="10"/>
      <c r="AA83" s="18"/>
      <c r="AB83" s="10"/>
      <c r="AC83" s="10"/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5">
        <v>6.8579999999999997</v>
      </c>
      <c r="AP83" s="10">
        <v>3058.6680000000001</v>
      </c>
    </row>
    <row r="84" spans="1:42" ht="14.25" customHeight="1">
      <c r="A84" s="6" t="s">
        <v>56</v>
      </c>
      <c r="B84" s="14">
        <v>0</v>
      </c>
      <c r="C84" s="14">
        <v>0</v>
      </c>
      <c r="D84" s="7">
        <v>0</v>
      </c>
      <c r="E84" s="14">
        <v>0</v>
      </c>
      <c r="F84" s="14">
        <v>0</v>
      </c>
      <c r="G84" s="7">
        <v>0</v>
      </c>
      <c r="H84" s="19"/>
      <c r="I84" s="19"/>
      <c r="J84" s="8"/>
      <c r="K84" s="14">
        <v>0</v>
      </c>
      <c r="L84" s="14">
        <v>0</v>
      </c>
      <c r="M84" s="7">
        <v>0</v>
      </c>
      <c r="N84" s="7">
        <v>0</v>
      </c>
      <c r="O84" s="14">
        <v>3.7810000000000001</v>
      </c>
      <c r="P84" s="14">
        <v>447</v>
      </c>
      <c r="Q84" s="7">
        <v>1690.107</v>
      </c>
      <c r="R84" s="14">
        <v>0</v>
      </c>
      <c r="S84" s="14">
        <v>0</v>
      </c>
      <c r="T84" s="14">
        <v>447</v>
      </c>
      <c r="U84" s="7">
        <v>0</v>
      </c>
      <c r="V84" s="14">
        <v>0</v>
      </c>
      <c r="W84" s="14">
        <v>0</v>
      </c>
      <c r="X84" s="14">
        <v>0</v>
      </c>
      <c r="Y84" s="7">
        <v>0</v>
      </c>
      <c r="Z84" s="7"/>
      <c r="AA84" s="20"/>
      <c r="AB84" s="7"/>
      <c r="AC84" s="7"/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14">
        <v>3.7810000000000001</v>
      </c>
      <c r="AP84" s="7">
        <v>1690.107</v>
      </c>
    </row>
    <row r="85" spans="1:42" ht="14.25" customHeight="1">
      <c r="A85" s="9" t="s">
        <v>159</v>
      </c>
      <c r="B85" s="15">
        <v>0</v>
      </c>
      <c r="C85" s="15">
        <v>0</v>
      </c>
      <c r="D85" s="10">
        <v>0</v>
      </c>
      <c r="E85" s="15">
        <v>0</v>
      </c>
      <c r="F85" s="15">
        <v>0</v>
      </c>
      <c r="G85" s="10">
        <v>0</v>
      </c>
      <c r="H85" s="17"/>
      <c r="I85" s="17"/>
      <c r="J85" s="11"/>
      <c r="K85" s="15">
        <v>0</v>
      </c>
      <c r="L85" s="15">
        <v>0</v>
      </c>
      <c r="M85" s="10">
        <v>0</v>
      </c>
      <c r="N85" s="10">
        <v>0</v>
      </c>
      <c r="O85" s="15">
        <v>0.35199999999999998</v>
      </c>
      <c r="P85" s="15">
        <v>450</v>
      </c>
      <c r="Q85" s="10">
        <v>158.4</v>
      </c>
      <c r="R85" s="15">
        <v>0</v>
      </c>
      <c r="S85" s="15">
        <v>0</v>
      </c>
      <c r="T85" s="15">
        <v>450</v>
      </c>
      <c r="U85" s="10">
        <v>0</v>
      </c>
      <c r="V85" s="15">
        <v>0</v>
      </c>
      <c r="W85" s="15">
        <v>0</v>
      </c>
      <c r="X85" s="15">
        <v>0</v>
      </c>
      <c r="Y85" s="10">
        <v>0</v>
      </c>
      <c r="Z85" s="10"/>
      <c r="AA85" s="18"/>
      <c r="AB85" s="10"/>
      <c r="AC85" s="10"/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5">
        <v>0.35199999999999998</v>
      </c>
      <c r="AP85" s="10">
        <v>158.4</v>
      </c>
    </row>
    <row r="86" spans="1:42" ht="14.25" customHeight="1">
      <c r="A86" s="6" t="s">
        <v>160</v>
      </c>
      <c r="B86" s="14">
        <v>0</v>
      </c>
      <c r="C86" s="14">
        <v>0</v>
      </c>
      <c r="D86" s="7">
        <v>0</v>
      </c>
      <c r="E86" s="14">
        <v>0</v>
      </c>
      <c r="F86" s="14">
        <v>0</v>
      </c>
      <c r="G86" s="7">
        <v>0</v>
      </c>
      <c r="H86" s="19"/>
      <c r="I86" s="19"/>
      <c r="J86" s="8"/>
      <c r="K86" s="14">
        <v>0</v>
      </c>
      <c r="L86" s="14">
        <v>0</v>
      </c>
      <c r="M86" s="7">
        <v>0</v>
      </c>
      <c r="N86" s="7">
        <v>0</v>
      </c>
      <c r="O86" s="14">
        <v>0.44</v>
      </c>
      <c r="P86" s="14">
        <v>450</v>
      </c>
      <c r="Q86" s="7">
        <v>198</v>
      </c>
      <c r="R86" s="14">
        <v>0</v>
      </c>
      <c r="S86" s="14">
        <v>0</v>
      </c>
      <c r="T86" s="14">
        <v>450</v>
      </c>
      <c r="U86" s="7">
        <v>0</v>
      </c>
      <c r="V86" s="14">
        <v>0</v>
      </c>
      <c r="W86" s="14">
        <v>0</v>
      </c>
      <c r="X86" s="14">
        <v>0</v>
      </c>
      <c r="Y86" s="7">
        <v>0</v>
      </c>
      <c r="Z86" s="7"/>
      <c r="AA86" s="20"/>
      <c r="AB86" s="7"/>
      <c r="AC86" s="7"/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14">
        <v>0.44</v>
      </c>
      <c r="AP86" s="7">
        <v>198</v>
      </c>
    </row>
    <row r="87" spans="1:42" ht="14.25" customHeight="1">
      <c r="A87" s="9" t="s">
        <v>161</v>
      </c>
      <c r="B87" s="15">
        <v>0</v>
      </c>
      <c r="C87" s="15">
        <v>0</v>
      </c>
      <c r="D87" s="10">
        <v>0</v>
      </c>
      <c r="E87" s="15">
        <v>0</v>
      </c>
      <c r="F87" s="15">
        <v>0</v>
      </c>
      <c r="G87" s="10">
        <v>0</v>
      </c>
      <c r="H87" s="17"/>
      <c r="I87" s="17"/>
      <c r="J87" s="11"/>
      <c r="K87" s="15">
        <v>0</v>
      </c>
      <c r="L87" s="15">
        <v>0</v>
      </c>
      <c r="M87" s="10">
        <v>0</v>
      </c>
      <c r="N87" s="10">
        <v>0</v>
      </c>
      <c r="O87" s="15">
        <v>0.35199999999999998</v>
      </c>
      <c r="P87" s="15">
        <v>451</v>
      </c>
      <c r="Q87" s="10">
        <v>158.75200000000001</v>
      </c>
      <c r="R87" s="15">
        <v>0</v>
      </c>
      <c r="S87" s="15">
        <v>0</v>
      </c>
      <c r="T87" s="15">
        <v>451</v>
      </c>
      <c r="U87" s="10">
        <v>0</v>
      </c>
      <c r="V87" s="15">
        <v>0</v>
      </c>
      <c r="W87" s="15">
        <v>0</v>
      </c>
      <c r="X87" s="15">
        <v>0</v>
      </c>
      <c r="Y87" s="10">
        <v>0</v>
      </c>
      <c r="Z87" s="10"/>
      <c r="AA87" s="18"/>
      <c r="AB87" s="10"/>
      <c r="AC87" s="10"/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5">
        <v>0.35199999999999998</v>
      </c>
      <c r="AP87" s="10">
        <v>158.75200000000001</v>
      </c>
    </row>
    <row r="88" spans="1:42" ht="14.25" customHeight="1">
      <c r="A88" s="6" t="s">
        <v>57</v>
      </c>
      <c r="B88" s="14">
        <v>0</v>
      </c>
      <c r="C88" s="14">
        <v>0</v>
      </c>
      <c r="D88" s="7">
        <v>0</v>
      </c>
      <c r="E88" s="14">
        <v>0</v>
      </c>
      <c r="F88" s="14">
        <v>0</v>
      </c>
      <c r="G88" s="7">
        <v>0</v>
      </c>
      <c r="H88" s="19"/>
      <c r="I88" s="19"/>
      <c r="J88" s="8"/>
      <c r="K88" s="14">
        <v>0</v>
      </c>
      <c r="L88" s="14">
        <v>0</v>
      </c>
      <c r="M88" s="7">
        <v>0</v>
      </c>
      <c r="N88" s="7">
        <v>0</v>
      </c>
      <c r="O88" s="14">
        <v>0.35199999999999998</v>
      </c>
      <c r="P88" s="14">
        <v>453</v>
      </c>
      <c r="Q88" s="7">
        <v>159.45599999999999</v>
      </c>
      <c r="R88" s="14">
        <v>0</v>
      </c>
      <c r="S88" s="14">
        <v>0</v>
      </c>
      <c r="T88" s="14">
        <v>453</v>
      </c>
      <c r="U88" s="7">
        <v>0</v>
      </c>
      <c r="V88" s="14">
        <v>0</v>
      </c>
      <c r="W88" s="14">
        <v>0</v>
      </c>
      <c r="X88" s="14">
        <v>0</v>
      </c>
      <c r="Y88" s="7">
        <v>0</v>
      </c>
      <c r="Z88" s="7"/>
      <c r="AA88" s="20"/>
      <c r="AB88" s="7"/>
      <c r="AC88" s="7"/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14">
        <v>0.35199999999999998</v>
      </c>
      <c r="AP88" s="7">
        <v>159.45599999999999</v>
      </c>
    </row>
    <row r="89" spans="1:42" ht="14.25" customHeight="1">
      <c r="A89" s="9" t="s">
        <v>162</v>
      </c>
      <c r="B89" s="15">
        <v>0</v>
      </c>
      <c r="C89" s="15">
        <v>0</v>
      </c>
      <c r="D89" s="10">
        <v>0</v>
      </c>
      <c r="E89" s="15">
        <v>0</v>
      </c>
      <c r="F89" s="15">
        <v>0</v>
      </c>
      <c r="G89" s="10">
        <v>0</v>
      </c>
      <c r="H89" s="17"/>
      <c r="I89" s="17"/>
      <c r="J89" s="11"/>
      <c r="K89" s="15">
        <v>0</v>
      </c>
      <c r="L89" s="15">
        <v>0</v>
      </c>
      <c r="M89" s="10">
        <v>0</v>
      </c>
      <c r="N89" s="10">
        <v>0</v>
      </c>
      <c r="O89" s="15">
        <v>0.44</v>
      </c>
      <c r="P89" s="15">
        <v>453</v>
      </c>
      <c r="Q89" s="10">
        <v>199.32</v>
      </c>
      <c r="R89" s="15">
        <v>0</v>
      </c>
      <c r="S89" s="15">
        <v>0</v>
      </c>
      <c r="T89" s="15">
        <v>453</v>
      </c>
      <c r="U89" s="10">
        <v>0</v>
      </c>
      <c r="V89" s="15">
        <v>0</v>
      </c>
      <c r="W89" s="15">
        <v>0</v>
      </c>
      <c r="X89" s="15">
        <v>0</v>
      </c>
      <c r="Y89" s="10">
        <v>0</v>
      </c>
      <c r="Z89" s="10"/>
      <c r="AA89" s="18"/>
      <c r="AB89" s="10"/>
      <c r="AC89" s="10"/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5">
        <v>0.44</v>
      </c>
      <c r="AP89" s="10">
        <v>199.32</v>
      </c>
    </row>
    <row r="90" spans="1:42" ht="14.25" customHeight="1">
      <c r="A90" s="6" t="s">
        <v>163</v>
      </c>
      <c r="B90" s="14">
        <v>0</v>
      </c>
      <c r="C90" s="14">
        <v>0</v>
      </c>
      <c r="D90" s="7">
        <v>0</v>
      </c>
      <c r="E90" s="14">
        <v>0</v>
      </c>
      <c r="F90" s="14">
        <v>0</v>
      </c>
      <c r="G90" s="7">
        <v>0</v>
      </c>
      <c r="H90" s="19"/>
      <c r="I90" s="19"/>
      <c r="J90" s="8"/>
      <c r="K90" s="14">
        <v>0</v>
      </c>
      <c r="L90" s="14">
        <v>0</v>
      </c>
      <c r="M90" s="7">
        <v>0</v>
      </c>
      <c r="N90" s="7">
        <v>0</v>
      </c>
      <c r="O90" s="14">
        <v>8.7999999999999995E-2</v>
      </c>
      <c r="P90" s="14">
        <v>452</v>
      </c>
      <c r="Q90" s="7">
        <v>39.776000000000003</v>
      </c>
      <c r="R90" s="14">
        <v>0</v>
      </c>
      <c r="S90" s="14">
        <v>0</v>
      </c>
      <c r="T90" s="14">
        <v>452</v>
      </c>
      <c r="U90" s="7">
        <v>0</v>
      </c>
      <c r="V90" s="14">
        <v>0</v>
      </c>
      <c r="W90" s="14">
        <v>0</v>
      </c>
      <c r="X90" s="14">
        <v>0</v>
      </c>
      <c r="Y90" s="7">
        <v>0</v>
      </c>
      <c r="Z90" s="7"/>
      <c r="AA90" s="20"/>
      <c r="AB90" s="7"/>
      <c r="AC90" s="7"/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14">
        <v>8.7999999999999995E-2</v>
      </c>
      <c r="AP90" s="7">
        <v>39.776000000000003</v>
      </c>
    </row>
    <row r="91" spans="1:42" ht="14.25" customHeight="1">
      <c r="A91" s="9" t="s">
        <v>164</v>
      </c>
      <c r="B91" s="15">
        <v>0</v>
      </c>
      <c r="C91" s="15">
        <v>0</v>
      </c>
      <c r="D91" s="10">
        <v>0</v>
      </c>
      <c r="E91" s="15">
        <v>0</v>
      </c>
      <c r="F91" s="15">
        <v>0</v>
      </c>
      <c r="G91" s="10">
        <v>0</v>
      </c>
      <c r="H91" s="17"/>
      <c r="I91" s="17"/>
      <c r="J91" s="11"/>
      <c r="K91" s="15">
        <v>0</v>
      </c>
      <c r="L91" s="15">
        <v>0</v>
      </c>
      <c r="M91" s="10">
        <v>0</v>
      </c>
      <c r="N91" s="10">
        <v>0</v>
      </c>
      <c r="O91" s="15">
        <v>0</v>
      </c>
      <c r="P91" s="15">
        <v>454</v>
      </c>
      <c r="Q91" s="10">
        <v>0</v>
      </c>
      <c r="R91" s="15">
        <v>0</v>
      </c>
      <c r="S91" s="15">
        <v>0</v>
      </c>
      <c r="T91" s="15">
        <v>454</v>
      </c>
      <c r="U91" s="10">
        <v>0</v>
      </c>
      <c r="V91" s="15">
        <v>0</v>
      </c>
      <c r="W91" s="15">
        <v>0</v>
      </c>
      <c r="X91" s="15">
        <v>0</v>
      </c>
      <c r="Y91" s="10">
        <v>0</v>
      </c>
      <c r="Z91" s="10"/>
      <c r="AA91" s="18"/>
      <c r="AB91" s="10"/>
      <c r="AC91" s="10"/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5">
        <v>0</v>
      </c>
      <c r="AP91" s="10">
        <v>0</v>
      </c>
    </row>
    <row r="92" spans="1:42" ht="14.25" customHeight="1">
      <c r="A92" s="6" t="s">
        <v>58</v>
      </c>
      <c r="B92" s="14">
        <v>0</v>
      </c>
      <c r="C92" s="14">
        <v>0</v>
      </c>
      <c r="D92" s="7">
        <v>0</v>
      </c>
      <c r="E92" s="14">
        <v>0</v>
      </c>
      <c r="F92" s="14">
        <v>0</v>
      </c>
      <c r="G92" s="7">
        <v>0</v>
      </c>
      <c r="H92" s="19"/>
      <c r="I92" s="19"/>
      <c r="J92" s="8"/>
      <c r="K92" s="14">
        <v>0</v>
      </c>
      <c r="L92" s="14">
        <v>0</v>
      </c>
      <c r="M92" s="7">
        <v>0</v>
      </c>
      <c r="N92" s="7">
        <v>0</v>
      </c>
      <c r="O92" s="14">
        <v>0</v>
      </c>
      <c r="P92" s="14">
        <v>453</v>
      </c>
      <c r="Q92" s="7">
        <v>0</v>
      </c>
      <c r="R92" s="14">
        <v>0</v>
      </c>
      <c r="S92" s="14">
        <v>0</v>
      </c>
      <c r="T92" s="14">
        <v>453</v>
      </c>
      <c r="U92" s="7">
        <v>0</v>
      </c>
      <c r="V92" s="14">
        <v>0</v>
      </c>
      <c r="W92" s="14">
        <v>0</v>
      </c>
      <c r="X92" s="14">
        <v>0</v>
      </c>
      <c r="Y92" s="7">
        <v>0</v>
      </c>
      <c r="Z92" s="7"/>
      <c r="AA92" s="20"/>
      <c r="AB92" s="7"/>
      <c r="AC92" s="7"/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14">
        <v>0</v>
      </c>
      <c r="AP92" s="7">
        <v>0</v>
      </c>
    </row>
    <row r="93" spans="1:42" ht="14.25" customHeight="1">
      <c r="A93" s="9" t="s">
        <v>165</v>
      </c>
      <c r="B93" s="15">
        <v>0</v>
      </c>
      <c r="C93" s="15">
        <v>0</v>
      </c>
      <c r="D93" s="10">
        <v>0</v>
      </c>
      <c r="E93" s="15">
        <v>0</v>
      </c>
      <c r="F93" s="15">
        <v>0</v>
      </c>
      <c r="G93" s="10">
        <v>0</v>
      </c>
      <c r="H93" s="17"/>
      <c r="I93" s="17"/>
      <c r="J93" s="11"/>
      <c r="K93" s="15">
        <v>0</v>
      </c>
      <c r="L93" s="15">
        <v>0</v>
      </c>
      <c r="M93" s="10">
        <v>0</v>
      </c>
      <c r="N93" s="10">
        <v>0</v>
      </c>
      <c r="O93" s="15">
        <v>13.364000000000001</v>
      </c>
      <c r="P93" s="15">
        <v>460.33300000000003</v>
      </c>
      <c r="Q93" s="10">
        <v>6151.8902120000002</v>
      </c>
      <c r="R93" s="15">
        <v>0</v>
      </c>
      <c r="S93" s="15">
        <v>0</v>
      </c>
      <c r="T93" s="15">
        <v>460.33</v>
      </c>
      <c r="U93" s="10">
        <v>0</v>
      </c>
      <c r="V93" s="15">
        <v>0</v>
      </c>
      <c r="W93" s="15">
        <v>0</v>
      </c>
      <c r="X93" s="15">
        <v>0</v>
      </c>
      <c r="Y93" s="10">
        <v>0</v>
      </c>
      <c r="Z93" s="10"/>
      <c r="AA93" s="18"/>
      <c r="AB93" s="10"/>
      <c r="AC93" s="10"/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5">
        <v>13.364000000000001</v>
      </c>
      <c r="AP93" s="10">
        <v>6151.8902120000002</v>
      </c>
    </row>
    <row r="94" spans="1:42" ht="14.25" customHeight="1">
      <c r="A94" s="6" t="s">
        <v>166</v>
      </c>
      <c r="B94" s="14">
        <v>0</v>
      </c>
      <c r="C94" s="14">
        <v>0</v>
      </c>
      <c r="D94" s="7">
        <v>0</v>
      </c>
      <c r="E94" s="14">
        <v>0</v>
      </c>
      <c r="F94" s="14">
        <v>0</v>
      </c>
      <c r="G94" s="7">
        <v>0</v>
      </c>
      <c r="H94" s="19"/>
      <c r="I94" s="19"/>
      <c r="J94" s="8"/>
      <c r="K94" s="14">
        <v>0</v>
      </c>
      <c r="L94" s="14">
        <v>0</v>
      </c>
      <c r="M94" s="7">
        <v>0</v>
      </c>
      <c r="N94" s="7">
        <v>0</v>
      </c>
      <c r="O94" s="14">
        <v>16.439</v>
      </c>
      <c r="P94" s="14">
        <v>461</v>
      </c>
      <c r="Q94" s="7">
        <v>7578.3789999999999</v>
      </c>
      <c r="R94" s="14">
        <v>0</v>
      </c>
      <c r="S94" s="14">
        <v>0</v>
      </c>
      <c r="T94" s="14">
        <v>461</v>
      </c>
      <c r="U94" s="7">
        <v>0</v>
      </c>
      <c r="V94" s="14">
        <v>0</v>
      </c>
      <c r="W94" s="14">
        <v>0</v>
      </c>
      <c r="X94" s="14">
        <v>0</v>
      </c>
      <c r="Y94" s="7">
        <v>0</v>
      </c>
      <c r="Z94" s="7"/>
      <c r="AA94" s="20"/>
      <c r="AB94" s="7"/>
      <c r="AC94" s="7"/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14">
        <v>16.439</v>
      </c>
      <c r="AP94" s="7">
        <v>7578.3789999999999</v>
      </c>
    </row>
    <row r="95" spans="1:42" ht="14.25" customHeight="1">
      <c r="A95" s="9" t="s">
        <v>167</v>
      </c>
      <c r="B95" s="15">
        <v>0</v>
      </c>
      <c r="C95" s="15">
        <v>0</v>
      </c>
      <c r="D95" s="10">
        <v>0</v>
      </c>
      <c r="E95" s="15">
        <v>0</v>
      </c>
      <c r="F95" s="15">
        <v>0</v>
      </c>
      <c r="G95" s="10">
        <v>0</v>
      </c>
      <c r="H95" s="17"/>
      <c r="I95" s="17"/>
      <c r="J95" s="11"/>
      <c r="K95" s="15">
        <v>0</v>
      </c>
      <c r="L95" s="15">
        <v>0</v>
      </c>
      <c r="M95" s="10">
        <v>0</v>
      </c>
      <c r="N95" s="10">
        <v>0</v>
      </c>
      <c r="O95" s="15">
        <v>0.70299999999999996</v>
      </c>
      <c r="P95" s="15">
        <v>459</v>
      </c>
      <c r="Q95" s="10">
        <v>322.67700000000002</v>
      </c>
      <c r="R95" s="15">
        <v>0</v>
      </c>
      <c r="S95" s="15">
        <v>0</v>
      </c>
      <c r="T95" s="15">
        <v>459</v>
      </c>
      <c r="U95" s="10">
        <v>0</v>
      </c>
      <c r="V95" s="15">
        <v>0</v>
      </c>
      <c r="W95" s="15">
        <v>0</v>
      </c>
      <c r="X95" s="15">
        <v>0</v>
      </c>
      <c r="Y95" s="10">
        <v>0</v>
      </c>
      <c r="Z95" s="10"/>
      <c r="AA95" s="18"/>
      <c r="AB95" s="10"/>
      <c r="AC95" s="10"/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5">
        <v>0.70299999999999996</v>
      </c>
      <c r="AP95" s="10">
        <v>322.67700000000002</v>
      </c>
    </row>
    <row r="96" spans="1:42" ht="14.25" customHeight="1">
      <c r="A96" s="6" t="s">
        <v>59</v>
      </c>
      <c r="B96" s="14">
        <v>0</v>
      </c>
      <c r="C96" s="14">
        <v>0</v>
      </c>
      <c r="D96" s="7">
        <v>0</v>
      </c>
      <c r="E96" s="14">
        <v>0</v>
      </c>
      <c r="F96" s="14">
        <v>0</v>
      </c>
      <c r="G96" s="7">
        <v>0</v>
      </c>
      <c r="H96" s="19"/>
      <c r="I96" s="19"/>
      <c r="J96" s="8"/>
      <c r="K96" s="14">
        <v>0</v>
      </c>
      <c r="L96" s="14">
        <v>0</v>
      </c>
      <c r="M96" s="7">
        <v>0</v>
      </c>
      <c r="N96" s="7">
        <v>0</v>
      </c>
      <c r="O96" s="14">
        <v>0</v>
      </c>
      <c r="P96" s="14">
        <v>452</v>
      </c>
      <c r="Q96" s="7">
        <v>0</v>
      </c>
      <c r="R96" s="14">
        <v>0</v>
      </c>
      <c r="S96" s="14">
        <v>0</v>
      </c>
      <c r="T96" s="14">
        <v>452</v>
      </c>
      <c r="U96" s="7">
        <v>0</v>
      </c>
      <c r="V96" s="14">
        <v>0</v>
      </c>
      <c r="W96" s="14">
        <v>0</v>
      </c>
      <c r="X96" s="14">
        <v>0</v>
      </c>
      <c r="Y96" s="7">
        <v>0</v>
      </c>
      <c r="Z96" s="7"/>
      <c r="AA96" s="20"/>
      <c r="AB96" s="7"/>
      <c r="AC96" s="7"/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14">
        <v>0</v>
      </c>
      <c r="AP96" s="7">
        <v>0</v>
      </c>
    </row>
    <row r="97" spans="1:42" ht="14.25" customHeight="1">
      <c r="A97" s="9" t="s">
        <v>168</v>
      </c>
      <c r="B97" s="15">
        <v>0</v>
      </c>
      <c r="C97" s="15">
        <v>0</v>
      </c>
      <c r="D97" s="10">
        <v>0</v>
      </c>
      <c r="E97" s="15">
        <v>0</v>
      </c>
      <c r="F97" s="15">
        <v>0</v>
      </c>
      <c r="G97" s="10">
        <v>0</v>
      </c>
      <c r="H97" s="17"/>
      <c r="I97" s="17"/>
      <c r="J97" s="11"/>
      <c r="K97" s="15">
        <v>0</v>
      </c>
      <c r="L97" s="15">
        <v>0</v>
      </c>
      <c r="M97" s="10">
        <v>0</v>
      </c>
      <c r="N97" s="10">
        <v>0</v>
      </c>
      <c r="O97" s="15">
        <v>0</v>
      </c>
      <c r="P97" s="15">
        <v>454</v>
      </c>
      <c r="Q97" s="10">
        <v>0</v>
      </c>
      <c r="R97" s="15">
        <v>0</v>
      </c>
      <c r="S97" s="15">
        <v>0</v>
      </c>
      <c r="T97" s="15">
        <v>454</v>
      </c>
      <c r="U97" s="10">
        <v>0</v>
      </c>
      <c r="V97" s="15">
        <v>0</v>
      </c>
      <c r="W97" s="15">
        <v>0</v>
      </c>
      <c r="X97" s="15">
        <v>0</v>
      </c>
      <c r="Y97" s="10">
        <v>0</v>
      </c>
      <c r="Z97" s="10"/>
      <c r="AA97" s="18"/>
      <c r="AB97" s="10"/>
      <c r="AC97" s="10"/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5">
        <v>0</v>
      </c>
      <c r="AP97" s="10">
        <v>0</v>
      </c>
    </row>
    <row r="98" spans="1:42" ht="14.25" customHeight="1">
      <c r="A98" s="6" t="s">
        <v>169</v>
      </c>
      <c r="B98" s="14">
        <v>0</v>
      </c>
      <c r="C98" s="14">
        <v>0</v>
      </c>
      <c r="D98" s="7">
        <v>0</v>
      </c>
      <c r="E98" s="14">
        <v>0</v>
      </c>
      <c r="F98" s="14">
        <v>0</v>
      </c>
      <c r="G98" s="7">
        <v>0</v>
      </c>
      <c r="H98" s="19"/>
      <c r="I98" s="19"/>
      <c r="J98" s="8"/>
      <c r="K98" s="14">
        <v>0</v>
      </c>
      <c r="L98" s="14">
        <v>0</v>
      </c>
      <c r="M98" s="7">
        <v>0</v>
      </c>
      <c r="N98" s="7">
        <v>0</v>
      </c>
      <c r="O98" s="14">
        <v>0</v>
      </c>
      <c r="P98" s="14">
        <v>445</v>
      </c>
      <c r="Q98" s="7">
        <v>0</v>
      </c>
      <c r="R98" s="14">
        <v>0</v>
      </c>
      <c r="S98" s="14">
        <v>0</v>
      </c>
      <c r="T98" s="14">
        <v>445</v>
      </c>
      <c r="U98" s="7">
        <v>0</v>
      </c>
      <c r="V98" s="14">
        <v>0</v>
      </c>
      <c r="W98" s="14">
        <v>0</v>
      </c>
      <c r="X98" s="14">
        <v>0</v>
      </c>
      <c r="Y98" s="7">
        <v>0</v>
      </c>
      <c r="Z98" s="7"/>
      <c r="AA98" s="20"/>
      <c r="AB98" s="7"/>
      <c r="AC98" s="7"/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14">
        <v>0</v>
      </c>
      <c r="AP98" s="7">
        <v>0</v>
      </c>
    </row>
    <row r="99" spans="1:42" ht="14.25" customHeight="1">
      <c r="A99" s="9" t="s">
        <v>170</v>
      </c>
      <c r="B99" s="15">
        <v>0</v>
      </c>
      <c r="C99" s="15">
        <v>0</v>
      </c>
      <c r="D99" s="10">
        <v>0</v>
      </c>
      <c r="E99" s="15">
        <v>0</v>
      </c>
      <c r="F99" s="15">
        <v>0</v>
      </c>
      <c r="G99" s="10">
        <v>0</v>
      </c>
      <c r="H99" s="17"/>
      <c r="I99" s="17"/>
      <c r="J99" s="11"/>
      <c r="K99" s="15">
        <v>0</v>
      </c>
      <c r="L99" s="15">
        <v>0</v>
      </c>
      <c r="M99" s="10">
        <v>0</v>
      </c>
      <c r="N99" s="10">
        <v>0</v>
      </c>
      <c r="O99" s="15">
        <v>0</v>
      </c>
      <c r="P99" s="15">
        <v>438</v>
      </c>
      <c r="Q99" s="10">
        <v>0</v>
      </c>
      <c r="R99" s="15">
        <v>0</v>
      </c>
      <c r="S99" s="15">
        <v>0</v>
      </c>
      <c r="T99" s="15">
        <v>438</v>
      </c>
      <c r="U99" s="10">
        <v>0</v>
      </c>
      <c r="V99" s="15">
        <v>0</v>
      </c>
      <c r="W99" s="15">
        <v>0</v>
      </c>
      <c r="X99" s="15">
        <v>0</v>
      </c>
      <c r="Y99" s="10">
        <v>0</v>
      </c>
      <c r="Z99" s="10"/>
      <c r="AA99" s="18"/>
      <c r="AB99" s="10"/>
      <c r="AC99" s="10"/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5">
        <v>0</v>
      </c>
      <c r="AP99" s="10">
        <v>0</v>
      </c>
    </row>
    <row r="100" spans="1:42" ht="14.25" customHeight="1">
      <c r="A100" s="6" t="s">
        <v>60</v>
      </c>
      <c r="B100" s="14">
        <v>0</v>
      </c>
      <c r="C100" s="14">
        <v>0</v>
      </c>
      <c r="D100" s="7">
        <v>0</v>
      </c>
      <c r="E100" s="14">
        <v>0</v>
      </c>
      <c r="F100" s="14">
        <v>0</v>
      </c>
      <c r="G100" s="7">
        <v>0</v>
      </c>
      <c r="H100" s="19"/>
      <c r="I100" s="19"/>
      <c r="J100" s="8"/>
      <c r="K100" s="14">
        <v>0</v>
      </c>
      <c r="L100" s="14">
        <v>0</v>
      </c>
      <c r="M100" s="7">
        <v>0</v>
      </c>
      <c r="N100" s="7">
        <v>0</v>
      </c>
      <c r="O100" s="14">
        <v>0</v>
      </c>
      <c r="P100" s="14">
        <v>432.5</v>
      </c>
      <c r="Q100" s="7">
        <v>0</v>
      </c>
      <c r="R100" s="14">
        <v>0</v>
      </c>
      <c r="S100" s="14">
        <v>0</v>
      </c>
      <c r="T100" s="14">
        <v>432.5</v>
      </c>
      <c r="U100" s="7">
        <v>0</v>
      </c>
      <c r="V100" s="14">
        <v>0</v>
      </c>
      <c r="W100" s="14">
        <v>0</v>
      </c>
      <c r="X100" s="14">
        <v>0</v>
      </c>
      <c r="Y100" s="7">
        <v>0</v>
      </c>
      <c r="Z100" s="7"/>
      <c r="AA100" s="20"/>
      <c r="AB100" s="7"/>
      <c r="AC100" s="7"/>
      <c r="AD100" s="7">
        <v>0</v>
      </c>
      <c r="AE100" s="7">
        <v>0</v>
      </c>
      <c r="AF100" s="7">
        <v>-0.01</v>
      </c>
      <c r="AG100" s="7">
        <v>0</v>
      </c>
      <c r="AH100" s="7">
        <v>0</v>
      </c>
      <c r="AI100" s="7">
        <v>0</v>
      </c>
      <c r="AJ100" s="7">
        <v>12184.2</v>
      </c>
      <c r="AK100" s="7">
        <v>0</v>
      </c>
      <c r="AL100" s="7">
        <v>0</v>
      </c>
      <c r="AM100" s="7">
        <v>0</v>
      </c>
      <c r="AN100" s="7">
        <v>0</v>
      </c>
      <c r="AO100" s="14">
        <v>0</v>
      </c>
      <c r="AP100" s="7">
        <v>12184.19</v>
      </c>
    </row>
    <row r="101" spans="1:42" ht="14.25" customHeight="1">
      <c r="A101" s="9" t="s">
        <v>61</v>
      </c>
      <c r="B101" s="15">
        <f>SUM(B5:B100)</f>
        <v>0</v>
      </c>
      <c r="C101" s="15">
        <v>0</v>
      </c>
      <c r="D101" s="10">
        <f>SUM(D5:D100)</f>
        <v>0</v>
      </c>
      <c r="E101" s="10">
        <f>SUM(E5:E100)</f>
        <v>0</v>
      </c>
      <c r="F101" s="15">
        <v>0</v>
      </c>
      <c r="G101" s="10">
        <f>SUM(G5:G100)</f>
        <v>0</v>
      </c>
      <c r="H101" s="17"/>
      <c r="I101" s="17"/>
      <c r="J101" s="11"/>
      <c r="K101" s="15">
        <f>SUM(K5:K100)</f>
        <v>0</v>
      </c>
      <c r="L101" s="15">
        <f>SUM(L5:L100)</f>
        <v>0</v>
      </c>
      <c r="M101" s="10">
        <f>SUM(M5:M100)</f>
        <v>0</v>
      </c>
      <c r="N101" s="10">
        <f>SUM(N5:N100)</f>
        <v>0</v>
      </c>
      <c r="O101" s="15">
        <f>SUM(O5:O100)</f>
        <v>80.359999999999985</v>
      </c>
      <c r="P101" s="15">
        <f>Q101/O101</f>
        <v>426.44213098556509</v>
      </c>
      <c r="Q101" s="10">
        <f>SUM(Q5:Q100)</f>
        <v>34268.889646000003</v>
      </c>
      <c r="R101" s="15">
        <v>0</v>
      </c>
      <c r="S101" s="15">
        <v>0</v>
      </c>
      <c r="T101" s="15" t="s">
        <v>47</v>
      </c>
      <c r="U101" s="10">
        <f>SUM(U5:U100)</f>
        <v>0</v>
      </c>
      <c r="V101" s="15">
        <f>SUM(V5:V100)</f>
        <v>0</v>
      </c>
      <c r="W101" s="15">
        <v>0</v>
      </c>
      <c r="X101" s="15" t="s">
        <v>47</v>
      </c>
      <c r="Y101" s="10">
        <f>SUM(Y5:Y100)</f>
        <v>0</v>
      </c>
      <c r="Z101" s="10">
        <f>SUM(Z5:Z100)</f>
        <v>0</v>
      </c>
      <c r="AA101" s="10" t="s">
        <v>47</v>
      </c>
      <c r="AB101" s="10">
        <f t="shared" ref="AB101:AP101" si="0">SUM(AB5:AB100)</f>
        <v>0</v>
      </c>
      <c r="AC101" s="10">
        <f t="shared" si="0"/>
        <v>0</v>
      </c>
      <c r="AD101" s="10">
        <f t="shared" si="0"/>
        <v>0</v>
      </c>
      <c r="AE101" s="10">
        <f t="shared" si="0"/>
        <v>0</v>
      </c>
      <c r="AF101" s="10">
        <f t="shared" si="0"/>
        <v>-0.01</v>
      </c>
      <c r="AG101" s="10">
        <f t="shared" si="0"/>
        <v>0</v>
      </c>
      <c r="AH101" s="10">
        <f t="shared" si="0"/>
        <v>0</v>
      </c>
      <c r="AI101" s="10">
        <f t="shared" si="0"/>
        <v>0</v>
      </c>
      <c r="AJ101" s="10">
        <f t="shared" si="0"/>
        <v>12184.2</v>
      </c>
      <c r="AK101" s="10">
        <f t="shared" si="0"/>
        <v>0</v>
      </c>
      <c r="AL101" s="10">
        <f t="shared" si="0"/>
        <v>0</v>
      </c>
      <c r="AM101" s="10">
        <f t="shared" si="0"/>
        <v>0</v>
      </c>
      <c r="AN101" s="10">
        <f t="shared" si="0"/>
        <v>0</v>
      </c>
      <c r="AO101" s="15">
        <f t="shared" si="0"/>
        <v>80.359999999999985</v>
      </c>
      <c r="AP101" s="10">
        <f t="shared" si="0"/>
        <v>46453.079646000006</v>
      </c>
    </row>
    <row r="102" spans="1:42" ht="14.25" customHeight="1">
      <c r="A102" s="87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4.25" customHeight="1">
      <c r="A103" s="87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4"/>
    </row>
  </sheetData>
  <mergeCells count="15">
    <mergeCell ref="A1:AP1"/>
    <mergeCell ref="V3:Y3"/>
    <mergeCell ref="AO3:AP3"/>
    <mergeCell ref="A2:J2"/>
    <mergeCell ref="A3:A4"/>
    <mergeCell ref="Z3:AF3"/>
    <mergeCell ref="K3:M3"/>
    <mergeCell ref="AL3:AN3"/>
    <mergeCell ref="O3:Q3"/>
    <mergeCell ref="A103:AP103"/>
    <mergeCell ref="R3:U3"/>
    <mergeCell ref="AG3:AH3"/>
    <mergeCell ref="B3:J3"/>
    <mergeCell ref="AJ3:AK3"/>
    <mergeCell ref="A102:AP102"/>
  </mergeCells>
  <phoneticPr fontId="4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1743-784C-4486-B588-6C3D69CB8186}">
  <dimension ref="A1:K97"/>
  <sheetViews>
    <sheetView workbookViewId="0"/>
  </sheetViews>
  <sheetFormatPr defaultColWidth="10" defaultRowHeight="15.6"/>
  <cols>
    <col min="1" max="1" width="30.6640625" style="34" customWidth="1"/>
    <col min="2" max="2" width="16.33203125" style="34" customWidth="1"/>
    <col min="3" max="3" width="10" style="34" customWidth="1"/>
    <col min="4" max="4" width="21.44140625" style="34" customWidth="1"/>
    <col min="5" max="5" width="21.77734375" style="105" customWidth="1"/>
    <col min="6" max="6" width="10" style="34"/>
    <col min="7" max="7" width="18.77734375" style="34" customWidth="1"/>
    <col min="8" max="8" width="10" style="34"/>
    <col min="9" max="9" width="18.88671875" style="106" customWidth="1"/>
    <col min="10" max="10" width="10" style="34"/>
    <col min="11" max="11" width="18.77734375" style="34" customWidth="1"/>
    <col min="12" max="16384" width="10" style="34"/>
  </cols>
  <sheetData>
    <row r="1" spans="1:11">
      <c r="A1" s="34" t="s">
        <v>191</v>
      </c>
      <c r="C1" s="34" t="s">
        <v>192</v>
      </c>
      <c r="D1" s="34" t="s">
        <v>311</v>
      </c>
      <c r="E1" s="105" t="s">
        <v>312</v>
      </c>
      <c r="F1" s="98" t="s">
        <v>188</v>
      </c>
      <c r="G1" s="98" t="s">
        <v>313</v>
      </c>
      <c r="I1" s="106" t="s">
        <v>317</v>
      </c>
      <c r="J1" s="98" t="s">
        <v>188</v>
      </c>
      <c r="K1" s="98" t="s">
        <v>318</v>
      </c>
    </row>
    <row r="2" spans="1:11">
      <c r="A2" s="34" t="s">
        <v>193</v>
      </c>
      <c r="C2" s="36">
        <v>1</v>
      </c>
      <c r="D2" s="34" t="s">
        <v>206</v>
      </c>
      <c r="E2" s="105">
        <v>0</v>
      </c>
      <c r="F2" s="98">
        <v>1</v>
      </c>
      <c r="G2" s="98">
        <f>SUM(INDEX(E:E,(ROW()-2)*4+2):INDEX(E:E,(ROW()-2)*4+5))</f>
        <v>0</v>
      </c>
      <c r="I2" s="106">
        <f>发电结算单!AO5</f>
        <v>0</v>
      </c>
      <c r="J2" s="98">
        <v>1</v>
      </c>
      <c r="K2" s="98">
        <f>SUM(INDEX(I:I,(ROW()-2)*4+2):INDEX(I:I,(ROW()-2)*4+5))</f>
        <v>0</v>
      </c>
    </row>
    <row r="3" spans="1:11">
      <c r="C3" s="36">
        <v>2</v>
      </c>
      <c r="D3" s="34" t="s">
        <v>207</v>
      </c>
      <c r="E3" s="105">
        <v>0</v>
      </c>
      <c r="F3" s="98">
        <v>2</v>
      </c>
      <c r="G3" s="98">
        <f>SUM(INDEX(E:E,(ROW()-2)*4+2):INDEX(E:E,(ROW()-2)*4+5))</f>
        <v>0</v>
      </c>
      <c r="I3" s="106">
        <f>发电结算单!AO6</f>
        <v>0</v>
      </c>
      <c r="J3" s="98">
        <v>2</v>
      </c>
      <c r="K3" s="98">
        <f>SUM(INDEX(I:I,(ROW()-2)*4+2):INDEX(I:I,(ROW()-2)*4+5))</f>
        <v>0</v>
      </c>
    </row>
    <row r="4" spans="1:11" ht="16.2" thickBot="1">
      <c r="C4" s="36">
        <v>3</v>
      </c>
      <c r="D4" s="34" t="s">
        <v>208</v>
      </c>
      <c r="E4" s="105">
        <v>0</v>
      </c>
      <c r="F4" s="98">
        <v>3</v>
      </c>
      <c r="G4" s="98">
        <f>SUM(INDEX(E:E,(ROW()-2)*4+2):INDEX(E:E,(ROW()-2)*4+5))</f>
        <v>0</v>
      </c>
      <c r="I4" s="106">
        <f>发电结算单!AO7</f>
        <v>0</v>
      </c>
      <c r="J4" s="98">
        <v>3</v>
      </c>
      <c r="K4" s="98">
        <f>SUM(INDEX(I:I,(ROW()-2)*4+2):INDEX(I:I,(ROW()-2)*4+5))</f>
        <v>0</v>
      </c>
    </row>
    <row r="5" spans="1:11" ht="16.2" thickTop="1">
      <c r="A5" s="37" t="s">
        <v>194</v>
      </c>
      <c r="B5" s="38" t="s">
        <v>195</v>
      </c>
      <c r="C5" s="36">
        <v>4</v>
      </c>
      <c r="D5" s="34" t="s">
        <v>209</v>
      </c>
      <c r="E5" s="105">
        <v>0</v>
      </c>
      <c r="F5" s="98">
        <v>4</v>
      </c>
      <c r="G5" s="98">
        <f>SUM(INDEX(E:E,(ROW()-2)*4+2):INDEX(E:E,(ROW()-2)*4+5))</f>
        <v>-2.84</v>
      </c>
      <c r="I5" s="106">
        <f>发电结算单!AO8</f>
        <v>0</v>
      </c>
      <c r="J5" s="98">
        <v>4</v>
      </c>
      <c r="K5" s="98">
        <f>SUM(INDEX(I:I,(ROW()-2)*4+2):INDEX(I:I,(ROW()-2)*4+5))</f>
        <v>0</v>
      </c>
    </row>
    <row r="6" spans="1:11">
      <c r="A6" s="39">
        <v>1</v>
      </c>
      <c r="B6" s="35" t="s">
        <v>196</v>
      </c>
      <c r="C6" s="36">
        <v>5</v>
      </c>
      <c r="D6" s="34" t="s">
        <v>210</v>
      </c>
      <c r="E6" s="105">
        <v>0</v>
      </c>
      <c r="F6" s="98">
        <v>5</v>
      </c>
      <c r="G6" s="98">
        <f>SUM(INDEX(E:E,(ROW()-2)*4+2):INDEX(E:E,(ROW()-2)*4+5))</f>
        <v>-3.55</v>
      </c>
      <c r="I6" s="106">
        <f>发电结算单!AO9</f>
        <v>0</v>
      </c>
      <c r="J6" s="98">
        <v>5</v>
      </c>
      <c r="K6" s="98">
        <f>SUM(INDEX(I:I,(ROW()-2)*4+2):INDEX(I:I,(ROW()-2)*4+5))</f>
        <v>0</v>
      </c>
    </row>
    <row r="7" spans="1:11">
      <c r="A7" s="39">
        <v>2</v>
      </c>
      <c r="B7" s="35" t="s">
        <v>196</v>
      </c>
      <c r="C7" s="36">
        <v>6</v>
      </c>
      <c r="D7" s="34" t="s">
        <v>211</v>
      </c>
      <c r="E7" s="105">
        <v>0</v>
      </c>
      <c r="F7" s="98">
        <v>6</v>
      </c>
      <c r="G7" s="98">
        <f>SUM(INDEX(E:E,(ROW()-2)*4+2):INDEX(E:E,(ROW()-2)*4+5))</f>
        <v>0</v>
      </c>
      <c r="I7" s="106">
        <f>发电结算单!AO10</f>
        <v>0</v>
      </c>
      <c r="J7" s="98">
        <v>6</v>
      </c>
      <c r="K7" s="98">
        <f>SUM(INDEX(I:I,(ROW()-2)*4+2):INDEX(I:I,(ROW()-2)*4+5))</f>
        <v>0</v>
      </c>
    </row>
    <row r="8" spans="1:11">
      <c r="A8" s="39">
        <v>3</v>
      </c>
      <c r="B8" s="35" t="s">
        <v>196</v>
      </c>
      <c r="C8" s="36">
        <v>7</v>
      </c>
      <c r="D8" s="34" t="s">
        <v>212</v>
      </c>
      <c r="E8" s="105">
        <v>0</v>
      </c>
      <c r="F8" s="98">
        <v>7</v>
      </c>
      <c r="G8" s="98">
        <f>SUM(INDEX(E:E,(ROW()-2)*4+2):INDEX(E:E,(ROW()-2)*4+5))</f>
        <v>-0.9</v>
      </c>
      <c r="I8" s="106">
        <f>发电结算单!AO11</f>
        <v>0</v>
      </c>
      <c r="J8" s="98">
        <v>7</v>
      </c>
      <c r="K8" s="98">
        <f>SUM(INDEX(I:I,(ROW()-2)*4+2):INDEX(I:I,(ROW()-2)*4+5))</f>
        <v>0</v>
      </c>
    </row>
    <row r="9" spans="1:11">
      <c r="A9" s="39">
        <v>4</v>
      </c>
      <c r="B9" s="35" t="s">
        <v>196</v>
      </c>
      <c r="C9" s="36">
        <v>8</v>
      </c>
      <c r="D9" s="34" t="s">
        <v>213</v>
      </c>
      <c r="E9" s="105">
        <v>0</v>
      </c>
      <c r="F9" s="98">
        <v>8</v>
      </c>
      <c r="G9" s="98">
        <f>SUM(INDEX(E:E,(ROW()-2)*4+2):INDEX(E:E,(ROW()-2)*4+5))</f>
        <v>-2.71</v>
      </c>
      <c r="I9" s="106">
        <f>发电结算单!AO12</f>
        <v>0</v>
      </c>
      <c r="J9" s="98">
        <v>8</v>
      </c>
      <c r="K9" s="98">
        <f>SUM(INDEX(I:I,(ROW()-2)*4+2):INDEX(I:I,(ROW()-2)*4+5))</f>
        <v>0</v>
      </c>
    </row>
    <row r="10" spans="1:11">
      <c r="A10" s="39">
        <v>5</v>
      </c>
      <c r="B10" s="35" t="s">
        <v>196</v>
      </c>
      <c r="C10" s="36">
        <v>9</v>
      </c>
      <c r="D10" s="34" t="s">
        <v>214</v>
      </c>
      <c r="E10" s="105">
        <v>0</v>
      </c>
      <c r="F10" s="98">
        <v>9</v>
      </c>
      <c r="G10" s="98">
        <f>SUM(INDEX(E:E,(ROW()-2)*4+2):INDEX(E:E,(ROW()-2)*4+5))</f>
        <v>0</v>
      </c>
      <c r="I10" s="106">
        <f>发电结算单!AO13</f>
        <v>0</v>
      </c>
      <c r="J10" s="98">
        <v>9</v>
      </c>
      <c r="K10" s="98">
        <f>SUM(INDEX(I:I,(ROW()-2)*4+2):INDEX(I:I,(ROW()-2)*4+5))</f>
        <v>1.143</v>
      </c>
    </row>
    <row r="11" spans="1:11">
      <c r="A11" s="39">
        <v>6</v>
      </c>
      <c r="B11" s="35" t="s">
        <v>197</v>
      </c>
      <c r="C11" s="36">
        <v>10</v>
      </c>
      <c r="D11" s="34" t="s">
        <v>215</v>
      </c>
      <c r="E11" s="105">
        <v>0</v>
      </c>
      <c r="F11" s="98">
        <v>10</v>
      </c>
      <c r="G11" s="98">
        <f>SUM(INDEX(E:E,(ROW()-2)*4+2):INDEX(E:E,(ROW()-2)*4+5))</f>
        <v>0</v>
      </c>
      <c r="I11" s="106">
        <f>发电结算单!AO14</f>
        <v>0</v>
      </c>
      <c r="J11" s="98">
        <v>10</v>
      </c>
      <c r="K11" s="98">
        <f>SUM(INDEX(I:I,(ROW()-2)*4+2):INDEX(I:I,(ROW()-2)*4+5))</f>
        <v>0</v>
      </c>
    </row>
    <row r="12" spans="1:11">
      <c r="A12" s="39">
        <v>7</v>
      </c>
      <c r="B12" s="35" t="s">
        <v>197</v>
      </c>
      <c r="C12" s="36">
        <v>11</v>
      </c>
      <c r="D12" s="34" t="s">
        <v>216</v>
      </c>
      <c r="E12" s="105">
        <v>0</v>
      </c>
      <c r="F12" s="98">
        <v>11</v>
      </c>
      <c r="G12" s="98">
        <f>SUM(INDEX(E:E,(ROW()-2)*4+2):INDEX(E:E,(ROW()-2)*4+5))</f>
        <v>0</v>
      </c>
      <c r="I12" s="106">
        <f>发电结算单!AO15</f>
        <v>0</v>
      </c>
      <c r="J12" s="98">
        <v>11</v>
      </c>
      <c r="K12" s="98">
        <f>SUM(INDEX(I:I,(ROW()-2)*4+2):INDEX(I:I,(ROW()-2)*4+5))</f>
        <v>18.727</v>
      </c>
    </row>
    <row r="13" spans="1:11">
      <c r="A13" s="39">
        <v>8</v>
      </c>
      <c r="B13" s="35" t="s">
        <v>197</v>
      </c>
      <c r="C13" s="36">
        <v>12</v>
      </c>
      <c r="D13" s="34" t="s">
        <v>217</v>
      </c>
      <c r="E13" s="105">
        <v>0</v>
      </c>
      <c r="F13" s="98">
        <v>12</v>
      </c>
      <c r="G13" s="98">
        <f>SUM(INDEX(E:E,(ROW()-2)*4+2):INDEX(E:E,(ROW()-2)*4+5))</f>
        <v>0</v>
      </c>
      <c r="I13" s="106">
        <f>发电结算单!AO16</f>
        <v>0</v>
      </c>
      <c r="J13" s="98">
        <v>12</v>
      </c>
      <c r="K13" s="98">
        <f>SUM(INDEX(I:I,(ROW()-2)*4+2):INDEX(I:I,(ROW()-2)*4+5))</f>
        <v>0</v>
      </c>
    </row>
    <row r="14" spans="1:11">
      <c r="A14" s="39">
        <v>9</v>
      </c>
      <c r="B14" s="35" t="s">
        <v>197</v>
      </c>
      <c r="C14" s="36">
        <v>13</v>
      </c>
      <c r="D14" s="34" t="s">
        <v>218</v>
      </c>
      <c r="E14" s="105">
        <v>-0.18</v>
      </c>
      <c r="F14" s="98">
        <v>13</v>
      </c>
      <c r="G14" s="98">
        <f>SUM(INDEX(E:E,(ROW()-2)*4+2):INDEX(E:E,(ROW()-2)*4+5))</f>
        <v>0</v>
      </c>
      <c r="I14" s="106">
        <f>发电结算单!AO17</f>
        <v>0</v>
      </c>
      <c r="J14" s="98">
        <v>13</v>
      </c>
      <c r="K14" s="98">
        <f>SUM(INDEX(I:I,(ROW()-2)*4+2):INDEX(I:I,(ROW()-2)*4+5))</f>
        <v>0</v>
      </c>
    </row>
    <row r="15" spans="1:11" ht="16.2" thickBot="1">
      <c r="A15" s="40">
        <v>10</v>
      </c>
      <c r="B15" s="41" t="s">
        <v>197</v>
      </c>
      <c r="C15" s="36">
        <v>14</v>
      </c>
      <c r="D15" s="34" t="s">
        <v>219</v>
      </c>
      <c r="E15" s="105">
        <v>-0.35</v>
      </c>
      <c r="F15" s="98">
        <v>14</v>
      </c>
      <c r="G15" s="98">
        <f>SUM(INDEX(E:E,(ROW()-2)*4+2):INDEX(E:E,(ROW()-2)*4+5))</f>
        <v>0</v>
      </c>
      <c r="I15" s="106">
        <f>发电结算单!AO18</f>
        <v>0</v>
      </c>
      <c r="J15" s="98">
        <v>14</v>
      </c>
      <c r="K15" s="98">
        <f>SUM(INDEX(I:I,(ROW()-2)*4+2):INDEX(I:I,(ROW()-2)*4+5))</f>
        <v>2.726</v>
      </c>
    </row>
    <row r="16" spans="1:11" ht="16.2" thickTop="1">
      <c r="C16" s="36">
        <v>15</v>
      </c>
      <c r="D16" s="34" t="s">
        <v>220</v>
      </c>
      <c r="E16" s="105">
        <v>-0.89</v>
      </c>
      <c r="F16" s="98">
        <v>15</v>
      </c>
      <c r="G16" s="98">
        <f>SUM(INDEX(E:E,(ROW()-2)*4+2):INDEX(E:E,(ROW()-2)*4+5))</f>
        <v>0</v>
      </c>
      <c r="I16" s="106">
        <f>发电结算单!AO19</f>
        <v>0</v>
      </c>
      <c r="J16" s="98">
        <v>15</v>
      </c>
      <c r="K16" s="98">
        <f>SUM(INDEX(I:I,(ROW()-2)*4+2):INDEX(I:I,(ROW()-2)*4+5))</f>
        <v>0</v>
      </c>
    </row>
    <row r="17" spans="1:11" ht="16.2" thickBot="1">
      <c r="C17" s="36">
        <v>16</v>
      </c>
      <c r="D17" s="34" t="s">
        <v>221</v>
      </c>
      <c r="E17" s="105">
        <v>-1.42</v>
      </c>
      <c r="F17" s="98">
        <v>16</v>
      </c>
      <c r="G17" s="98">
        <f>SUM(INDEX(E:E,(ROW()-2)*4+2):INDEX(E:E,(ROW()-2)*4+5))</f>
        <v>0</v>
      </c>
      <c r="I17" s="106">
        <f>发电结算单!AO20</f>
        <v>0</v>
      </c>
      <c r="J17" s="98">
        <v>16</v>
      </c>
      <c r="K17" s="98">
        <f>SUM(INDEX(I:I,(ROW()-2)*4+2):INDEX(I:I,(ROW()-2)*4+5))</f>
        <v>0</v>
      </c>
    </row>
    <row r="18" spans="1:11" ht="16.2" thickTop="1">
      <c r="A18" s="42" t="s">
        <v>198</v>
      </c>
      <c r="B18" s="43">
        <v>0</v>
      </c>
      <c r="C18" s="36">
        <v>17</v>
      </c>
      <c r="D18" s="34" t="s">
        <v>222</v>
      </c>
      <c r="E18" s="105">
        <v>-1.42</v>
      </c>
      <c r="F18" s="98">
        <v>17</v>
      </c>
      <c r="G18" s="98">
        <f>SUM(INDEX(E:E,(ROW()-2)*4+2):INDEX(E:E,(ROW()-2)*4+5))</f>
        <v>0</v>
      </c>
      <c r="I18" s="106">
        <f>发电结算单!AO21</f>
        <v>0</v>
      </c>
      <c r="J18" s="98">
        <v>17</v>
      </c>
      <c r="K18" s="98">
        <f>SUM(INDEX(I:I,(ROW()-2)*4+2):INDEX(I:I,(ROW()-2)*4+5))</f>
        <v>0</v>
      </c>
    </row>
    <row r="19" spans="1:11">
      <c r="A19" s="44" t="s">
        <v>199</v>
      </c>
      <c r="B19" s="45">
        <v>100</v>
      </c>
      <c r="C19" s="36">
        <v>18</v>
      </c>
      <c r="D19" s="34" t="s">
        <v>223</v>
      </c>
      <c r="E19" s="105">
        <v>-1.42</v>
      </c>
      <c r="F19" s="98">
        <v>18</v>
      </c>
      <c r="G19" s="98">
        <f>SUM(INDEX(E:E,(ROW()-2)*4+2):INDEX(E:E,(ROW()-2)*4+5))</f>
        <v>0</v>
      </c>
      <c r="I19" s="106">
        <f>发电结算单!AO22</f>
        <v>0</v>
      </c>
      <c r="J19" s="98">
        <v>18</v>
      </c>
      <c r="K19" s="98">
        <f>SUM(INDEX(I:I,(ROW()-2)*4+2):INDEX(I:I,(ROW()-2)*4+5))</f>
        <v>4.66</v>
      </c>
    </row>
    <row r="20" spans="1:11">
      <c r="A20" s="44" t="s">
        <v>200</v>
      </c>
      <c r="B20" s="45">
        <v>180</v>
      </c>
      <c r="C20" s="36">
        <v>19</v>
      </c>
      <c r="D20" s="34" t="s">
        <v>224</v>
      </c>
      <c r="E20" s="105">
        <v>-0.71</v>
      </c>
      <c r="F20" s="98">
        <v>19</v>
      </c>
      <c r="G20" s="98">
        <f>SUM(INDEX(E:E,(ROW()-2)*4+2):INDEX(E:E,(ROW()-2)*4+5))</f>
        <v>0</v>
      </c>
      <c r="I20" s="106">
        <f>发电结算单!AO23</f>
        <v>0</v>
      </c>
      <c r="J20" s="98">
        <v>19</v>
      </c>
      <c r="K20" s="98">
        <f>SUM(INDEX(I:I,(ROW()-2)*4+2):INDEX(I:I,(ROW()-2)*4+5))</f>
        <v>0</v>
      </c>
    </row>
    <row r="21" spans="1:11" ht="16.2" thickBot="1">
      <c r="A21" s="46" t="s">
        <v>201</v>
      </c>
      <c r="B21" s="47">
        <v>0.9</v>
      </c>
      <c r="C21" s="36">
        <v>20</v>
      </c>
      <c r="D21" s="34" t="s">
        <v>225</v>
      </c>
      <c r="E21" s="105">
        <v>0</v>
      </c>
      <c r="F21" s="98">
        <v>20</v>
      </c>
      <c r="G21" s="98">
        <f>SUM(INDEX(E:E,(ROW()-2)*4+2):INDEX(E:E,(ROW()-2)*4+5))</f>
        <v>22.549999999999997</v>
      </c>
      <c r="I21" s="106">
        <f>发电结算单!AO24</f>
        <v>0</v>
      </c>
      <c r="J21" s="98">
        <v>20</v>
      </c>
      <c r="K21" s="98">
        <f>SUM(INDEX(I:I,(ROW()-2)*4+2):INDEX(I:I,(ROW()-2)*4+5))</f>
        <v>20.573999999999998</v>
      </c>
    </row>
    <row r="22" spans="1:11" ht="16.2" thickTop="1">
      <c r="C22" s="36">
        <v>21</v>
      </c>
      <c r="D22" s="34" t="s">
        <v>226</v>
      </c>
      <c r="E22" s="105">
        <v>0</v>
      </c>
      <c r="F22" s="98">
        <v>21</v>
      </c>
      <c r="G22" s="98">
        <f>SUM(INDEX(E:E,(ROW()-2)*4+2):INDEX(E:E,(ROW()-2)*4+5))</f>
        <v>3.04</v>
      </c>
      <c r="I22" s="106">
        <f>发电结算单!AO25</f>
        <v>0</v>
      </c>
      <c r="J22" s="98">
        <v>21</v>
      </c>
      <c r="K22" s="98">
        <f>SUM(INDEX(I:I,(ROW()-2)*4+2):INDEX(I:I,(ROW()-2)*4+5))</f>
        <v>1.496</v>
      </c>
    </row>
    <row r="23" spans="1:11">
      <c r="C23" s="36">
        <v>22</v>
      </c>
      <c r="D23" s="34" t="s">
        <v>227</v>
      </c>
      <c r="E23" s="105">
        <v>0</v>
      </c>
      <c r="F23" s="98">
        <v>22</v>
      </c>
      <c r="G23" s="98">
        <f>SUM(INDEX(E:E,(ROW()-2)*4+2):INDEX(E:E,(ROW()-2)*4+5))</f>
        <v>1.1400000000000001</v>
      </c>
      <c r="I23" s="106">
        <f>发电结算单!AO26</f>
        <v>0</v>
      </c>
      <c r="J23" s="98">
        <v>22</v>
      </c>
      <c r="K23" s="98">
        <f>SUM(INDEX(I:I,(ROW()-2)*4+2):INDEX(I:I,(ROW()-2)*4+5))</f>
        <v>0.52800000000000002</v>
      </c>
    </row>
    <row r="24" spans="1:11" ht="16.2" thickBot="1">
      <c r="C24" s="36">
        <v>23</v>
      </c>
      <c r="D24" s="34" t="s">
        <v>228</v>
      </c>
      <c r="E24" s="105">
        <v>0</v>
      </c>
      <c r="F24" s="98">
        <v>23</v>
      </c>
      <c r="G24" s="98">
        <f>SUM(INDEX(E:E,(ROW()-2)*4+2):INDEX(E:E,(ROW()-2)*4+5))</f>
        <v>0</v>
      </c>
      <c r="I24" s="106">
        <f>发电结算单!AO27</f>
        <v>0</v>
      </c>
      <c r="J24" s="98">
        <v>23</v>
      </c>
      <c r="K24" s="98">
        <f>SUM(INDEX(I:I,(ROW()-2)*4+2):INDEX(I:I,(ROW()-2)*4+5))</f>
        <v>30.506</v>
      </c>
    </row>
    <row r="25" spans="1:11" ht="16.2" thickTop="1">
      <c r="A25" s="48" t="s">
        <v>202</v>
      </c>
      <c r="B25" s="49" t="e">
        <f>SUM(#REF!)/4</f>
        <v>#REF!</v>
      </c>
      <c r="C25" s="36">
        <v>24</v>
      </c>
      <c r="D25" s="34" t="s">
        <v>229</v>
      </c>
      <c r="E25" s="105">
        <v>0</v>
      </c>
      <c r="F25" s="98">
        <v>24</v>
      </c>
      <c r="G25" s="98">
        <f>SUM(INDEX(E:E,(ROW()-2)*4+2):INDEX(E:E,(ROW()-2)*4+5))</f>
        <v>0</v>
      </c>
      <c r="I25" s="106">
        <f>发电结算单!AO28</f>
        <v>0</v>
      </c>
      <c r="J25" s="98">
        <v>24</v>
      </c>
      <c r="K25" s="98">
        <f>SUM(INDEX(I:I,(ROW()-2)*4+2):INDEX(I:I,(ROW()-2)*4+5))</f>
        <v>0</v>
      </c>
    </row>
    <row r="26" spans="1:11">
      <c r="A26" s="50" t="s">
        <v>203</v>
      </c>
      <c r="B26" s="51" t="e">
        <f>B27/B25</f>
        <v>#REF!</v>
      </c>
      <c r="C26" s="36">
        <v>25</v>
      </c>
      <c r="D26" s="34" t="s">
        <v>230</v>
      </c>
      <c r="E26" s="105">
        <v>0</v>
      </c>
      <c r="I26" s="106">
        <f>发电结算单!AO29</f>
        <v>0</v>
      </c>
    </row>
    <row r="27" spans="1:11">
      <c r="A27" s="50" t="s">
        <v>204</v>
      </c>
      <c r="B27" s="52" t="e">
        <f>SUMPRODUCT(#REF!,#REF!)/4</f>
        <v>#REF!</v>
      </c>
      <c r="C27" s="36">
        <v>26</v>
      </c>
      <c r="D27" s="34" t="s">
        <v>231</v>
      </c>
      <c r="E27" s="105">
        <v>0</v>
      </c>
      <c r="I27" s="106">
        <f>发电结算单!AO30</f>
        <v>0</v>
      </c>
    </row>
    <row r="28" spans="1:11" ht="16.2" thickBot="1">
      <c r="A28" s="53" t="s">
        <v>205</v>
      </c>
      <c r="B28" s="54" t="e">
        <f>#REF!-B26</f>
        <v>#REF!</v>
      </c>
      <c r="C28" s="36">
        <v>27</v>
      </c>
      <c r="D28" s="34" t="s">
        <v>232</v>
      </c>
      <c r="E28" s="105">
        <v>0</v>
      </c>
      <c r="I28" s="106">
        <f>发电结算单!AO31</f>
        <v>0</v>
      </c>
    </row>
    <row r="29" spans="1:11" ht="16.2" thickTop="1">
      <c r="C29" s="36">
        <v>28</v>
      </c>
      <c r="D29" s="34" t="s">
        <v>233</v>
      </c>
      <c r="E29" s="105">
        <v>-0.9</v>
      </c>
      <c r="I29" s="106">
        <f>发电结算单!AO32</f>
        <v>0</v>
      </c>
    </row>
    <row r="30" spans="1:11">
      <c r="C30" s="36">
        <v>29</v>
      </c>
      <c r="D30" s="34" t="s">
        <v>234</v>
      </c>
      <c r="E30" s="105">
        <v>-1.81</v>
      </c>
      <c r="I30" s="106">
        <f>发电结算单!AO33</f>
        <v>0</v>
      </c>
    </row>
    <row r="31" spans="1:11">
      <c r="C31" s="36">
        <v>30</v>
      </c>
      <c r="D31" s="34" t="s">
        <v>235</v>
      </c>
      <c r="E31" s="105">
        <v>-0.9</v>
      </c>
      <c r="I31" s="106">
        <f>发电结算单!AO34</f>
        <v>0</v>
      </c>
    </row>
    <row r="32" spans="1:11">
      <c r="C32" s="36">
        <v>31</v>
      </c>
      <c r="D32" s="34" t="s">
        <v>236</v>
      </c>
      <c r="E32" s="105">
        <v>0</v>
      </c>
      <c r="I32" s="106">
        <f>发电结算单!AO35</f>
        <v>0</v>
      </c>
    </row>
    <row r="33" spans="1:9" ht="16.2" customHeight="1" thickBot="1">
      <c r="C33" s="36">
        <v>32</v>
      </c>
      <c r="D33" s="34" t="s">
        <v>237</v>
      </c>
      <c r="E33" s="105">
        <v>0</v>
      </c>
      <c r="I33" s="106">
        <f>发电结算单!AO36</f>
        <v>0</v>
      </c>
    </row>
    <row r="34" spans="1:9">
      <c r="A34" s="55" t="s">
        <v>194</v>
      </c>
      <c r="B34" s="56" t="s">
        <v>195</v>
      </c>
      <c r="C34" s="36">
        <v>33</v>
      </c>
      <c r="D34" s="34" t="s">
        <v>238</v>
      </c>
      <c r="E34" s="105">
        <v>0</v>
      </c>
      <c r="I34" s="106">
        <f>发电结算单!AO37</f>
        <v>0.35199999999999998</v>
      </c>
    </row>
    <row r="35" spans="1:9">
      <c r="A35" s="57"/>
      <c r="B35" s="58"/>
      <c r="C35" s="36">
        <v>34</v>
      </c>
      <c r="D35" s="34" t="s">
        <v>239</v>
      </c>
      <c r="E35" s="105">
        <v>0</v>
      </c>
      <c r="I35" s="106">
        <f>发电结算单!AO38</f>
        <v>0.79100000000000004</v>
      </c>
    </row>
    <row r="36" spans="1:9" ht="16.2" customHeight="1" thickBot="1">
      <c r="A36" s="59">
        <v>1</v>
      </c>
      <c r="B36" s="60" t="s">
        <v>196</v>
      </c>
      <c r="C36" s="36">
        <v>35</v>
      </c>
      <c r="D36" s="34" t="s">
        <v>240</v>
      </c>
      <c r="E36" s="105">
        <v>0</v>
      </c>
      <c r="I36" s="106">
        <f>发电结算单!AO39</f>
        <v>0</v>
      </c>
    </row>
    <row r="37" spans="1:9" ht="16.2" customHeight="1" thickBot="1">
      <c r="A37" s="61">
        <v>2</v>
      </c>
      <c r="B37" s="62" t="s">
        <v>196</v>
      </c>
      <c r="C37" s="36">
        <v>36</v>
      </c>
      <c r="D37" s="34" t="s">
        <v>241</v>
      </c>
      <c r="E37" s="105">
        <v>0</v>
      </c>
      <c r="I37" s="106">
        <f>发电结算单!AO40</f>
        <v>0</v>
      </c>
    </row>
    <row r="38" spans="1:9" ht="16.2" customHeight="1" thickBot="1">
      <c r="A38" s="63">
        <v>3</v>
      </c>
      <c r="B38" s="64" t="s">
        <v>197</v>
      </c>
      <c r="C38" s="36">
        <v>37</v>
      </c>
      <c r="D38" s="34" t="s">
        <v>242</v>
      </c>
      <c r="E38" s="105">
        <v>0</v>
      </c>
      <c r="I38" s="106">
        <f>发电结算单!AO41</f>
        <v>0</v>
      </c>
    </row>
    <row r="39" spans="1:9" ht="16.2" customHeight="1" thickBot="1">
      <c r="A39" s="65">
        <v>4</v>
      </c>
      <c r="B39" s="66" t="s">
        <v>197</v>
      </c>
      <c r="C39" s="36">
        <v>38</v>
      </c>
      <c r="D39" s="34" t="s">
        <v>243</v>
      </c>
      <c r="E39" s="105">
        <v>0</v>
      </c>
      <c r="I39" s="106">
        <f>发电结算单!AO42</f>
        <v>0</v>
      </c>
    </row>
    <row r="40" spans="1:9">
      <c r="C40" s="36">
        <v>39</v>
      </c>
      <c r="D40" s="34" t="s">
        <v>244</v>
      </c>
      <c r="E40" s="105">
        <v>0</v>
      </c>
      <c r="I40" s="106">
        <f>发电结算单!AO43</f>
        <v>0</v>
      </c>
    </row>
    <row r="41" spans="1:9">
      <c r="C41" s="36">
        <v>40</v>
      </c>
      <c r="D41" s="34" t="s">
        <v>245</v>
      </c>
      <c r="E41" s="105">
        <v>0</v>
      </c>
      <c r="I41" s="106">
        <f>发电结算单!AO44</f>
        <v>0</v>
      </c>
    </row>
    <row r="42" spans="1:9">
      <c r="C42" s="36">
        <v>41</v>
      </c>
      <c r="D42" s="34" t="s">
        <v>246</v>
      </c>
      <c r="E42" s="105">
        <v>0</v>
      </c>
      <c r="I42" s="106">
        <f>发电结算单!AO45</f>
        <v>12.573</v>
      </c>
    </row>
    <row r="43" spans="1:9">
      <c r="C43" s="36">
        <v>42</v>
      </c>
      <c r="D43" s="34" t="s">
        <v>247</v>
      </c>
      <c r="E43" s="105">
        <v>0</v>
      </c>
      <c r="I43" s="106">
        <f>发电结算单!AO46</f>
        <v>6.1539999999999999</v>
      </c>
    </row>
    <row r="44" spans="1:9">
      <c r="C44" s="36">
        <v>43</v>
      </c>
      <c r="D44" s="34" t="s">
        <v>248</v>
      </c>
      <c r="E44" s="105">
        <v>0</v>
      </c>
      <c r="I44" s="106">
        <f>发电结算单!AO47</f>
        <v>0</v>
      </c>
    </row>
    <row r="45" spans="1:9">
      <c r="C45" s="36">
        <v>44</v>
      </c>
      <c r="D45" s="34" t="s">
        <v>249</v>
      </c>
      <c r="E45" s="105">
        <v>0</v>
      </c>
      <c r="I45" s="106">
        <f>发电结算单!AO48</f>
        <v>0</v>
      </c>
    </row>
    <row r="46" spans="1:9">
      <c r="C46" s="36">
        <v>45</v>
      </c>
      <c r="D46" s="34" t="s">
        <v>250</v>
      </c>
      <c r="E46" s="105">
        <v>0</v>
      </c>
      <c r="I46" s="106">
        <f>发电结算单!AO49</f>
        <v>0</v>
      </c>
    </row>
    <row r="47" spans="1:9">
      <c r="C47" s="36">
        <v>46</v>
      </c>
      <c r="D47" s="34" t="s">
        <v>251</v>
      </c>
      <c r="E47" s="105">
        <v>0</v>
      </c>
      <c r="I47" s="106">
        <f>发电结算单!AO50</f>
        <v>0</v>
      </c>
    </row>
    <row r="48" spans="1:9">
      <c r="C48" s="36">
        <v>47</v>
      </c>
      <c r="D48" s="34" t="s">
        <v>252</v>
      </c>
      <c r="E48" s="105">
        <v>0</v>
      </c>
      <c r="I48" s="106">
        <f>发电结算单!AO51</f>
        <v>0</v>
      </c>
    </row>
    <row r="49" spans="3:9">
      <c r="C49" s="36">
        <v>48</v>
      </c>
      <c r="D49" s="34" t="s">
        <v>253</v>
      </c>
      <c r="E49" s="105">
        <v>0</v>
      </c>
      <c r="I49" s="106">
        <f>发电结算单!AO52</f>
        <v>0</v>
      </c>
    </row>
    <row r="50" spans="3:9">
      <c r="C50" s="36">
        <v>49</v>
      </c>
      <c r="D50" s="34" t="s">
        <v>254</v>
      </c>
      <c r="E50" s="105">
        <v>0</v>
      </c>
      <c r="I50" s="106">
        <f>发电结算单!AO53</f>
        <v>0</v>
      </c>
    </row>
    <row r="51" spans="3:9">
      <c r="C51" s="36">
        <v>50</v>
      </c>
      <c r="D51" s="34" t="s">
        <v>255</v>
      </c>
      <c r="E51" s="105">
        <v>0</v>
      </c>
      <c r="I51" s="106">
        <f>发电结算单!AO54</f>
        <v>0</v>
      </c>
    </row>
    <row r="52" spans="3:9">
      <c r="C52" s="36">
        <v>51</v>
      </c>
      <c r="D52" s="34" t="s">
        <v>256</v>
      </c>
      <c r="E52" s="105">
        <v>0</v>
      </c>
      <c r="I52" s="106">
        <f>发电结算单!AO55</f>
        <v>0</v>
      </c>
    </row>
    <row r="53" spans="3:9">
      <c r="C53" s="36">
        <v>52</v>
      </c>
      <c r="D53" s="34" t="s">
        <v>257</v>
      </c>
      <c r="E53" s="105">
        <v>0</v>
      </c>
      <c r="I53" s="106">
        <f>发电结算单!AO56</f>
        <v>0</v>
      </c>
    </row>
    <row r="54" spans="3:9">
      <c r="C54" s="36">
        <v>53</v>
      </c>
      <c r="D54" s="34" t="s">
        <v>258</v>
      </c>
      <c r="E54" s="105">
        <v>0</v>
      </c>
      <c r="I54" s="106">
        <f>发电结算单!AO57</f>
        <v>2.726</v>
      </c>
    </row>
    <row r="55" spans="3:9">
      <c r="C55" s="36">
        <v>54</v>
      </c>
      <c r="D55" s="34" t="s">
        <v>259</v>
      </c>
      <c r="E55" s="105">
        <v>0</v>
      </c>
      <c r="I55" s="106">
        <f>发电结算单!AO58</f>
        <v>0</v>
      </c>
    </row>
    <row r="56" spans="3:9">
      <c r="C56" s="36">
        <v>55</v>
      </c>
      <c r="D56" s="34" t="s">
        <v>260</v>
      </c>
      <c r="E56" s="105">
        <v>0</v>
      </c>
      <c r="I56" s="106">
        <f>发电结算单!AO59</f>
        <v>0</v>
      </c>
    </row>
    <row r="57" spans="3:9">
      <c r="C57" s="36">
        <v>56</v>
      </c>
      <c r="D57" s="34" t="s">
        <v>261</v>
      </c>
      <c r="E57" s="105">
        <v>0</v>
      </c>
      <c r="I57" s="106">
        <f>发电结算单!AO60</f>
        <v>0</v>
      </c>
    </row>
    <row r="58" spans="3:9">
      <c r="C58" s="36">
        <v>57</v>
      </c>
      <c r="D58" s="34" t="s">
        <v>262</v>
      </c>
      <c r="E58" s="105">
        <v>0</v>
      </c>
      <c r="I58" s="106">
        <f>发电结算单!AO61</f>
        <v>0</v>
      </c>
    </row>
    <row r="59" spans="3:9">
      <c r="C59" s="36">
        <v>58</v>
      </c>
      <c r="D59" s="34" t="s">
        <v>263</v>
      </c>
      <c r="E59" s="105">
        <v>0</v>
      </c>
      <c r="I59" s="106">
        <f>发电结算单!AO62</f>
        <v>0</v>
      </c>
    </row>
    <row r="60" spans="3:9">
      <c r="C60" s="36">
        <v>59</v>
      </c>
      <c r="D60" s="34" t="s">
        <v>264</v>
      </c>
      <c r="E60" s="105">
        <v>0</v>
      </c>
      <c r="I60" s="106">
        <f>发电结算单!AO63</f>
        <v>0</v>
      </c>
    </row>
    <row r="61" spans="3:9">
      <c r="C61" s="36">
        <v>60</v>
      </c>
      <c r="D61" s="34" t="s">
        <v>265</v>
      </c>
      <c r="E61" s="105">
        <v>0</v>
      </c>
      <c r="I61" s="106">
        <f>发电结算单!AO64</f>
        <v>0</v>
      </c>
    </row>
    <row r="62" spans="3:9">
      <c r="C62" s="36">
        <v>61</v>
      </c>
      <c r="D62" s="34" t="s">
        <v>266</v>
      </c>
      <c r="E62" s="105">
        <v>0</v>
      </c>
      <c r="I62" s="106">
        <f>发电结算单!AO65</f>
        <v>0</v>
      </c>
    </row>
    <row r="63" spans="3:9">
      <c r="C63" s="36">
        <v>62</v>
      </c>
      <c r="D63" s="34" t="s">
        <v>267</v>
      </c>
      <c r="E63" s="105">
        <v>0</v>
      </c>
      <c r="I63" s="106">
        <f>发电结算单!AO66</f>
        <v>0</v>
      </c>
    </row>
    <row r="64" spans="3:9">
      <c r="C64" s="36">
        <v>63</v>
      </c>
      <c r="D64" s="34" t="s">
        <v>268</v>
      </c>
      <c r="E64" s="105">
        <v>0</v>
      </c>
      <c r="I64" s="106">
        <f>发电结算单!AO67</f>
        <v>0</v>
      </c>
    </row>
    <row r="65" spans="3:9">
      <c r="C65" s="36">
        <v>64</v>
      </c>
      <c r="D65" s="34" t="s">
        <v>269</v>
      </c>
      <c r="E65" s="105">
        <v>0</v>
      </c>
      <c r="I65" s="106">
        <f>发电结算单!AO68</f>
        <v>0</v>
      </c>
    </row>
    <row r="66" spans="3:9">
      <c r="C66" s="36">
        <v>65</v>
      </c>
      <c r="D66" s="34" t="s">
        <v>270</v>
      </c>
      <c r="E66" s="105">
        <v>0</v>
      </c>
      <c r="I66" s="106">
        <f>发电结算单!AO69</f>
        <v>0</v>
      </c>
    </row>
    <row r="67" spans="3:9">
      <c r="C67" s="36">
        <v>66</v>
      </c>
      <c r="D67" s="34" t="s">
        <v>271</v>
      </c>
      <c r="E67" s="105">
        <v>0</v>
      </c>
      <c r="I67" s="106">
        <f>发电结算单!AO70</f>
        <v>0</v>
      </c>
    </row>
    <row r="68" spans="3:9">
      <c r="C68" s="36">
        <v>67</v>
      </c>
      <c r="D68" s="34" t="s">
        <v>272</v>
      </c>
      <c r="E68" s="105">
        <v>0</v>
      </c>
      <c r="I68" s="106">
        <f>发电结算单!AO71</f>
        <v>0</v>
      </c>
    </row>
    <row r="69" spans="3:9">
      <c r="C69" s="36">
        <v>68</v>
      </c>
      <c r="D69" s="34" t="s">
        <v>273</v>
      </c>
      <c r="E69" s="105">
        <v>0</v>
      </c>
      <c r="I69" s="106">
        <f>发电结算单!AO72</f>
        <v>0</v>
      </c>
    </row>
    <row r="70" spans="3:9">
      <c r="C70" s="36">
        <v>69</v>
      </c>
      <c r="D70" s="34" t="s">
        <v>274</v>
      </c>
      <c r="E70" s="105">
        <v>0</v>
      </c>
      <c r="I70" s="106">
        <f>发电结算单!AO73</f>
        <v>0</v>
      </c>
    </row>
    <row r="71" spans="3:9">
      <c r="C71" s="36">
        <v>70</v>
      </c>
      <c r="D71" s="34" t="s">
        <v>275</v>
      </c>
      <c r="E71" s="105">
        <v>0</v>
      </c>
      <c r="I71" s="106">
        <f>发电结算单!AO74</f>
        <v>3.165</v>
      </c>
    </row>
    <row r="72" spans="3:9">
      <c r="C72" s="36">
        <v>71</v>
      </c>
      <c r="D72" s="34" t="s">
        <v>276</v>
      </c>
      <c r="E72" s="105">
        <v>0</v>
      </c>
      <c r="I72" s="106">
        <f>发电结算单!AO75</f>
        <v>1.4950000000000001</v>
      </c>
    </row>
    <row r="73" spans="3:9">
      <c r="C73" s="36">
        <v>72</v>
      </c>
      <c r="D73" s="34" t="s">
        <v>277</v>
      </c>
      <c r="E73" s="105">
        <v>0</v>
      </c>
      <c r="I73" s="106">
        <f>发电结算单!AO76</f>
        <v>0</v>
      </c>
    </row>
    <row r="74" spans="3:9">
      <c r="C74" s="36">
        <v>73</v>
      </c>
      <c r="D74" s="34" t="s">
        <v>278</v>
      </c>
      <c r="E74" s="105">
        <v>0</v>
      </c>
      <c r="I74" s="106">
        <f>发电结算单!AO77</f>
        <v>0</v>
      </c>
    </row>
    <row r="75" spans="3:9">
      <c r="C75" s="36">
        <v>74</v>
      </c>
      <c r="D75" s="34" t="s">
        <v>279</v>
      </c>
      <c r="E75" s="105">
        <v>0</v>
      </c>
      <c r="I75" s="106">
        <f>发电结算单!AO78</f>
        <v>0</v>
      </c>
    </row>
    <row r="76" spans="3:9">
      <c r="C76" s="36">
        <v>75</v>
      </c>
      <c r="D76" s="34" t="s">
        <v>280</v>
      </c>
      <c r="E76" s="105">
        <v>0</v>
      </c>
      <c r="I76" s="106">
        <f>发电结算单!AO79</f>
        <v>0</v>
      </c>
    </row>
    <row r="77" spans="3:9">
      <c r="C77" s="36">
        <v>76</v>
      </c>
      <c r="D77" s="34" t="s">
        <v>281</v>
      </c>
      <c r="E77" s="105">
        <v>0</v>
      </c>
      <c r="I77" s="106">
        <f>发电结算单!AO80</f>
        <v>0</v>
      </c>
    </row>
    <row r="78" spans="3:9">
      <c r="C78" s="36">
        <v>77</v>
      </c>
      <c r="D78" s="34" t="s">
        <v>282</v>
      </c>
      <c r="E78" s="105">
        <v>3.69</v>
      </c>
      <c r="I78" s="106">
        <f>发电结算单!AO81</f>
        <v>3.077</v>
      </c>
    </row>
    <row r="79" spans="3:9">
      <c r="C79" s="36">
        <v>78</v>
      </c>
      <c r="D79" s="34" t="s">
        <v>283</v>
      </c>
      <c r="E79" s="105">
        <v>7.39</v>
      </c>
      <c r="I79" s="106">
        <f>发电结算单!AO82</f>
        <v>6.8579999999999997</v>
      </c>
    </row>
    <row r="80" spans="3:9">
      <c r="C80" s="36">
        <v>79</v>
      </c>
      <c r="D80" s="34" t="s">
        <v>284</v>
      </c>
      <c r="E80" s="105">
        <v>7.39</v>
      </c>
      <c r="I80" s="106">
        <f>发电结算单!AO83</f>
        <v>6.8579999999999997</v>
      </c>
    </row>
    <row r="81" spans="3:9">
      <c r="C81" s="36">
        <v>80</v>
      </c>
      <c r="D81" s="34" t="s">
        <v>285</v>
      </c>
      <c r="E81" s="105">
        <v>4.08</v>
      </c>
      <c r="I81" s="106">
        <f>发电结算单!AO84</f>
        <v>3.7810000000000001</v>
      </c>
    </row>
    <row r="82" spans="3:9">
      <c r="C82" s="36">
        <v>81</v>
      </c>
      <c r="D82" s="34" t="s">
        <v>286</v>
      </c>
      <c r="E82" s="105">
        <v>0.76</v>
      </c>
      <c r="I82" s="106">
        <f>发电结算单!AO85</f>
        <v>0.35199999999999998</v>
      </c>
    </row>
    <row r="83" spans="3:9">
      <c r="C83" s="36">
        <v>82</v>
      </c>
      <c r="D83" s="34" t="s">
        <v>287</v>
      </c>
      <c r="E83" s="105">
        <v>0.76</v>
      </c>
      <c r="I83" s="106">
        <f>发电结算单!AO86</f>
        <v>0.44</v>
      </c>
    </row>
    <row r="84" spans="3:9">
      <c r="C84" s="36">
        <v>83</v>
      </c>
      <c r="D84" s="34" t="s">
        <v>288</v>
      </c>
      <c r="E84" s="105">
        <v>0.76</v>
      </c>
      <c r="I84" s="106">
        <f>发电结算单!AO87</f>
        <v>0.35199999999999998</v>
      </c>
    </row>
    <row r="85" spans="3:9">
      <c r="C85" s="36">
        <v>84</v>
      </c>
      <c r="D85" s="34" t="s">
        <v>289</v>
      </c>
      <c r="E85" s="105">
        <v>0.76</v>
      </c>
      <c r="I85" s="106">
        <f>发电结算单!AO88</f>
        <v>0.35199999999999998</v>
      </c>
    </row>
    <row r="86" spans="3:9">
      <c r="C86" s="36">
        <v>85</v>
      </c>
      <c r="D86" s="34" t="s">
        <v>290</v>
      </c>
      <c r="E86" s="105">
        <v>0.76</v>
      </c>
      <c r="I86" s="106">
        <f>发电结算单!AO89</f>
        <v>0.44</v>
      </c>
    </row>
    <row r="87" spans="3:9">
      <c r="C87" s="36">
        <v>86</v>
      </c>
      <c r="D87" s="34" t="s">
        <v>291</v>
      </c>
      <c r="E87" s="105">
        <v>0.38</v>
      </c>
      <c r="I87" s="106">
        <f>发电结算单!AO90</f>
        <v>8.7999999999999995E-2</v>
      </c>
    </row>
    <row r="88" spans="3:9">
      <c r="C88" s="36">
        <v>87</v>
      </c>
      <c r="D88" s="34" t="s">
        <v>292</v>
      </c>
      <c r="E88" s="105">
        <v>0</v>
      </c>
      <c r="I88" s="106">
        <f>发电结算单!AO91</f>
        <v>0</v>
      </c>
    </row>
    <row r="89" spans="3:9">
      <c r="C89" s="36">
        <v>88</v>
      </c>
      <c r="D89" s="34" t="s">
        <v>293</v>
      </c>
      <c r="E89" s="105">
        <v>0</v>
      </c>
      <c r="I89" s="106">
        <f>发电结算单!AO92</f>
        <v>0</v>
      </c>
    </row>
    <row r="90" spans="3:9">
      <c r="C90" s="36">
        <v>89</v>
      </c>
      <c r="D90" s="34" t="s">
        <v>294</v>
      </c>
      <c r="E90" s="105">
        <v>0</v>
      </c>
      <c r="I90" s="106">
        <f>发电结算单!AO93</f>
        <v>13.364000000000001</v>
      </c>
    </row>
    <row r="91" spans="3:9">
      <c r="C91" s="36">
        <v>90</v>
      </c>
      <c r="D91" s="34" t="s">
        <v>295</v>
      </c>
      <c r="E91" s="105">
        <v>0</v>
      </c>
      <c r="I91" s="106">
        <f>发电结算单!AO94</f>
        <v>16.439</v>
      </c>
    </row>
    <row r="92" spans="3:9">
      <c r="C92" s="36">
        <v>91</v>
      </c>
      <c r="D92" s="34" t="s">
        <v>296</v>
      </c>
      <c r="E92" s="105">
        <v>0</v>
      </c>
      <c r="I92" s="106">
        <f>发电结算单!AO95</f>
        <v>0.70299999999999996</v>
      </c>
    </row>
    <row r="93" spans="3:9">
      <c r="C93" s="36">
        <v>92</v>
      </c>
      <c r="D93" s="34" t="s">
        <v>297</v>
      </c>
      <c r="E93" s="105">
        <v>0</v>
      </c>
      <c r="I93" s="106">
        <f>发电结算单!AO96</f>
        <v>0</v>
      </c>
    </row>
    <row r="94" spans="3:9">
      <c r="C94" s="36">
        <v>93</v>
      </c>
      <c r="D94" s="34" t="s">
        <v>298</v>
      </c>
      <c r="E94" s="105">
        <v>0</v>
      </c>
      <c r="I94" s="106">
        <f>发电结算单!AO97</f>
        <v>0</v>
      </c>
    </row>
    <row r="95" spans="3:9">
      <c r="C95" s="36">
        <v>94</v>
      </c>
      <c r="D95" s="34" t="s">
        <v>299</v>
      </c>
      <c r="E95" s="105">
        <v>0</v>
      </c>
      <c r="I95" s="106">
        <f>发电结算单!AO98</f>
        <v>0</v>
      </c>
    </row>
    <row r="96" spans="3:9">
      <c r="C96" s="36">
        <v>95</v>
      </c>
      <c r="D96" s="34" t="s">
        <v>300</v>
      </c>
      <c r="E96" s="105">
        <v>0</v>
      </c>
      <c r="I96" s="106">
        <f>发电结算单!AO99</f>
        <v>0</v>
      </c>
    </row>
    <row r="97" spans="3:9">
      <c r="C97" s="36">
        <v>96</v>
      </c>
      <c r="D97" s="34" t="s">
        <v>301</v>
      </c>
      <c r="E97" s="105">
        <v>0</v>
      </c>
      <c r="I97" s="106">
        <f>发电结算单!AO100</f>
        <v>0</v>
      </c>
    </row>
  </sheetData>
  <phoneticPr fontId="4" type="noConversion"/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F0E4-0010-46DD-AB89-B834B7C18934}">
  <dimension ref="A1:J25"/>
  <sheetViews>
    <sheetView workbookViewId="0"/>
  </sheetViews>
  <sheetFormatPr defaultRowHeight="13.8"/>
  <cols>
    <col min="2" max="2" width="9.5546875" customWidth="1"/>
    <col min="3" max="3" width="9.5546875" style="21" customWidth="1"/>
    <col min="4" max="4" width="10.6640625" style="13" customWidth="1"/>
    <col min="6" max="6" width="10" bestFit="1" customWidth="1"/>
  </cols>
  <sheetData>
    <row r="1" spans="1:8" ht="27.6">
      <c r="A1" s="94" t="str">
        <f>实时出清电量!F1</f>
        <v>时点</v>
      </c>
      <c r="B1" s="94" t="str">
        <f>实时出清电量!G1</f>
        <v>24点实时出清电量</v>
      </c>
      <c r="C1" s="94" t="str">
        <f>实时出清电量!K1</f>
        <v>24点实际发电电量</v>
      </c>
      <c r="D1" s="95" t="s">
        <v>309</v>
      </c>
      <c r="E1" s="29" t="s">
        <v>314</v>
      </c>
      <c r="F1" s="29" t="s">
        <v>315</v>
      </c>
      <c r="G1" s="29" t="s">
        <v>316</v>
      </c>
      <c r="H1" s="29" t="s">
        <v>310</v>
      </c>
    </row>
    <row r="2" spans="1:8" ht="27.6">
      <c r="A2" s="33">
        <f>实时出清电量!F2</f>
        <v>1</v>
      </c>
      <c r="B2" s="33">
        <f>实时出清电量!G2</f>
        <v>0</v>
      </c>
      <c r="C2" s="94">
        <f>实时出清电量!K2</f>
        <v>0</v>
      </c>
      <c r="D2" s="96" t="str">
        <f>IF(B2&lt;0,"充电",IF(B2&gt;0,"放电","待机"))</f>
        <v>待机</v>
      </c>
      <c r="E2" s="33">
        <f>-MAX(IF(OR(I2="待机",I2="放电"),用电结算单!C5,用电结算单!C5+调频产生发用电及损益!B2),0)</f>
        <v>-0.44</v>
      </c>
      <c r="F2" s="97">
        <f>E2*用电结算单!D5</f>
        <v>-172.98291999999998</v>
      </c>
      <c r="G2" s="33">
        <f>MAX(IF(OR(I2="待机",I2="充电"),B2,C2-B2),0)</f>
        <v>0</v>
      </c>
      <c r="H2" s="33">
        <f>G2*用电结算单!D5</f>
        <v>0</v>
      </c>
    </row>
    <row r="3" spans="1:8" ht="27.6">
      <c r="A3" s="33">
        <f>实时出清电量!F3</f>
        <v>2</v>
      </c>
      <c r="B3" s="33">
        <f>实时出清电量!G3</f>
        <v>0</v>
      </c>
      <c r="C3" s="94">
        <f>实时出清电量!K3</f>
        <v>0</v>
      </c>
      <c r="D3" s="96" t="str">
        <f t="shared" ref="D3:D25" si="0">IF(B3&lt;0,"充电",IF(B3&gt;0,"放电","待机"))</f>
        <v>待机</v>
      </c>
      <c r="E3" s="33">
        <f>-MAX(IF(OR(I3="待机",I3="放电"),用电结算单!C6,用电结算单!C6+调频产生发用电及损益!B3),0)</f>
        <v>-0.44</v>
      </c>
      <c r="F3" s="97">
        <f>E3*用电结算单!D6</f>
        <v>-168.30484000000001</v>
      </c>
      <c r="G3" s="33">
        <f t="shared" ref="G3:G25" si="1">MAX(IF(OR(I3="待机",I3="充电"),B3,C3-B3),0)</f>
        <v>0</v>
      </c>
      <c r="H3" s="33">
        <f>G3*用电结算单!D6</f>
        <v>0</v>
      </c>
    </row>
    <row r="4" spans="1:8" ht="27.6">
      <c r="A4" s="33">
        <f>实时出清电量!F4</f>
        <v>3</v>
      </c>
      <c r="B4" s="33">
        <f>实时出清电量!G4</f>
        <v>0</v>
      </c>
      <c r="C4" s="94">
        <f>实时出清电量!K4</f>
        <v>0</v>
      </c>
      <c r="D4" s="96" t="str">
        <f t="shared" si="0"/>
        <v>待机</v>
      </c>
      <c r="E4" s="33">
        <f>-MAX(IF(OR(I4="待机",I4="放电"),用电结算单!C7,用电结算单!C7+调频产生发用电及损益!B4),0)</f>
        <v>-0.44</v>
      </c>
      <c r="F4" s="97">
        <f>E4*用电结算单!D7</f>
        <v>-167.31</v>
      </c>
      <c r="G4" s="33">
        <f t="shared" si="1"/>
        <v>0</v>
      </c>
      <c r="H4" s="33">
        <f>G4*用电结算单!D7</f>
        <v>0</v>
      </c>
    </row>
    <row r="5" spans="1:8" ht="27.6">
      <c r="A5" s="33">
        <f>实时出清电量!F5</f>
        <v>4</v>
      </c>
      <c r="B5" s="33">
        <f>实时出清电量!G5</f>
        <v>-2.84</v>
      </c>
      <c r="C5" s="94">
        <f>实时出清电量!K5</f>
        <v>0</v>
      </c>
      <c r="D5" s="96" t="str">
        <f t="shared" si="0"/>
        <v>充电</v>
      </c>
      <c r="E5" s="33">
        <f>-MAX(IF(OR(I5="待机",I5="放电"),用电结算单!C8,用电结算单!C8+调频产生发用电及损益!B5),0)</f>
        <v>-1.0350000000000001</v>
      </c>
      <c r="F5" s="97">
        <f>E5*用电结算单!D8</f>
        <v>-391.54360500000007</v>
      </c>
      <c r="G5" s="33">
        <f t="shared" si="1"/>
        <v>2.84</v>
      </c>
      <c r="H5" s="33">
        <f>G5*用电结算单!D8</f>
        <v>1074.3805199999999</v>
      </c>
    </row>
    <row r="6" spans="1:8" ht="27.6">
      <c r="A6" s="33">
        <f>实时出清电量!F6</f>
        <v>5</v>
      </c>
      <c r="B6" s="33">
        <f>实时出清电量!G6</f>
        <v>-3.55</v>
      </c>
      <c r="C6" s="94">
        <f>实时出清电量!K6</f>
        <v>0</v>
      </c>
      <c r="D6" s="96" t="str">
        <f t="shared" si="0"/>
        <v>充电</v>
      </c>
      <c r="E6" s="33">
        <f>-MAX(IF(OR(I6="待机",I6="放电"),用电结算单!C9,用电结算单!C9+调频产生发用电及损益!B6),0)</f>
        <v>-1.0300000000000002</v>
      </c>
      <c r="F6" s="97">
        <f>E6*用电结算单!D9</f>
        <v>-386.04812000000004</v>
      </c>
      <c r="G6" s="33">
        <f t="shared" si="1"/>
        <v>3.55</v>
      </c>
      <c r="H6" s="33">
        <f>G6*用电结算单!D9</f>
        <v>1330.5541999999998</v>
      </c>
    </row>
    <row r="7" spans="1:8" ht="27.6">
      <c r="A7" s="33">
        <f>实时出清电量!F7</f>
        <v>6</v>
      </c>
      <c r="B7" s="33">
        <f>实时出清电量!G7</f>
        <v>0</v>
      </c>
      <c r="C7" s="94">
        <f>实时出清电量!K7</f>
        <v>0</v>
      </c>
      <c r="D7" s="96" t="str">
        <f t="shared" si="0"/>
        <v>待机</v>
      </c>
      <c r="E7" s="33">
        <f>-MAX(IF(OR(I7="待机",I7="放电"),用电结算单!C10,用电结算单!C10+调频产生发用电及损益!B7),0)</f>
        <v>-0.35199999999999998</v>
      </c>
      <c r="F7" s="97">
        <f>E7*用电结算单!D10</f>
        <v>-132.88</v>
      </c>
      <c r="G7" s="33">
        <f t="shared" si="1"/>
        <v>0</v>
      </c>
      <c r="H7" s="33">
        <f>G7*用电结算单!D10</f>
        <v>0</v>
      </c>
    </row>
    <row r="8" spans="1:8" ht="27.6">
      <c r="A8" s="33">
        <f>实时出清电量!F8</f>
        <v>7</v>
      </c>
      <c r="B8" s="33">
        <f>实时出清电量!G8</f>
        <v>-0.9</v>
      </c>
      <c r="C8" s="94">
        <f>实时出清电量!K8</f>
        <v>0</v>
      </c>
      <c r="D8" s="96" t="str">
        <f t="shared" si="0"/>
        <v>充电</v>
      </c>
      <c r="E8" s="33">
        <f>-MAX(IF(OR(I8="待机",I8="放电"),用电结算单!C11,用电结算单!C11+调频产生发用电及损益!B8),0)</f>
        <v>-0.50900000000000001</v>
      </c>
      <c r="F8" s="97">
        <f>E8*用电结算单!D11</f>
        <v>-184.27377900000002</v>
      </c>
      <c r="G8" s="33">
        <f t="shared" si="1"/>
        <v>0.9</v>
      </c>
      <c r="H8" s="33">
        <f>G8*用电结算单!D11</f>
        <v>325.8279</v>
      </c>
    </row>
    <row r="9" spans="1:8" ht="27.6">
      <c r="A9" s="33">
        <f>实时出清电量!F9</f>
        <v>8</v>
      </c>
      <c r="B9" s="33">
        <f>实时出清电量!G9</f>
        <v>-2.71</v>
      </c>
      <c r="C9" s="94">
        <f>实时出清电量!K9</f>
        <v>0</v>
      </c>
      <c r="D9" s="96" t="str">
        <f t="shared" si="0"/>
        <v>充电</v>
      </c>
      <c r="E9" s="33">
        <f>-MAX(IF(OR(I9="待机",I9="放电"),用电结算单!C12,用电结算单!C12+调频产生发用电及损益!B9),0)</f>
        <v>-0.81300000000000017</v>
      </c>
      <c r="F9" s="97">
        <f>E9*用电结算单!D12</f>
        <v>-285.97762800000004</v>
      </c>
      <c r="G9" s="33">
        <f t="shared" si="1"/>
        <v>2.71</v>
      </c>
      <c r="H9" s="33">
        <f>G9*用电结算单!D12</f>
        <v>953.25875999999994</v>
      </c>
    </row>
    <row r="10" spans="1:8" ht="27.6">
      <c r="A10" s="33">
        <f>实时出清电量!F10</f>
        <v>9</v>
      </c>
      <c r="B10" s="33">
        <f>实时出清电量!G10</f>
        <v>0</v>
      </c>
      <c r="C10" s="94">
        <f>实时出清电量!K10</f>
        <v>1.143</v>
      </c>
      <c r="D10" s="96" t="str">
        <f t="shared" si="0"/>
        <v>待机</v>
      </c>
      <c r="E10" s="33">
        <f>-MAX(IF(OR(I10="待机",I10="放电"),用电结算单!C13,用电结算单!C13+调频产生发用电及损益!B10),0)</f>
        <v>-6.9580000000000002</v>
      </c>
      <c r="F10" s="97">
        <f>E10*用电结算单!D13</f>
        <v>-2600.2115580000004</v>
      </c>
      <c r="G10" s="33">
        <f t="shared" si="1"/>
        <v>1.143</v>
      </c>
      <c r="H10" s="33">
        <f>G10*用电结算单!D13</f>
        <v>427.14024300000005</v>
      </c>
    </row>
    <row r="11" spans="1:8" ht="27.6">
      <c r="A11" s="33">
        <f>实时出清电量!F11</f>
        <v>10</v>
      </c>
      <c r="B11" s="33">
        <f>实时出清电量!G11</f>
        <v>0</v>
      </c>
      <c r="C11" s="94">
        <f>实时出清电量!K11</f>
        <v>0</v>
      </c>
      <c r="D11" s="96" t="str">
        <f t="shared" si="0"/>
        <v>待机</v>
      </c>
      <c r="E11" s="33">
        <f>-MAX(IF(OR(I11="待机",I11="放电"),用电结算单!C14,用电结算单!C14+调频产生发用电及损益!B11),0)</f>
        <v>-0.44</v>
      </c>
      <c r="F11" s="97">
        <f>E11*用电结算单!D14</f>
        <v>-146.32816</v>
      </c>
      <c r="G11" s="33">
        <f t="shared" si="1"/>
        <v>0</v>
      </c>
      <c r="H11" s="33">
        <f>G11*用电结算单!D14</f>
        <v>0</v>
      </c>
    </row>
    <row r="12" spans="1:8" ht="27.6">
      <c r="A12" s="33">
        <f>实时出清电量!F12</f>
        <v>11</v>
      </c>
      <c r="B12" s="33">
        <f>实时出清电量!G12</f>
        <v>0</v>
      </c>
      <c r="C12" s="94">
        <f>实时出清电量!K12</f>
        <v>18.727</v>
      </c>
      <c r="D12" s="96" t="str">
        <f t="shared" si="0"/>
        <v>待机</v>
      </c>
      <c r="E12" s="33">
        <f>-MAX(IF(OR(I12="待机",I12="放电"),用电结算单!C15,用电结算单!C15+调频产生发用电及损益!B12),0)</f>
        <v>-16.03</v>
      </c>
      <c r="F12" s="97">
        <f>E12*用电结算单!D15</f>
        <v>-5941.727890000001</v>
      </c>
      <c r="G12" s="33">
        <f t="shared" si="1"/>
        <v>18.727</v>
      </c>
      <c r="H12" s="33">
        <f>G12*用电结算单!D15</f>
        <v>6941.4060010000003</v>
      </c>
    </row>
    <row r="13" spans="1:8" ht="27.6">
      <c r="A13" s="33">
        <f>实时出清电量!F13</f>
        <v>12</v>
      </c>
      <c r="B13" s="33">
        <f>实时出清电量!G13</f>
        <v>0</v>
      </c>
      <c r="C13" s="94">
        <f>实时出清电量!K13</f>
        <v>0</v>
      </c>
      <c r="D13" s="96" t="str">
        <f t="shared" si="0"/>
        <v>待机</v>
      </c>
      <c r="E13" s="33">
        <f>-MAX(IF(OR(I13="待机",I13="放电"),用电结算单!C16,用电结算单!C16+调频产生发用电及损益!B13),0)</f>
        <v>-0.96899999999999997</v>
      </c>
      <c r="F13" s="97">
        <f>E13*用电结算单!D16</f>
        <v>-253.30822799999996</v>
      </c>
      <c r="G13" s="33">
        <f t="shared" si="1"/>
        <v>0</v>
      </c>
      <c r="H13" s="33">
        <f>G13*用电结算单!D16</f>
        <v>0</v>
      </c>
    </row>
    <row r="14" spans="1:8" ht="27.6">
      <c r="A14" s="33">
        <f>实时出清电量!F14</f>
        <v>13</v>
      </c>
      <c r="B14" s="33">
        <f>实时出清电量!G14</f>
        <v>0</v>
      </c>
      <c r="C14" s="94">
        <f>实时出清电量!K14</f>
        <v>0</v>
      </c>
      <c r="D14" s="96" t="str">
        <f t="shared" si="0"/>
        <v>待机</v>
      </c>
      <c r="E14" s="33">
        <f>-MAX(IF(OR(I14="待机",I14="放电"),用电结算单!C17,用电结算单!C17+调频产生发用电及损益!B14),0)</f>
        <v>-0.35299999999999998</v>
      </c>
      <c r="F14" s="97">
        <f>E14*用电结算单!D17</f>
        <v>-51.113693999999995</v>
      </c>
      <c r="G14" s="33">
        <f t="shared" si="1"/>
        <v>0</v>
      </c>
      <c r="H14" s="33">
        <f>G14*用电结算单!D17</f>
        <v>0</v>
      </c>
    </row>
    <row r="15" spans="1:8" ht="27.6">
      <c r="A15" s="33">
        <f>实时出清电量!F15</f>
        <v>14</v>
      </c>
      <c r="B15" s="33">
        <f>实时出清电量!G15</f>
        <v>0</v>
      </c>
      <c r="C15" s="94">
        <f>实时出清电量!K15</f>
        <v>2.726</v>
      </c>
      <c r="D15" s="96" t="str">
        <f t="shared" si="0"/>
        <v>待机</v>
      </c>
      <c r="E15" s="33">
        <f>-MAX(IF(OR(I15="待机",I15="放电"),用电结算单!C18,用电结算单!C18+调频产生发用电及损益!B15),0)</f>
        <v>-33.207000000000001</v>
      </c>
      <c r="F15" s="97">
        <f>E15*用电结算单!D18</f>
        <v>-11888.936174999999</v>
      </c>
      <c r="G15" s="33">
        <f t="shared" si="1"/>
        <v>2.726</v>
      </c>
      <c r="H15" s="33">
        <f>G15*用电结算单!D18</f>
        <v>975.97614999999996</v>
      </c>
    </row>
    <row r="16" spans="1:8" ht="27.6">
      <c r="A16" s="33">
        <f>实时出清电量!F16</f>
        <v>15</v>
      </c>
      <c r="B16" s="33">
        <f>实时出清电量!G16</f>
        <v>0</v>
      </c>
      <c r="C16" s="94">
        <f>实时出清电量!K16</f>
        <v>0</v>
      </c>
      <c r="D16" s="96" t="str">
        <f t="shared" si="0"/>
        <v>待机</v>
      </c>
      <c r="E16" s="33">
        <f>-MAX(IF(OR(I16="待机",I16="放电"),用电结算单!C19,用电结算单!C19+调频产生发用电及损益!B16),0)</f>
        <v>-0.441</v>
      </c>
      <c r="F16" s="97">
        <f>E16*用电结算单!D19</f>
        <v>-157.32322200000002</v>
      </c>
      <c r="G16" s="33">
        <f t="shared" si="1"/>
        <v>0</v>
      </c>
      <c r="H16" s="33">
        <f>G16*用电结算单!D19</f>
        <v>0</v>
      </c>
    </row>
    <row r="17" spans="1:10" ht="27.6">
      <c r="A17" s="33">
        <f>实时出清电量!F17</f>
        <v>16</v>
      </c>
      <c r="B17" s="33">
        <f>实时出清电量!G17</f>
        <v>0</v>
      </c>
      <c r="C17" s="94">
        <f>实时出清电量!K17</f>
        <v>0</v>
      </c>
      <c r="D17" s="96" t="str">
        <f t="shared" si="0"/>
        <v>待机</v>
      </c>
      <c r="E17" s="33">
        <f>-MAX(IF(OR(I17="待机",I17="放电"),用电结算单!C20,用电结算单!C20+调频产生发用电及损益!B17),0)</f>
        <v>-0.26500000000000001</v>
      </c>
      <c r="F17" s="97">
        <f>E17*用电结算单!D20</f>
        <v>-97.636865</v>
      </c>
      <c r="G17" s="33">
        <f t="shared" si="1"/>
        <v>0</v>
      </c>
      <c r="H17" s="33">
        <f>G17*用电结算单!D20</f>
        <v>0</v>
      </c>
    </row>
    <row r="18" spans="1:10" ht="27.6">
      <c r="A18" s="33">
        <f>实时出清电量!F18</f>
        <v>17</v>
      </c>
      <c r="B18" s="33">
        <f>实时出清电量!G18</f>
        <v>0</v>
      </c>
      <c r="C18" s="94">
        <f>实时出清电量!K18</f>
        <v>0</v>
      </c>
      <c r="D18" s="96" t="str">
        <f t="shared" si="0"/>
        <v>待机</v>
      </c>
      <c r="E18" s="33">
        <f>-MAX(IF(OR(I18="待机",I18="放电"),用电结算单!C21,用电结算单!C21+调频产生发用电及损益!B18),0)</f>
        <v>-0.35299999999999998</v>
      </c>
      <c r="F18" s="97">
        <f>E18*用电结算单!D21</f>
        <v>-141.09586499999997</v>
      </c>
      <c r="G18" s="33">
        <f t="shared" si="1"/>
        <v>0</v>
      </c>
      <c r="H18" s="33">
        <f>G18*用电结算单!D21</f>
        <v>0</v>
      </c>
    </row>
    <row r="19" spans="1:10" ht="27.6">
      <c r="A19" s="33">
        <f>实时出清电量!F19</f>
        <v>18</v>
      </c>
      <c r="B19" s="33">
        <f>实时出清电量!G19</f>
        <v>0</v>
      </c>
      <c r="C19" s="94">
        <f>实时出清电量!K19</f>
        <v>4.66</v>
      </c>
      <c r="D19" s="96" t="str">
        <f t="shared" si="0"/>
        <v>待机</v>
      </c>
      <c r="E19" s="33">
        <f>-MAX(IF(OR(I19="待机",I19="放电"),用电结算单!C22,用电结算单!C22+调频产生发用电及损益!B19),0)</f>
        <v>-17.881</v>
      </c>
      <c r="F19" s="97">
        <f>E19*用电结算单!D22</f>
        <v>-7469.0367480000004</v>
      </c>
      <c r="G19" s="33">
        <f t="shared" si="1"/>
        <v>4.66</v>
      </c>
      <c r="H19" s="33">
        <f>G19*用电结算单!D22</f>
        <v>1946.5192800000002</v>
      </c>
    </row>
    <row r="20" spans="1:10" ht="27.6">
      <c r="A20" s="33">
        <f>实时出清电量!F20</f>
        <v>19</v>
      </c>
      <c r="B20" s="33">
        <f>实时出清电量!G20</f>
        <v>0</v>
      </c>
      <c r="C20" s="94">
        <f>实时出清电量!K20</f>
        <v>0</v>
      </c>
      <c r="D20" s="96" t="str">
        <f t="shared" si="0"/>
        <v>待机</v>
      </c>
      <c r="E20" s="33">
        <f>-MAX(IF(OR(I20="待机",I20="放电"),用电结算单!C23,用电结算单!C23+调频产生发用电及损益!B20),0)</f>
        <v>-0.52800000000000002</v>
      </c>
      <c r="F20" s="97">
        <f>E20*用电结算单!D23</f>
        <v>-235.29000000000002</v>
      </c>
      <c r="G20" s="33">
        <f t="shared" si="1"/>
        <v>0</v>
      </c>
      <c r="H20" s="33">
        <f>G20*用电结算单!D23</f>
        <v>0</v>
      </c>
    </row>
    <row r="21" spans="1:10" ht="27.6">
      <c r="A21" s="33">
        <f>实时出清电量!F21</f>
        <v>20</v>
      </c>
      <c r="B21" s="33">
        <f>实时出清电量!G21</f>
        <v>22.549999999999997</v>
      </c>
      <c r="C21" s="94">
        <f>实时出清电量!K21</f>
        <v>20.573999999999998</v>
      </c>
      <c r="D21" s="96" t="str">
        <f t="shared" si="0"/>
        <v>放电</v>
      </c>
      <c r="E21" s="33">
        <f>-MAX(IF(OR(I21="待机",I21="放电"),用电结算单!C24,用电结算单!C24+调频产生发用电及损益!B21),0)</f>
        <v>-22.549999999999997</v>
      </c>
      <c r="F21" s="97">
        <f>E21*用电结算单!D24</f>
        <v>-10092.996649999999</v>
      </c>
      <c r="G21" s="33">
        <f t="shared" si="1"/>
        <v>0</v>
      </c>
      <c r="H21" s="33">
        <f>G21*用电结算单!D24</f>
        <v>0</v>
      </c>
    </row>
    <row r="22" spans="1:10" ht="27.6">
      <c r="A22" s="33">
        <f>实时出清电量!F22</f>
        <v>21</v>
      </c>
      <c r="B22" s="33">
        <f>实时出清电量!G22</f>
        <v>3.04</v>
      </c>
      <c r="C22" s="94">
        <f>实时出清电量!K22</f>
        <v>1.496</v>
      </c>
      <c r="D22" s="96" t="str">
        <f t="shared" si="0"/>
        <v>放电</v>
      </c>
      <c r="E22" s="33">
        <f>-MAX(IF(OR(I22="待机",I22="放电"),用电结算单!C25,用电结算单!C25+调频产生发用电及损益!B22),0)</f>
        <v>-3.04</v>
      </c>
      <c r="F22" s="97">
        <f>E22*用电结算单!D25</f>
        <v>-1371.04</v>
      </c>
      <c r="G22" s="33">
        <f t="shared" si="1"/>
        <v>0</v>
      </c>
      <c r="H22" s="33">
        <f>G22*用电结算单!D25</f>
        <v>0</v>
      </c>
    </row>
    <row r="23" spans="1:10" ht="27.6">
      <c r="A23" s="33">
        <f>实时出清电量!F23</f>
        <v>22</v>
      </c>
      <c r="B23" s="33">
        <f>实时出清电量!G23</f>
        <v>1.1400000000000001</v>
      </c>
      <c r="C23" s="94">
        <f>实时出清电量!K23</f>
        <v>0.52800000000000002</v>
      </c>
      <c r="D23" s="96" t="str">
        <f t="shared" si="0"/>
        <v>放电</v>
      </c>
      <c r="E23" s="33">
        <f>-MAX(IF(OR(I23="待机",I23="放电"),用电结算单!C26,用电结算单!C26+调频产生发用电及损益!B23),0)</f>
        <v>-1.4040000000000001</v>
      </c>
      <c r="F23" s="97">
        <f>E23*用电结算单!D26</f>
        <v>-636.01200000000006</v>
      </c>
      <c r="G23" s="33">
        <f t="shared" si="1"/>
        <v>0</v>
      </c>
      <c r="H23" s="33">
        <f>G23*用电结算单!D26</f>
        <v>0</v>
      </c>
    </row>
    <row r="24" spans="1:10" ht="27.6">
      <c r="A24" s="33">
        <f>实时出清电量!F24</f>
        <v>23</v>
      </c>
      <c r="B24" s="33">
        <f>实时出清电量!G24</f>
        <v>0</v>
      </c>
      <c r="C24" s="94">
        <f>实时出清电量!K24</f>
        <v>30.506</v>
      </c>
      <c r="D24" s="96" t="str">
        <f t="shared" si="0"/>
        <v>待机</v>
      </c>
      <c r="E24" s="33">
        <f>-MAX(IF(OR(I24="待机",I24="放电"),用电结算单!C27,用电结算单!C27+调频产生发用电及损益!B24),0)</f>
        <v>-3.347</v>
      </c>
      <c r="F24" s="97">
        <f>E24*用电结算单!D27</f>
        <v>-1533.2038010000001</v>
      </c>
      <c r="G24" s="33">
        <f t="shared" si="1"/>
        <v>30.506</v>
      </c>
      <c r="H24" s="33">
        <f>G24*用电结算单!D27</f>
        <v>13974.279998000002</v>
      </c>
      <c r="J24" s="13"/>
    </row>
    <row r="25" spans="1:10" ht="27.6">
      <c r="A25" s="33">
        <f>实时出清电量!F25</f>
        <v>24</v>
      </c>
      <c r="B25" s="33">
        <f>实时出清电量!G25</f>
        <v>0</v>
      </c>
      <c r="C25" s="94">
        <f>实时出清电量!K25</f>
        <v>0</v>
      </c>
      <c r="D25" s="96" t="str">
        <f t="shared" si="0"/>
        <v>待机</v>
      </c>
      <c r="E25" s="33">
        <f>-MAX(IF(OR(I25="待机",I25="放电"),用电结算单!C28,用电结算单!C28+调频产生发用电及损益!B25),0)</f>
        <v>-0.35199999999999998</v>
      </c>
      <c r="F25" s="97">
        <f>E25*用电结算单!D28</f>
        <v>-155.71599999999998</v>
      </c>
      <c r="G25" s="33">
        <f t="shared" si="1"/>
        <v>0</v>
      </c>
      <c r="H25" s="33">
        <f>G25*用电结算单!D28</f>
        <v>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9F96-87A2-4CBC-A319-399C5DEF7862}">
  <dimension ref="A1:H6"/>
  <sheetViews>
    <sheetView workbookViewId="0"/>
  </sheetViews>
  <sheetFormatPr defaultRowHeight="15.6"/>
  <cols>
    <col min="1" max="1" width="13.88671875" style="26" bestFit="1" customWidth="1"/>
    <col min="2" max="2" width="6" style="26" bestFit="1" customWidth="1"/>
    <col min="3" max="3" width="15.33203125" style="26" bestFit="1" customWidth="1"/>
    <col min="4" max="7" width="8.88671875" style="26"/>
    <col min="8" max="8" width="16.21875" style="26" bestFit="1" customWidth="1"/>
    <col min="9" max="16384" width="8.88671875" style="26"/>
  </cols>
  <sheetData>
    <row r="1" spans="1:8">
      <c r="A1" s="26" t="s">
        <v>173</v>
      </c>
      <c r="B1" s="26" t="s">
        <v>179</v>
      </c>
      <c r="C1" s="26" t="s">
        <v>180</v>
      </c>
      <c r="D1" s="26" t="s">
        <v>181</v>
      </c>
      <c r="E1" s="26" t="s">
        <v>182</v>
      </c>
      <c r="F1" s="26" t="s">
        <v>183</v>
      </c>
      <c r="G1" s="26" t="s">
        <v>184</v>
      </c>
      <c r="H1" s="26" t="s">
        <v>185</v>
      </c>
    </row>
    <row r="2" spans="1:8">
      <c r="A2" s="26" t="s">
        <v>186</v>
      </c>
      <c r="B2" s="26">
        <v>9</v>
      </c>
      <c r="C2" s="26" t="s">
        <v>187</v>
      </c>
      <c r="D2" s="26">
        <v>1.3</v>
      </c>
      <c r="E2" s="26">
        <v>1.7664409999999999</v>
      </c>
      <c r="F2" s="26">
        <v>1.5853109999999999</v>
      </c>
      <c r="G2" s="26">
        <v>1.833658</v>
      </c>
      <c r="H2" s="26">
        <v>203.29</v>
      </c>
    </row>
    <row r="3" spans="1:8">
      <c r="A3" s="26" t="s">
        <v>186</v>
      </c>
      <c r="B3" s="26">
        <v>11</v>
      </c>
      <c r="C3" s="26" t="s">
        <v>187</v>
      </c>
      <c r="D3" s="26">
        <v>1.3</v>
      </c>
      <c r="E3" s="26">
        <v>1.7453700000000001</v>
      </c>
      <c r="F3" s="26">
        <v>1.5543210000000001</v>
      </c>
      <c r="G3" s="26">
        <v>1.8169979999999999</v>
      </c>
      <c r="H3" s="26">
        <v>203.51</v>
      </c>
    </row>
    <row r="4" spans="1:8">
      <c r="A4" s="26" t="s">
        <v>186</v>
      </c>
      <c r="B4" s="26">
        <v>14</v>
      </c>
      <c r="C4" s="26" t="s">
        <v>187</v>
      </c>
      <c r="D4" s="26">
        <v>1.3</v>
      </c>
      <c r="E4" s="26">
        <v>1.7407840000000001</v>
      </c>
      <c r="F4" s="26">
        <v>1.6130720000000001</v>
      </c>
      <c r="G4" s="26">
        <v>1.830384</v>
      </c>
      <c r="H4" s="26">
        <v>182.65</v>
      </c>
    </row>
    <row r="5" spans="1:8">
      <c r="A5" s="26" t="s">
        <v>186</v>
      </c>
      <c r="B5" s="26">
        <v>18</v>
      </c>
      <c r="C5" s="26" t="s">
        <v>187</v>
      </c>
      <c r="D5" s="26">
        <v>1.3</v>
      </c>
      <c r="E5" s="26">
        <v>1.7429030000000001</v>
      </c>
      <c r="F5" s="26">
        <v>1.5913980000000001</v>
      </c>
      <c r="G5" s="26">
        <v>1.82562</v>
      </c>
      <c r="H5" s="26">
        <v>221.87</v>
      </c>
    </row>
    <row r="6" spans="1:8">
      <c r="A6" s="26" t="s">
        <v>186</v>
      </c>
      <c r="B6" s="26">
        <v>23</v>
      </c>
      <c r="C6" s="26" t="s">
        <v>187</v>
      </c>
      <c r="D6" s="26">
        <v>1.3</v>
      </c>
      <c r="E6" s="26">
        <v>1.7848390000000001</v>
      </c>
      <c r="F6" s="26">
        <v>1.5881719999999999</v>
      </c>
      <c r="G6" s="26">
        <v>1.84192</v>
      </c>
      <c r="H6" s="26">
        <v>235.22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9CB3-E15E-41DC-83EC-960785B17D37}">
  <dimension ref="A1:C26"/>
  <sheetViews>
    <sheetView workbookViewId="0">
      <selection activeCell="G13" sqref="G13"/>
    </sheetView>
  </sheetViews>
  <sheetFormatPr defaultColWidth="10.6640625" defaultRowHeight="15" customHeight="1"/>
  <cols>
    <col min="1" max="1" width="15.21875" style="68" customWidth="1"/>
    <col min="2" max="2" width="15.21875" style="67" customWidth="1"/>
    <col min="3" max="3" width="7.44140625" style="67" customWidth="1"/>
    <col min="4" max="7" width="10.6640625" style="67" customWidth="1"/>
    <col min="8" max="16384" width="10.6640625" style="67"/>
  </cols>
  <sheetData>
    <row r="1" spans="1:3" ht="15" customHeight="1">
      <c r="A1" s="91" t="s">
        <v>171</v>
      </c>
      <c r="B1" s="69" t="s">
        <v>172</v>
      </c>
      <c r="C1" s="70"/>
    </row>
    <row r="2" spans="1:3" ht="15" customHeight="1" thickBot="1">
      <c r="A2" s="92"/>
      <c r="B2" s="71" t="s">
        <v>323</v>
      </c>
    </row>
    <row r="3" spans="1:3" ht="15" customHeight="1" thickTop="1">
      <c r="A3" s="72">
        <v>1</v>
      </c>
      <c r="B3" s="73">
        <v>1</v>
      </c>
    </row>
    <row r="4" spans="1:3" ht="15" customHeight="1">
      <c r="A4" s="72">
        <v>2</v>
      </c>
      <c r="B4" s="73">
        <v>1</v>
      </c>
    </row>
    <row r="5" spans="1:3" ht="15" customHeight="1">
      <c r="A5" s="72">
        <v>3</v>
      </c>
      <c r="B5" s="73">
        <v>1</v>
      </c>
    </row>
    <row r="6" spans="1:3" ht="15" customHeight="1">
      <c r="A6" s="72">
        <v>4</v>
      </c>
      <c r="B6" s="73">
        <v>1</v>
      </c>
    </row>
    <row r="7" spans="1:3" ht="15" customHeight="1">
      <c r="A7" s="72">
        <v>5</v>
      </c>
      <c r="B7" s="73">
        <v>1</v>
      </c>
    </row>
    <row r="8" spans="1:3" ht="15" customHeight="1">
      <c r="A8" s="72">
        <v>6</v>
      </c>
      <c r="B8" s="73">
        <v>1</v>
      </c>
    </row>
    <row r="9" spans="1:3" ht="15" customHeight="1">
      <c r="A9" s="72">
        <v>7</v>
      </c>
      <c r="B9" s="73">
        <v>1</v>
      </c>
    </row>
    <row r="10" spans="1:3" ht="15" customHeight="1">
      <c r="A10" s="72">
        <v>8</v>
      </c>
      <c r="B10" s="73">
        <v>1</v>
      </c>
    </row>
    <row r="11" spans="1:3" ht="15" customHeight="1">
      <c r="A11" s="72">
        <v>9</v>
      </c>
      <c r="B11" s="73">
        <v>1</v>
      </c>
    </row>
    <row r="12" spans="1:3" ht="15" customHeight="1">
      <c r="A12" s="72">
        <v>10</v>
      </c>
      <c r="B12" s="73">
        <v>0.3</v>
      </c>
    </row>
    <row r="13" spans="1:3" ht="15" customHeight="1">
      <c r="A13" s="72">
        <v>11</v>
      </c>
      <c r="B13" s="73">
        <v>0.1</v>
      </c>
    </row>
    <row r="14" spans="1:3" ht="15" customHeight="1">
      <c r="A14" s="72">
        <v>12</v>
      </c>
      <c r="B14" s="73">
        <v>0.1</v>
      </c>
    </row>
    <row r="15" spans="1:3" ht="15" customHeight="1">
      <c r="A15" s="72">
        <v>13</v>
      </c>
      <c r="B15" s="73">
        <v>0.1</v>
      </c>
    </row>
    <row r="16" spans="1:3" ht="15" customHeight="1">
      <c r="A16" s="72">
        <v>14</v>
      </c>
      <c r="B16" s="73">
        <v>0.1</v>
      </c>
    </row>
    <row r="17" spans="1:2" ht="15" customHeight="1">
      <c r="A17" s="72">
        <v>15</v>
      </c>
      <c r="B17" s="73">
        <v>0.3</v>
      </c>
    </row>
    <row r="18" spans="1:2" ht="15" customHeight="1">
      <c r="A18" s="72">
        <v>16</v>
      </c>
      <c r="B18" s="73">
        <v>1</v>
      </c>
    </row>
    <row r="19" spans="1:2" ht="15" customHeight="1">
      <c r="A19" s="72">
        <v>17</v>
      </c>
      <c r="B19" s="73">
        <v>2</v>
      </c>
    </row>
    <row r="20" spans="1:2" ht="15" customHeight="1">
      <c r="A20" s="72">
        <v>18</v>
      </c>
      <c r="B20" s="73">
        <v>2</v>
      </c>
    </row>
    <row r="21" spans="1:2" ht="15" customHeight="1">
      <c r="A21" s="72">
        <v>19</v>
      </c>
      <c r="B21" s="73">
        <v>2</v>
      </c>
    </row>
    <row r="22" spans="1:2" ht="15" customHeight="1">
      <c r="A22" s="72">
        <v>20</v>
      </c>
      <c r="B22" s="73">
        <v>2</v>
      </c>
    </row>
    <row r="23" spans="1:2" ht="15" customHeight="1">
      <c r="A23" s="72">
        <v>21</v>
      </c>
      <c r="B23" s="73">
        <v>1.7</v>
      </c>
    </row>
    <row r="24" spans="1:2" ht="15" customHeight="1">
      <c r="A24" s="72">
        <v>22</v>
      </c>
      <c r="B24" s="73">
        <v>1.7</v>
      </c>
    </row>
    <row r="25" spans="1:2" ht="15" customHeight="1">
      <c r="A25" s="72">
        <v>23</v>
      </c>
      <c r="B25" s="73">
        <v>1</v>
      </c>
    </row>
    <row r="26" spans="1:2" ht="15" customHeight="1">
      <c r="A26" s="72">
        <v>24</v>
      </c>
      <c r="B26" s="73">
        <v>1</v>
      </c>
    </row>
  </sheetData>
  <mergeCells count="1">
    <mergeCell ref="A1:A2"/>
  </mergeCells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调频测算</vt:lpstr>
      <vt:lpstr>用电结算单</vt:lpstr>
      <vt:lpstr>发电结算单</vt:lpstr>
      <vt:lpstr>实时出清电量</vt:lpstr>
      <vt:lpstr>调频产生发用电及损益</vt:lpstr>
      <vt:lpstr>性能记录表格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2026-07-02T03:07:56Z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