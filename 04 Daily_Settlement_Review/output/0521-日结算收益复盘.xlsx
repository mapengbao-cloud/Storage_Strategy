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4 Daily_Settlement_Review\output\"/>
    </mc:Choice>
  </mc:AlternateContent>
  <xr:revisionPtr revIDLastSave="0" documentId="13_ncr:1_{2F4B85F0-1E44-4EBF-A46F-A310F04BC5DA}" xr6:coauthVersionLast="36" xr6:coauthVersionMax="36" xr10:uidLastSave="{00000000-0000-0000-0000-000000000000}"/>
  <bookViews>
    <workbookView xWindow="0" yWindow="0" windowWidth="28800" windowHeight="12252" xr2:uid="{00000000-000D-0000-FFFF-FFFF00000000}"/>
  </bookViews>
  <sheets>
    <sheet name="充放测算" sheetId="1" r:id="rId1"/>
    <sheet name="充电日清算费用" sheetId="2" r:id="rId2"/>
    <sheet name="放电日清算费用" sheetId="3" r:id="rId3"/>
    <sheet name="报价及预中标" sheetId="4" r:id="rId4"/>
    <sheet name="容量分摊系数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calcPr calcId="191029"/>
</workbook>
</file>

<file path=xl/calcChain.xml><?xml version="1.0" encoding="utf-8"?>
<calcChain xmlns="http://schemas.openxmlformats.org/spreadsheetml/2006/main">
  <c r="E101" i="5" l="1"/>
  <c r="C101" i="5"/>
  <c r="E100" i="5"/>
  <c r="C100" i="5"/>
  <c r="E99" i="5"/>
  <c r="C99" i="5"/>
  <c r="E98" i="5"/>
  <c r="C98" i="5" s="1"/>
  <c r="E94" i="5"/>
  <c r="C94" i="5"/>
  <c r="E93" i="5"/>
  <c r="C93" i="5"/>
  <c r="E92" i="5"/>
  <c r="C92" i="5"/>
  <c r="E91" i="5"/>
  <c r="C91" i="5" s="1"/>
  <c r="E85" i="5"/>
  <c r="C85" i="5"/>
  <c r="E84" i="5"/>
  <c r="C84" i="5" s="1"/>
  <c r="E77" i="5"/>
  <c r="C77" i="5" s="1"/>
  <c r="E73" i="5"/>
  <c r="C73" i="5"/>
  <c r="E72" i="5"/>
  <c r="C72" i="5"/>
  <c r="E71" i="5"/>
  <c r="C71" i="5"/>
  <c r="E70" i="5"/>
  <c r="C70" i="5" s="1"/>
  <c r="E66" i="5"/>
  <c r="C66" i="5"/>
  <c r="E65" i="5"/>
  <c r="C65" i="5"/>
  <c r="E64" i="5"/>
  <c r="C64" i="5"/>
  <c r="E63" i="5"/>
  <c r="C63" i="5" s="1"/>
  <c r="E57" i="5"/>
  <c r="C57" i="5"/>
  <c r="E56" i="5"/>
  <c r="C56" i="5" s="1"/>
  <c r="E49" i="5"/>
  <c r="C49" i="5" s="1"/>
  <c r="E45" i="5"/>
  <c r="C45" i="5"/>
  <c r="E44" i="5"/>
  <c r="C44" i="5"/>
  <c r="E43" i="5"/>
  <c r="C43" i="5"/>
  <c r="E42" i="5"/>
  <c r="C42" i="5" s="1"/>
  <c r="E38" i="5"/>
  <c r="C38" i="5"/>
  <c r="E37" i="5"/>
  <c r="C37" i="5"/>
  <c r="E36" i="5"/>
  <c r="C36" i="5"/>
  <c r="E35" i="5"/>
  <c r="C35" i="5" s="1"/>
  <c r="E30" i="5"/>
  <c r="C30" i="5"/>
  <c r="E29" i="5"/>
  <c r="C29" i="5"/>
  <c r="E28" i="5"/>
  <c r="C28" i="5" s="1"/>
  <c r="E23" i="5"/>
  <c r="C23" i="5"/>
  <c r="E22" i="5"/>
  <c r="C22" i="5"/>
  <c r="E21" i="5"/>
  <c r="C21" i="5" s="1"/>
  <c r="E20" i="5"/>
  <c r="C20" i="5" s="1"/>
  <c r="E14" i="5"/>
  <c r="C14" i="5" s="1"/>
  <c r="E10" i="5"/>
  <c r="C10" i="5"/>
  <c r="E9" i="5"/>
  <c r="C9" i="5"/>
  <c r="E8" i="5"/>
  <c r="C8" i="5"/>
  <c r="M97" i="4"/>
  <c r="L97" i="4"/>
  <c r="E103" i="5" s="1"/>
  <c r="C103" i="5" s="1"/>
  <c r="I97" i="4"/>
  <c r="M96" i="4"/>
  <c r="L96" i="4"/>
  <c r="E102" i="5" s="1"/>
  <c r="C102" i="5" s="1"/>
  <c r="I96" i="4"/>
  <c r="M95" i="4"/>
  <c r="L95" i="4"/>
  <c r="I95" i="4"/>
  <c r="M94" i="4"/>
  <c r="L94" i="4"/>
  <c r="I94" i="4"/>
  <c r="M93" i="4"/>
  <c r="L93" i="4"/>
  <c r="I93" i="4"/>
  <c r="M92" i="4"/>
  <c r="L92" i="4"/>
  <c r="I92" i="4"/>
  <c r="M91" i="4"/>
  <c r="L91" i="4"/>
  <c r="E97" i="5" s="1"/>
  <c r="C97" i="5" s="1"/>
  <c r="I91" i="4"/>
  <c r="M90" i="4"/>
  <c r="L90" i="4"/>
  <c r="E96" i="5" s="1"/>
  <c r="C96" i="5" s="1"/>
  <c r="I90" i="4"/>
  <c r="M89" i="4"/>
  <c r="L89" i="4"/>
  <c r="E95" i="5" s="1"/>
  <c r="C95" i="5" s="1"/>
  <c r="I89" i="4"/>
  <c r="M88" i="4"/>
  <c r="L88" i="4"/>
  <c r="I88" i="4"/>
  <c r="M87" i="4"/>
  <c r="L87" i="4"/>
  <c r="I87" i="4"/>
  <c r="M86" i="4"/>
  <c r="L86" i="4"/>
  <c r="I86" i="4"/>
  <c r="M85" i="4"/>
  <c r="L85" i="4"/>
  <c r="I85" i="4"/>
  <c r="M84" i="4"/>
  <c r="L84" i="4"/>
  <c r="E90" i="5" s="1"/>
  <c r="C90" i="5" s="1"/>
  <c r="I84" i="4"/>
  <c r="M83" i="4"/>
  <c r="L83" i="4"/>
  <c r="E89" i="5" s="1"/>
  <c r="C89" i="5" s="1"/>
  <c r="I83" i="4"/>
  <c r="M82" i="4"/>
  <c r="L82" i="4"/>
  <c r="E88" i="5" s="1"/>
  <c r="C88" i="5" s="1"/>
  <c r="I82" i="4"/>
  <c r="M81" i="4"/>
  <c r="L81" i="4"/>
  <c r="E87" i="5" s="1"/>
  <c r="C87" i="5" s="1"/>
  <c r="I81" i="4"/>
  <c r="M80" i="4"/>
  <c r="L80" i="4"/>
  <c r="E86" i="5" s="1"/>
  <c r="C86" i="5" s="1"/>
  <c r="I80" i="4"/>
  <c r="M79" i="4"/>
  <c r="L79" i="4"/>
  <c r="I79" i="4"/>
  <c r="M78" i="4"/>
  <c r="L78" i="4"/>
  <c r="I78" i="4"/>
  <c r="M77" i="4"/>
  <c r="L77" i="4"/>
  <c r="E83" i="5" s="1"/>
  <c r="C83" i="5" s="1"/>
  <c r="I77" i="4"/>
  <c r="M76" i="4"/>
  <c r="L76" i="4"/>
  <c r="E82" i="5" s="1"/>
  <c r="C82" i="5" s="1"/>
  <c r="I76" i="4"/>
  <c r="M75" i="4"/>
  <c r="L75" i="4"/>
  <c r="E81" i="5" s="1"/>
  <c r="C81" i="5" s="1"/>
  <c r="I75" i="4"/>
  <c r="M74" i="4"/>
  <c r="L74" i="4"/>
  <c r="E80" i="5" s="1"/>
  <c r="C80" i="5" s="1"/>
  <c r="I74" i="4"/>
  <c r="M73" i="4"/>
  <c r="L73" i="4"/>
  <c r="E79" i="5" s="1"/>
  <c r="C79" i="5" s="1"/>
  <c r="I73" i="4"/>
  <c r="M72" i="4"/>
  <c r="L72" i="4"/>
  <c r="E78" i="5" s="1"/>
  <c r="C78" i="5" s="1"/>
  <c r="I72" i="4"/>
  <c r="M71" i="4"/>
  <c r="L71" i="4"/>
  <c r="I71" i="4"/>
  <c r="M70" i="4"/>
  <c r="L70" i="4"/>
  <c r="E76" i="5" s="1"/>
  <c r="C76" i="5" s="1"/>
  <c r="I70" i="4"/>
  <c r="M69" i="4"/>
  <c r="L69" i="4"/>
  <c r="E75" i="5" s="1"/>
  <c r="C75" i="5" s="1"/>
  <c r="I69" i="4"/>
  <c r="M68" i="4"/>
  <c r="L68" i="4"/>
  <c r="E74" i="5" s="1"/>
  <c r="C74" i="5" s="1"/>
  <c r="I68" i="4"/>
  <c r="M67" i="4"/>
  <c r="L67" i="4"/>
  <c r="I67" i="4"/>
  <c r="M66" i="4"/>
  <c r="L66" i="4"/>
  <c r="I66" i="4"/>
  <c r="M65" i="4"/>
  <c r="L65" i="4"/>
  <c r="I65" i="4"/>
  <c r="M64" i="4"/>
  <c r="L64" i="4"/>
  <c r="I64" i="4"/>
  <c r="M63" i="4"/>
  <c r="L63" i="4"/>
  <c r="E69" i="5" s="1"/>
  <c r="C69" i="5" s="1"/>
  <c r="I63" i="4"/>
  <c r="M62" i="4"/>
  <c r="L62" i="4"/>
  <c r="E68" i="5" s="1"/>
  <c r="C68" i="5" s="1"/>
  <c r="I62" i="4"/>
  <c r="M61" i="4"/>
  <c r="L61" i="4"/>
  <c r="E67" i="5" s="1"/>
  <c r="C67" i="5" s="1"/>
  <c r="I61" i="4"/>
  <c r="M60" i="4"/>
  <c r="L60" i="4"/>
  <c r="I60" i="4"/>
  <c r="M59" i="4"/>
  <c r="L59" i="4"/>
  <c r="I59" i="4"/>
  <c r="M58" i="4"/>
  <c r="L58" i="4"/>
  <c r="I58" i="4"/>
  <c r="M57" i="4"/>
  <c r="L57" i="4"/>
  <c r="I57" i="4"/>
  <c r="M56" i="4"/>
  <c r="L56" i="4"/>
  <c r="E62" i="5" s="1"/>
  <c r="C62" i="5" s="1"/>
  <c r="I56" i="4"/>
  <c r="M55" i="4"/>
  <c r="L55" i="4"/>
  <c r="E61" i="5" s="1"/>
  <c r="C61" i="5" s="1"/>
  <c r="I55" i="4"/>
  <c r="M54" i="4"/>
  <c r="L54" i="4"/>
  <c r="E60" i="5" s="1"/>
  <c r="C60" i="5" s="1"/>
  <c r="I54" i="4"/>
  <c r="M53" i="4"/>
  <c r="L53" i="4"/>
  <c r="E59" i="5" s="1"/>
  <c r="C59" i="5" s="1"/>
  <c r="I53" i="4"/>
  <c r="M52" i="4"/>
  <c r="L52" i="4"/>
  <c r="E58" i="5" s="1"/>
  <c r="C58" i="5" s="1"/>
  <c r="I52" i="4"/>
  <c r="M51" i="4"/>
  <c r="L51" i="4"/>
  <c r="I51" i="4"/>
  <c r="M50" i="4"/>
  <c r="L50" i="4"/>
  <c r="I50" i="4"/>
  <c r="M49" i="4"/>
  <c r="L49" i="4"/>
  <c r="E55" i="5" s="1"/>
  <c r="C55" i="5" s="1"/>
  <c r="I49" i="4"/>
  <c r="M48" i="4"/>
  <c r="L48" i="4"/>
  <c r="E54" i="5" s="1"/>
  <c r="C54" i="5" s="1"/>
  <c r="I48" i="4"/>
  <c r="M47" i="4"/>
  <c r="L47" i="4"/>
  <c r="E53" i="5" s="1"/>
  <c r="C53" i="5" s="1"/>
  <c r="I47" i="4"/>
  <c r="M46" i="4"/>
  <c r="L46" i="4"/>
  <c r="E52" i="5" s="1"/>
  <c r="C52" i="5" s="1"/>
  <c r="I46" i="4"/>
  <c r="M45" i="4"/>
  <c r="L45" i="4"/>
  <c r="E51" i="5" s="1"/>
  <c r="C51" i="5" s="1"/>
  <c r="I45" i="4"/>
  <c r="M44" i="4"/>
  <c r="L44" i="4"/>
  <c r="E50" i="5" s="1"/>
  <c r="C50" i="5" s="1"/>
  <c r="I44" i="4"/>
  <c r="M43" i="4"/>
  <c r="L43" i="4"/>
  <c r="I43" i="4"/>
  <c r="M42" i="4"/>
  <c r="L42" i="4"/>
  <c r="E48" i="5" s="1"/>
  <c r="C48" i="5" s="1"/>
  <c r="I42" i="4"/>
  <c r="M41" i="4"/>
  <c r="L41" i="4"/>
  <c r="E47" i="5" s="1"/>
  <c r="C47" i="5" s="1"/>
  <c r="I41" i="4"/>
  <c r="M40" i="4"/>
  <c r="L40" i="4"/>
  <c r="E46" i="5" s="1"/>
  <c r="C46" i="5" s="1"/>
  <c r="I40" i="4"/>
  <c r="M39" i="4"/>
  <c r="L39" i="4"/>
  <c r="I39" i="4"/>
  <c r="M38" i="4"/>
  <c r="L38" i="4"/>
  <c r="I38" i="4"/>
  <c r="M37" i="4"/>
  <c r="L37" i="4"/>
  <c r="I37" i="4"/>
  <c r="M36" i="4"/>
  <c r="L36" i="4"/>
  <c r="I36" i="4"/>
  <c r="M35" i="4"/>
  <c r="L35" i="4"/>
  <c r="E41" i="5" s="1"/>
  <c r="C41" i="5" s="1"/>
  <c r="I35" i="4"/>
  <c r="M34" i="4"/>
  <c r="L34" i="4"/>
  <c r="E40" i="5" s="1"/>
  <c r="C40" i="5" s="1"/>
  <c r="I34" i="4"/>
  <c r="M33" i="4"/>
  <c r="L33" i="4"/>
  <c r="E39" i="5" s="1"/>
  <c r="C39" i="5" s="1"/>
  <c r="I33" i="4"/>
  <c r="M32" i="4"/>
  <c r="L32" i="4"/>
  <c r="I32" i="4"/>
  <c r="M31" i="4"/>
  <c r="L31" i="4"/>
  <c r="I31" i="4"/>
  <c r="M30" i="4"/>
  <c r="L30" i="4"/>
  <c r="I30" i="4"/>
  <c r="D30" i="4"/>
  <c r="M29" i="4"/>
  <c r="L29" i="4"/>
  <c r="I29" i="4"/>
  <c r="M28" i="4"/>
  <c r="L28" i="4"/>
  <c r="E34" i="5" s="1"/>
  <c r="C34" i="5" s="1"/>
  <c r="I28" i="4"/>
  <c r="M27" i="4"/>
  <c r="L27" i="4"/>
  <c r="E33" i="5" s="1"/>
  <c r="C33" i="5" s="1"/>
  <c r="I27" i="4"/>
  <c r="D27" i="4" a="1"/>
  <c r="D27" i="4" s="1"/>
  <c r="B27" i="4"/>
  <c r="M26" i="4"/>
  <c r="L26" i="4"/>
  <c r="E32" i="5" s="1"/>
  <c r="C32" i="5" s="1"/>
  <c r="I26" i="4"/>
  <c r="M25" i="4"/>
  <c r="L25" i="4"/>
  <c r="E31" i="5" s="1"/>
  <c r="C31" i="5" s="1"/>
  <c r="I25" i="4"/>
  <c r="M24" i="4"/>
  <c r="L24" i="4"/>
  <c r="I24" i="4"/>
  <c r="M23" i="4"/>
  <c r="L23" i="4"/>
  <c r="I23" i="4"/>
  <c r="M22" i="4"/>
  <c r="L22" i="4"/>
  <c r="I22" i="4"/>
  <c r="M21" i="4"/>
  <c r="L21" i="4"/>
  <c r="E27" i="5" s="1"/>
  <c r="C27" i="5" s="1"/>
  <c r="I21" i="4"/>
  <c r="M20" i="4"/>
  <c r="L20" i="4"/>
  <c r="E26" i="5" s="1"/>
  <c r="C26" i="5" s="1"/>
  <c r="I20" i="4"/>
  <c r="M19" i="4"/>
  <c r="L19" i="4"/>
  <c r="E25" i="5" s="1"/>
  <c r="C25" i="5" s="1"/>
  <c r="I19" i="4"/>
  <c r="M18" i="4"/>
  <c r="L18" i="4"/>
  <c r="E24" i="5" s="1"/>
  <c r="C24" i="5" s="1"/>
  <c r="I18" i="4"/>
  <c r="M17" i="4"/>
  <c r="L17" i="4"/>
  <c r="I17" i="4"/>
  <c r="M16" i="4"/>
  <c r="L16" i="4"/>
  <c r="I16" i="4"/>
  <c r="M15" i="4"/>
  <c r="L15" i="4"/>
  <c r="I15" i="4"/>
  <c r="M14" i="4"/>
  <c r="L14" i="4"/>
  <c r="I14" i="4"/>
  <c r="M13" i="4"/>
  <c r="L13" i="4"/>
  <c r="E19" i="5" s="1"/>
  <c r="C19" i="5" s="1"/>
  <c r="I13" i="4"/>
  <c r="M12" i="4"/>
  <c r="L12" i="4"/>
  <c r="E18" i="5" s="1"/>
  <c r="C18" i="5" s="1"/>
  <c r="I12" i="4"/>
  <c r="M11" i="4"/>
  <c r="L11" i="4"/>
  <c r="E17" i="5" s="1"/>
  <c r="C17" i="5" s="1"/>
  <c r="I11" i="4"/>
  <c r="M10" i="4"/>
  <c r="L10" i="4"/>
  <c r="E16" i="5" s="1"/>
  <c r="C16" i="5" s="1"/>
  <c r="I10" i="4"/>
  <c r="M9" i="4"/>
  <c r="L9" i="4"/>
  <c r="E15" i="5" s="1"/>
  <c r="C15" i="5" s="1"/>
  <c r="I9" i="4"/>
  <c r="M8" i="4"/>
  <c r="L8" i="4"/>
  <c r="I8" i="4"/>
  <c r="M7" i="4"/>
  <c r="L7" i="4"/>
  <c r="E13" i="5" s="1"/>
  <c r="C13" i="5" s="1"/>
  <c r="I7" i="4"/>
  <c r="M6" i="4"/>
  <c r="L6" i="4"/>
  <c r="E12" i="5" s="1"/>
  <c r="C12" i="5" s="1"/>
  <c r="I6" i="4"/>
  <c r="M5" i="4"/>
  <c r="L5" i="4"/>
  <c r="E11" i="5" s="1"/>
  <c r="C11" i="5" s="1"/>
  <c r="I5" i="4"/>
  <c r="M4" i="4"/>
  <c r="L4" i="4"/>
  <c r="I4" i="4"/>
  <c r="M3" i="4"/>
  <c r="L3" i="4"/>
  <c r="I3" i="4"/>
  <c r="M2" i="4"/>
  <c r="D25" i="4" s="1"/>
  <c r="L2" i="4"/>
  <c r="B25" i="4" s="1"/>
  <c r="I2" i="4"/>
  <c r="K13" i="1"/>
  <c r="K12" i="1"/>
  <c r="K11" i="1"/>
  <c r="K10" i="1"/>
  <c r="K9" i="1"/>
  <c r="K8" i="1"/>
  <c r="O7" i="1"/>
  <c r="K7" i="1"/>
  <c r="K6" i="1"/>
  <c r="P4" i="1"/>
  <c r="N4" i="1"/>
  <c r="M4" i="1"/>
  <c r="L4" i="1"/>
  <c r="C4" i="1"/>
  <c r="B4" i="1"/>
  <c r="G4" i="1" s="1"/>
  <c r="A4" i="1"/>
  <c r="Q4" i="1" s="1"/>
  <c r="D96" i="5" a="1"/>
  <c r="D89" i="5" a="1"/>
  <c r="D75" i="5" a="1"/>
  <c r="D68" i="5" a="1"/>
  <c r="D54" i="5" a="1"/>
  <c r="D40" i="5" a="1"/>
  <c r="D33" i="5" a="1"/>
  <c r="D19" i="5" a="1"/>
  <c r="D73" i="5" a="1"/>
  <c r="D52" i="5" a="1"/>
  <c r="D24" i="5" a="1"/>
  <c r="D86" i="5" a="1"/>
  <c r="D37" i="5" a="1"/>
  <c r="D57" i="5" a="1"/>
  <c r="D84" i="5" a="1"/>
  <c r="D63" i="5" a="1"/>
  <c r="D35" i="5" a="1"/>
  <c r="D14" i="5" a="1"/>
  <c r="D103" i="5" a="1"/>
  <c r="D82" i="5" a="1"/>
  <c r="D61" i="5" a="1"/>
  <c r="D47" i="5" a="1"/>
  <c r="D26" i="5" a="1"/>
  <c r="D12" i="5" a="1"/>
  <c r="D80" i="5" a="1"/>
  <c r="D38" i="5" a="1"/>
  <c r="D10" i="5" a="1"/>
  <c r="D65" i="5" a="1"/>
  <c r="D30" i="5" a="1"/>
  <c r="D102" i="5" a="1"/>
  <c r="D101" i="5" a="1"/>
  <c r="D31" i="5" a="1"/>
  <c r="D72" i="5" a="1"/>
  <c r="D85" i="5" a="1"/>
  <c r="D29" i="5" a="1"/>
  <c r="D95" i="5" a="1"/>
  <c r="D74" i="5" a="1"/>
  <c r="D60" i="5" a="1"/>
  <c r="D46" i="5" a="1"/>
  <c r="D32" i="5" a="1"/>
  <c r="D11" i="5" a="1"/>
  <c r="D59" i="5" a="1"/>
  <c r="D17" i="5" a="1"/>
  <c r="D93" i="5" a="1"/>
  <c r="D16" i="5" a="1"/>
  <c r="D92" i="5" a="1"/>
  <c r="D36" i="5" a="1"/>
  <c r="D98" i="5" a="1"/>
  <c r="D49" i="5" a="1"/>
  <c r="D88" i="5" a="1"/>
  <c r="D81" i="5" a="1"/>
  <c r="D67" i="5" a="1"/>
  <c r="D53" i="5" a="1"/>
  <c r="D39" i="5" a="1"/>
  <c r="D18" i="5" a="1"/>
  <c r="D87" i="5" a="1"/>
  <c r="D58" i="5" a="1"/>
  <c r="D23" i="5" a="1"/>
  <c r="D50" i="5" a="1"/>
  <c r="D8" i="5" a="1"/>
  <c r="D25" i="5" a="1"/>
  <c r="D94" i="5" a="1"/>
  <c r="D45" i="5" a="1"/>
  <c r="D79" i="5" a="1"/>
  <c r="D78" i="5" a="1"/>
  <c r="D43" i="5" a="1"/>
  <c r="D91" i="5" a="1"/>
  <c r="D28" i="5" a="1"/>
  <c r="D83" i="5" a="1"/>
  <c r="D20" i="5" a="1"/>
  <c r="D70" i="5" a="1"/>
  <c r="D97" i="5" a="1"/>
  <c r="D76" i="5" a="1"/>
  <c r="D69" i="5" a="1"/>
  <c r="D62" i="5" a="1"/>
  <c r="D48" i="5" a="1"/>
  <c r="D41" i="5" a="1"/>
  <c r="D27" i="5" a="1"/>
  <c r="D13" i="5" a="1"/>
  <c r="D100" i="5" a="1"/>
  <c r="D9" i="5" a="1"/>
  <c r="D99" i="5" a="1"/>
  <c r="D22" i="5" a="1"/>
  <c r="D21" i="5" a="1"/>
  <c r="D90" i="5" a="1"/>
  <c r="D55" i="5" a="1"/>
  <c r="D34" i="5" a="1"/>
  <c r="D44" i="5" a="1"/>
  <c r="D64" i="5" a="1"/>
  <c r="D15" i="5" a="1"/>
  <c r="D56" i="5" a="1"/>
  <c r="D66" i="5" a="1"/>
  <c r="D51" i="5" a="1"/>
  <c r="D71" i="5" a="1"/>
  <c r="D77" i="5" a="1"/>
  <c r="D42" i="5" a="1"/>
  <c r="D42" i="5" l="1"/>
  <c r="D77" i="5"/>
  <c r="D71" i="5"/>
  <c r="D51" i="5"/>
  <c r="D66" i="5"/>
  <c r="D56" i="5"/>
  <c r="D15" i="5"/>
  <c r="D64" i="5"/>
  <c r="D44" i="5"/>
  <c r="D34" i="5"/>
  <c r="D55" i="5"/>
  <c r="D90" i="5"/>
  <c r="D21" i="5"/>
  <c r="D22" i="5"/>
  <c r="D99" i="5"/>
  <c r="D9" i="5"/>
  <c r="D100" i="5"/>
  <c r="D13" i="5"/>
  <c r="D27" i="5"/>
  <c r="D41" i="5"/>
  <c r="D48" i="5"/>
  <c r="D62" i="5"/>
  <c r="D69" i="5"/>
  <c r="D76" i="5"/>
  <c r="D97" i="5"/>
  <c r="D70" i="5"/>
  <c r="D20" i="5"/>
  <c r="D83" i="5"/>
  <c r="D28" i="5"/>
  <c r="D91" i="5"/>
  <c r="D43" i="5"/>
  <c r="D78" i="5"/>
  <c r="D79" i="5"/>
  <c r="D45" i="5"/>
  <c r="D94" i="5"/>
  <c r="D25" i="5"/>
  <c r="D8" i="5"/>
  <c r="D50" i="5"/>
  <c r="D23" i="5"/>
  <c r="D58" i="5"/>
  <c r="D87" i="5"/>
  <c r="D18" i="5"/>
  <c r="D39" i="5"/>
  <c r="D53" i="5"/>
  <c r="D67" i="5"/>
  <c r="D81" i="5"/>
  <c r="D88" i="5"/>
  <c r="D49" i="5"/>
  <c r="D98" i="5"/>
  <c r="D36" i="5"/>
  <c r="D92" i="5"/>
  <c r="D16" i="5"/>
  <c r="D93" i="5"/>
  <c r="D17" i="5"/>
  <c r="D59" i="5"/>
  <c r="D11" i="5"/>
  <c r="C3" i="5" s="1" a="1"/>
  <c r="C3" i="5" s="1"/>
  <c r="D32" i="5"/>
  <c r="D46" i="5"/>
  <c r="D60" i="5"/>
  <c r="D74" i="5"/>
  <c r="D95" i="5"/>
  <c r="D29" i="5"/>
  <c r="D85" i="5"/>
  <c r="D72" i="5"/>
  <c r="D31" i="5"/>
  <c r="D101" i="5"/>
  <c r="D102" i="5"/>
  <c r="D30" i="5"/>
  <c r="D65" i="5"/>
  <c r="D10" i="5"/>
  <c r="D38" i="5"/>
  <c r="D80" i="5"/>
  <c r="D12" i="5"/>
  <c r="D26" i="5"/>
  <c r="D47" i="5"/>
  <c r="D61" i="5"/>
  <c r="D82" i="5"/>
  <c r="D103" i="5"/>
  <c r="D14" i="5"/>
  <c r="D35" i="5"/>
  <c r="D63" i="5"/>
  <c r="D84" i="5"/>
  <c r="D57" i="5"/>
  <c r="D37" i="5"/>
  <c r="D86" i="5"/>
  <c r="D24" i="5"/>
  <c r="D52" i="5"/>
  <c r="D73" i="5"/>
  <c r="D19" i="5"/>
  <c r="D33" i="5"/>
  <c r="D40" i="5"/>
  <c r="D54" i="5"/>
  <c r="D68" i="5"/>
  <c r="D75" i="5"/>
  <c r="D89" i="5"/>
  <c r="D96" i="5"/>
  <c r="D28" i="4"/>
  <c r="D26" i="4"/>
  <c r="B26" i="4"/>
  <c r="O6" i="1"/>
  <c r="O8" i="1" s="1"/>
  <c r="E4" i="1"/>
  <c r="H4" i="1"/>
  <c r="F4" i="1"/>
  <c r="I4" i="1"/>
  <c r="D4" i="1"/>
  <c r="K4" i="1" s="1"/>
  <c r="O4" i="1" s="1"/>
  <c r="G3" i="5" l="1" a="1"/>
  <c r="G3" i="5" s="1"/>
  <c r="B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sz val="11"/>
            <color theme="1"/>
            <rFont val="等线"/>
            <charset val="134"/>
            <scheme val="minor"/>
          </rPr>
          <t>GOLDWIND:
月度费用除以月度充电电量。以下两个值均如此计算。</t>
        </r>
      </text>
    </comment>
  </commentList>
</comments>
</file>

<file path=xl/sharedStrings.xml><?xml version="1.0" encoding="utf-8"?>
<sst xmlns="http://schemas.openxmlformats.org/spreadsheetml/2006/main" count="430" uniqueCount="353">
  <si>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</si>
  <si>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</si>
  <si>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</si>
  <si>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</si>
  <si>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</si>
  <si>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</si>
  <si>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</si>
  <si>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</si>
  <si>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</si>
  <si>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</si>
  <si>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</si>
  <si>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</si>
  <si>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</si>
  <si>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</si>
  <si>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</si>
  <si>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</si>
  <si>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</si>
  <si>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</si>
  <si>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</si>
  <si>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</si>
  <si>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</si>
  <si>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</si>
  <si>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</si>
  <si>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</si>
  <si>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清分单收益</t>
  </si>
  <si>
    <t>充电均价（元 / MWh）输入限制：-100 至 800；</t>
  </si>
  <si>
    <t>调频收益</t>
  </si>
  <si>
    <t xml:space="preserve">输配电价（元 / MWh）设置：收取损耗部分输配电价； </t>
  </si>
  <si>
    <t>政府核定</t>
  </si>
  <si>
    <t>价差收益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</si>
  <si>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</si>
  <si>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</si>
  <si>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</si>
  <si>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</si>
  <si>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</si>
  <si>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</si>
  <si>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</si>
  <si>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</si>
  <si>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</si>
  <si>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2026年5月21日日清算临时结果单（售电侧）</t>
  </si>
  <si>
    <t>德州润津储能科技有限公司(用电):</t>
  </si>
  <si>
    <t>单位：兆瓦时、元/兆瓦时、元</t>
  </si>
  <si>
    <t>时段</t>
  </si>
  <si>
    <t>省内实时市场结算</t>
  </si>
  <si>
    <t>省内日前市场结算</t>
  </si>
  <si>
    <t>省内中长期结算</t>
  </si>
  <si>
    <t>跨省跨区直接交易结算</t>
  </si>
  <si>
    <t>运行成本类费用</t>
  </si>
  <si>
    <t>市场偏差类费用</t>
  </si>
  <si>
    <t>辅助服务费用</t>
  </si>
  <si>
    <t>总计</t>
  </si>
  <si>
    <t>实时用电量</t>
  </si>
  <si>
    <t>实时市场电价</t>
  </si>
  <si>
    <t>实时电能量电费</t>
  </si>
  <si>
    <t>日前出清电量</t>
  </si>
  <si>
    <t>日前市场出清电价</t>
  </si>
  <si>
    <t>实时市场统一结算点电价</t>
  </si>
  <si>
    <t>日前电能量电费</t>
  </si>
  <si>
    <t>中长期合约电量</t>
  </si>
  <si>
    <t>中长期合约电价</t>
  </si>
  <si>
    <t>中长期结算参考点现货市场电价</t>
  </si>
  <si>
    <t>中长期合约电费</t>
  </si>
  <si>
    <t>银东双边电量</t>
  </si>
  <si>
    <t>银东双边价格</t>
  </si>
  <si>
    <t>银东双边电费</t>
  </si>
  <si>
    <t>银东竞价电量</t>
  </si>
  <si>
    <t>银东竞价价格</t>
  </si>
  <si>
    <t>银东竞价电费</t>
  </si>
  <si>
    <t>运行成本补偿费用</t>
  </si>
  <si>
    <t>运行成本补偿费用分摊</t>
  </si>
  <si>
    <t>市场超额收益回收返还</t>
  </si>
  <si>
    <t>调频辅助服务费用分摊</t>
  </si>
  <si>
    <t>总结算电量</t>
  </si>
  <si>
    <t>总结算均价</t>
  </si>
  <si>
    <t>总结算费用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</si>
  <si>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</si>
  <si>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</si>
  <si>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</si>
  <si>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</si>
  <si>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</si>
  <si>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</si>
  <si>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</si>
  <si>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</si>
  <si>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</si>
  <si>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</si>
  <si>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</si>
  <si>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</si>
  <si>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</si>
  <si>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</si>
  <si>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</si>
  <si>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</si>
  <si>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</si>
  <si>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</si>
  <si>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</si>
  <si>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</si>
  <si>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</si>
  <si>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-</t>
  </si>
  <si>
    <t>22:00</t>
  </si>
  <si>
    <t>23:00</t>
  </si>
  <si>
    <t>24:00</t>
  </si>
  <si>
    <t>合计</t>
  </si>
  <si>
    <t>2026年5月21日日清算临时结果单（发电侧）</t>
  </si>
  <si>
    <t>德州润津储能科技有限公司(发电):</t>
  </si>
  <si>
    <t>跨省跨区结算</t>
  </si>
  <si>
    <t>非市场结算</t>
  </si>
  <si>
    <t>调试期结算</t>
  </si>
  <si>
    <t>运行成本补偿及分摊</t>
  </si>
  <si>
    <t>供热考核及返还</t>
  </si>
  <si>
    <t>市场超额收益回收</t>
  </si>
  <si>
    <t>调频辅助服务</t>
  </si>
  <si>
    <t>爬坡辅助服务</t>
  </si>
  <si>
    <t>总结算电量及费用</t>
  </si>
  <si>
    <t>省间中长期结算电量</t>
  </si>
  <si>
    <t>省间中长期结算价格</t>
  </si>
  <si>
    <t>省间中长期结算电费</t>
  </si>
  <si>
    <t>省间日前结算电量</t>
  </si>
  <si>
    <t>省间日前结算价格</t>
  </si>
  <si>
    <t>省间日前结算电费</t>
  </si>
  <si>
    <t>省间应急外送结算电量</t>
  </si>
  <si>
    <t>省间应急外送结算价格</t>
  </si>
  <si>
    <t>省间应急外送结算电费</t>
  </si>
  <si>
    <t>非市场结算电量</t>
  </si>
  <si>
    <t>非市场结算价格</t>
  </si>
  <si>
    <t>非市场电能量电费</t>
  </si>
  <si>
    <t>调试期结算电量</t>
  </si>
  <si>
    <t>实际上网电量</t>
  </si>
  <si>
    <t>实时市场节点电价</t>
  </si>
  <si>
    <t>中长期合约固定价格</t>
  </si>
  <si>
    <t>运行成本分摊费用</t>
  </si>
  <si>
    <t>供热考核费用</t>
  </si>
  <si>
    <t>供热返还费用</t>
  </si>
  <si>
    <t>调频辅助服务补偿费用</t>
  </si>
  <si>
    <t>调频辅助服务分摊费用</t>
  </si>
  <si>
    <t>爬坡辅助服务补偿费用</t>
  </si>
  <si>
    <t>爬坡辅助服务考核费用</t>
  </si>
  <si>
    <t>爬坡辅助服务分摊费用</t>
  </si>
  <si>
    <t>00:15</t>
  </si>
  <si>
    <t>00:30</t>
  </si>
  <si>
    <t>00:45</t>
  </si>
  <si>
    <t>01:15</t>
  </si>
  <si>
    <t>01:30</t>
  </si>
  <si>
    <t>01:45</t>
  </si>
  <si>
    <t>02:15</t>
  </si>
  <si>
    <t>02:30</t>
  </si>
  <si>
    <t>02:45</t>
  </si>
  <si>
    <t>03:15</t>
  </si>
  <si>
    <t>03:30</t>
  </si>
  <si>
    <t>03:45</t>
  </si>
  <si>
    <t>04:15</t>
  </si>
  <si>
    <t>04:30</t>
  </si>
  <si>
    <t>04:45</t>
  </si>
  <si>
    <t>05:15</t>
  </si>
  <si>
    <t>05:30</t>
  </si>
  <si>
    <t>05:45</t>
  </si>
  <si>
    <t>06:15</t>
  </si>
  <si>
    <t>06:30</t>
  </si>
  <si>
    <t>06:45</t>
  </si>
  <si>
    <t>07:15</t>
  </si>
  <si>
    <t>07:30</t>
  </si>
  <si>
    <t>07:45</t>
  </si>
  <si>
    <t>08:15</t>
  </si>
  <si>
    <t>08:30</t>
  </si>
  <si>
    <t>08:45</t>
  </si>
  <si>
    <t>09:15</t>
  </si>
  <si>
    <t>09:30</t>
  </si>
  <si>
    <t>09:45</t>
  </si>
  <si>
    <t>10:15</t>
  </si>
  <si>
    <t>10:30</t>
  </si>
  <si>
    <t>10:45</t>
  </si>
  <si>
    <t>11:15</t>
  </si>
  <si>
    <t>11:30</t>
  </si>
  <si>
    <t>11:45</t>
  </si>
  <si>
    <t>12:15</t>
  </si>
  <si>
    <t>12:30</t>
  </si>
  <si>
    <t>12:45</t>
  </si>
  <si>
    <t>13:15</t>
  </si>
  <si>
    <t>13:30</t>
  </si>
  <si>
    <t>13:45</t>
  </si>
  <si>
    <t>14:15</t>
  </si>
  <si>
    <t>14:30</t>
  </si>
  <si>
    <t>14:45</t>
  </si>
  <si>
    <t>15:15</t>
  </si>
  <si>
    <t>15:30</t>
  </si>
  <si>
    <t>15:45</t>
  </si>
  <si>
    <t>16:15</t>
  </si>
  <si>
    <t>16:30</t>
  </si>
  <si>
    <t>16:45</t>
  </si>
  <si>
    <t>17:15</t>
  </si>
  <si>
    <t>17:30</t>
  </si>
  <si>
    <t>17:45</t>
  </si>
  <si>
    <t>18:15</t>
  </si>
  <si>
    <t>18:30</t>
  </si>
  <si>
    <t>18:45</t>
  </si>
  <si>
    <t>19:15</t>
  </si>
  <si>
    <t>19:30</t>
  </si>
  <si>
    <t>19:45</t>
  </si>
  <si>
    <t>20:15</t>
  </si>
  <si>
    <t>20:30</t>
  </si>
  <si>
    <t>20:45</t>
  </si>
  <si>
    <t>21:15</t>
  </si>
  <si>
    <t>21:30</t>
  </si>
  <si>
    <t>21:45</t>
  </si>
  <si>
    <t>22:15</t>
  </si>
  <si>
    <t>22:30</t>
  </si>
  <si>
    <t>22:45</t>
  </si>
  <si>
    <t>23:15</t>
  </si>
  <si>
    <t>23:30</t>
  </si>
  <si>
    <t>23:45</t>
  </si>
  <si>
    <t>假设</t>
  </si>
  <si>
    <t>时点序号</t>
  </si>
  <si>
    <t>时点</t>
  </si>
  <si>
    <t>统一结算日前</t>
  </si>
  <si>
    <t>节点日前电价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</si>
  <si>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</si>
  <si>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</si>
  <si>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</si>
  <si>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</si>
  <si>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</si>
  <si>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</si>
  <si>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</si>
  <si>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</si>
  <si>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</si>
  <si>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</si>
  <si>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</si>
  <si>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</si>
  <si>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</si>
  <si>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</si>
  <si>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</si>
  <si>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</si>
  <si>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</si>
  <si>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</si>
  <si>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</si>
  <si>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</si>
  <si>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</si>
  <si>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</si>
  <si>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</si>
  <si>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</si>
  <si>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</si>
  <si>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</si>
  <si>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</si>
  <si>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</si>
  <si>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</si>
  <si>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</si>
  <si>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</si>
  <si>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</si>
  <si>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</si>
  <si>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</si>
  <si>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</si>
  <si>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</si>
  <si>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</si>
  <si>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</si>
  <si>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</si>
  <si>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</si>
  <si>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</si>
  <si>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</si>
  <si>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</si>
  <si>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</si>
  <si>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</si>
  <si>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</si>
  <si>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</si>
  <si>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</si>
  <si>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</si>
  <si>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</si>
  <si>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</si>
  <si>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</si>
  <si>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</si>
  <si>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</si>
  <si>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</si>
  <si>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报价(元/MWh)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</si>
  <si>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</si>
  <si>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</si>
  <si>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</si>
  <si>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</si>
  <si>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</si>
  <si>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</si>
  <si>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</si>
  <si>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</si>
  <si>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</si>
  <si>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</si>
  <si>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</si>
  <si>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</si>
  <si>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</si>
  <si>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</si>
  <si>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</si>
  <si>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</si>
  <si>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</si>
  <si>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</si>
  <si>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</si>
  <si>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</si>
  <si>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</si>
  <si>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</si>
  <si>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</si>
  <si>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</si>
  <si>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</si>
  <si>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</si>
  <si>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</si>
  <si>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</si>
  <si>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</si>
  <si>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</si>
  <si>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</si>
  <si>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</si>
  <si>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</si>
  <si>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</si>
  <si>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</si>
  <si>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</si>
  <si>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</si>
  <si>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</si>
  <si>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</si>
  <si>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</si>
  <si>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</si>
  <si>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</si>
  <si>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</si>
  <si>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</si>
  <si>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</si>
  <si>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</si>
  <si>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</si>
  <si>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</si>
  <si>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</si>
  <si>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</si>
  <si>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</si>
  <si>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</si>
  <si>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</si>
  <si>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</si>
  <si>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</si>
  <si>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</si>
  <si>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</si>
  <si>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</si>
  <si>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</si>
  <si>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</si>
  <si>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</si>
  <si>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</si>
  <si>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</si>
  <si>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</si>
  <si>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</si>
  <si>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</si>
  <si>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</si>
  <si>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</si>
  <si>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</si>
  <si>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</si>
  <si>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</si>
  <si>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容量分摊系数（2026年）</t>
  </si>
  <si>
    <t>3月</t>
  </si>
  <si>
    <t>1月</t>
  </si>
  <si>
    <t>2月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</si>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</sst>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#,##0.000"/>
    <numFmt numFmtId="178" formatCode="0.00_);[Red]\(0.00\)"/>
    <numFmt numFmtId="179" formatCode="#0.000"/>
  </numFmts>
  <fonts count="18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  <font>
      <sz val="11"/>
      <color indexed="8"/>
      <name val="等线"/>
      <family val="2"/>
      <charset val="1"/>
      <scheme val="minor"/>
    </font>
    <font>
      <b/>
      <sz val="9"/>
      <name val="黑体"/>
      <family val="3"/>
      <charset val="134"/>
    </font>
    <font>
      <b/>
      <sz val="22"/>
      <name val="黑体"/>
      <family val="3"/>
      <charset val="134"/>
    </font>
    <font>
      <b/>
      <sz val="14"/>
      <name val="SimSun"/>
      <charset val="134"/>
    </font>
    <font>
      <b/>
      <sz val="9"/>
      <name val="SimSun"/>
      <charset val="134"/>
    </font>
    <font>
      <b/>
      <sz val="27"/>
      <name val="SimSun"/>
      <charset val="134"/>
    </font>
    <font>
      <sz val="9"/>
      <name val="SimSun"/>
      <charset val="134"/>
    </font>
    <font>
      <b/>
      <sz val="10"/>
      <name val="黑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6" fillId="0" borderId="0">
      <alignment vertical="center"/>
    </xf>
    <xf numFmtId="0" fontId="1" fillId="0" borderId="0"/>
    <xf numFmtId="0" fontId="10" fillId="0" borderId="0">
      <alignment vertical="center"/>
    </xf>
    <xf numFmtId="0" fontId="6" fillId="0" borderId="0"/>
  </cellStyleXfs>
  <cellXfs count="135">
    <xf numFmtId="0" fontId="0" fillId="0" borderId="0" xfId="0"/>
    <xf numFmtId="0" fontId="1" fillId="0" borderId="0" xfId="2" applyAlignment="1">
      <alignment horizontal="center" vertical="center"/>
    </xf>
    <xf numFmtId="0" fontId="1" fillId="0" borderId="12" xfId="2" applyBorder="1" applyAlignment="1">
      <alignment horizontal="center" vertical="center"/>
    </xf>
    <xf numFmtId="0" fontId="1" fillId="0" borderId="13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21" xfId="2" applyBorder="1" applyAlignment="1">
      <alignment horizontal="center" vertical="center"/>
    </xf>
    <xf numFmtId="0" fontId="1" fillId="0" borderId="22" xfId="2" applyBorder="1" applyAlignment="1">
      <alignment horizontal="center" vertical="center"/>
    </xf>
    <xf numFmtId="0" fontId="1" fillId="0" borderId="12" xfId="2" applyBorder="1"/>
    <xf numFmtId="0" fontId="1" fillId="0" borderId="16" xfId="2" applyBorder="1"/>
    <xf numFmtId="0" fontId="1" fillId="0" borderId="20" xfId="2" applyBorder="1"/>
    <xf numFmtId="0" fontId="1" fillId="0" borderId="23" xfId="2" applyBorder="1"/>
    <xf numFmtId="0" fontId="1" fillId="0" borderId="21" xfId="2" applyBorder="1"/>
    <xf numFmtId="9" fontId="1" fillId="0" borderId="24" xfId="2" applyNumberFormat="1" applyBorder="1"/>
    <xf numFmtId="0" fontId="1" fillId="0" borderId="25" xfId="2" applyBorder="1"/>
    <xf numFmtId="0" fontId="1" fillId="0" borderId="26" xfId="2" applyBorder="1"/>
    <xf numFmtId="3" fontId="1" fillId="0" borderId="27" xfId="2" applyNumberFormat="1" applyBorder="1"/>
    <xf numFmtId="0" fontId="1" fillId="0" borderId="28" xfId="2" applyBorder="1"/>
    <xf numFmtId="4" fontId="1" fillId="0" borderId="0" xfId="2" applyNumberFormat="1" applyAlignment="1">
      <alignment horizontal="right"/>
    </xf>
    <xf numFmtId="4" fontId="1" fillId="0" borderId="29" xfId="2" applyNumberFormat="1" applyBorder="1"/>
    <xf numFmtId="3" fontId="1" fillId="0" borderId="0" xfId="2" applyNumberFormat="1"/>
    <xf numFmtId="3" fontId="1" fillId="0" borderId="29" xfId="2" applyNumberFormat="1" applyBorder="1"/>
    <xf numFmtId="0" fontId="1" fillId="0" borderId="30" xfId="2" applyBorder="1"/>
    <xf numFmtId="0" fontId="1" fillId="0" borderId="31" xfId="2" applyBorder="1"/>
    <xf numFmtId="3" fontId="1" fillId="0" borderId="32" xfId="2" applyNumberFormat="1" applyBorder="1"/>
    <xf numFmtId="0" fontId="1" fillId="0" borderId="0" xfId="2"/>
    <xf numFmtId="0" fontId="1" fillId="0" borderId="0" xfId="2" applyAlignment="1">
      <alignment horizontal="center"/>
    </xf>
    <xf numFmtId="0" fontId="1" fillId="0" borderId="16" xfId="2" applyBorder="1" applyAlignment="1">
      <alignment horizontal="center" vertical="center"/>
    </xf>
    <xf numFmtId="0" fontId="1" fillId="0" borderId="23" xfId="2" applyBorder="1" applyAlignment="1">
      <alignment horizontal="center" vertical="center"/>
    </xf>
    <xf numFmtId="0" fontId="1" fillId="0" borderId="24" xfId="2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4" borderId="1" xfId="0" applyFill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2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1" fillId="0" borderId="23" xfId="2" applyNumberFormat="1" applyBorder="1" applyAlignment="1">
      <alignment horizontal="center" vertical="center"/>
    </xf>
    <xf numFmtId="2" fontId="1" fillId="0" borderId="0" xfId="2" applyNumberFormat="1"/>
    <xf numFmtId="0" fontId="0" fillId="0" borderId="0" xfId="0" applyAlignment="1">
      <alignment horizontal="center" vertical="center"/>
    </xf>
    <xf numFmtId="0" fontId="5" fillId="0" borderId="2" xfId="4" applyFont="1" applyBorder="1"/>
    <xf numFmtId="0" fontId="5" fillId="0" borderId="3" xfId="4" applyFont="1" applyBorder="1"/>
    <xf numFmtId="0" fontId="5" fillId="0" borderId="4" xfId="4" applyFont="1" applyBorder="1"/>
    <xf numFmtId="0" fontId="5" fillId="0" borderId="0" xfId="4" applyFont="1"/>
    <xf numFmtId="0" fontId="5" fillId="0" borderId="5" xfId="4" applyFont="1" applyBorder="1"/>
    <xf numFmtId="0" fontId="5" fillId="0" borderId="6" xfId="4" applyFont="1" applyBorder="1"/>
    <xf numFmtId="0" fontId="5" fillId="0" borderId="7" xfId="4" applyFont="1" applyBorder="1"/>
    <xf numFmtId="0" fontId="5" fillId="0" borderId="0" xfId="4" applyFont="1" applyAlignment="1">
      <alignment horizontal="center"/>
    </xf>
    <xf numFmtId="0" fontId="5" fillId="0" borderId="1" xfId="4" applyFont="1" applyBorder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5" fillId="0" borderId="14" xfId="4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5" xfId="4" applyFont="1" applyBorder="1" applyAlignment="1">
      <alignment horizontal="center" vertical="center"/>
    </xf>
    <xf numFmtId="0" fontId="5" fillId="0" borderId="18" xfId="4" applyFont="1" applyBorder="1" applyAlignment="1">
      <alignment horizontal="center" vertical="center"/>
    </xf>
    <xf numFmtId="0" fontId="5" fillId="0" borderId="19" xfId="4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8" borderId="0" xfId="0" applyFont="1" applyFill="1" applyAlignment="1">
      <alignment vertical="center" wrapText="1"/>
    </xf>
    <xf numFmtId="0" fontId="16" fillId="8" borderId="0" xfId="0" applyFont="1" applyFill="1" applyAlignment="1">
      <alignment vertical="center" wrapText="1"/>
    </xf>
    <xf numFmtId="0" fontId="14" fillId="8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1" fillId="8" borderId="43" xfId="0" applyFont="1" applyFill="1" applyBorder="1" applyAlignment="1">
      <alignment horizontal="center" vertical="center" wrapText="1"/>
    </xf>
    <xf numFmtId="4" fontId="11" fillId="8" borderId="43" xfId="0" applyNumberFormat="1" applyFont="1" applyFill="1" applyBorder="1" applyAlignment="1">
      <alignment horizontal="center" vertical="center" wrapText="1"/>
    </xf>
    <xf numFmtId="4" fontId="16" fillId="0" borderId="43" xfId="0" applyNumberFormat="1" applyFont="1" applyBorder="1" applyAlignment="1">
      <alignment vertical="center" wrapText="1"/>
    </xf>
    <xf numFmtId="0" fontId="11" fillId="10" borderId="43" xfId="0" applyFont="1" applyFill="1" applyBorder="1" applyAlignment="1">
      <alignment horizontal="center" vertical="center" wrapText="1"/>
    </xf>
    <xf numFmtId="4" fontId="11" fillId="10" borderId="43" xfId="0" applyNumberFormat="1" applyFont="1" applyFill="1" applyBorder="1" applyAlignment="1">
      <alignment horizontal="center" vertical="center" wrapText="1"/>
    </xf>
    <xf numFmtId="4" fontId="16" fillId="10" borderId="43" xfId="0" applyNumberFormat="1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1" fillId="0" borderId="0" xfId="0" applyFont="1"/>
    <xf numFmtId="0" fontId="0" fillId="0" borderId="0" xfId="0"/>
    <xf numFmtId="0" fontId="8" fillId="6" borderId="39" xfId="0" applyFont="1" applyFill="1" applyBorder="1" applyAlignment="1">
      <alignment horizontal="center" vertical="center" wrapText="1"/>
    </xf>
    <xf numFmtId="0" fontId="8" fillId="6" borderId="40" xfId="0" applyFont="1" applyFill="1" applyBorder="1" applyAlignment="1">
      <alignment horizontal="center" vertical="center" wrapText="1"/>
    </xf>
    <xf numFmtId="0" fontId="8" fillId="6" borderId="34" xfId="0" applyFont="1" applyFill="1" applyBorder="1" applyAlignment="1">
      <alignment horizontal="center" vertical="center" wrapText="1"/>
    </xf>
    <xf numFmtId="0" fontId="9" fillId="6" borderId="42" xfId="0" applyFont="1" applyFill="1" applyBorder="1" applyAlignment="1">
      <alignment horizontal="center" vertical="center" wrapText="1"/>
    </xf>
    <xf numFmtId="0" fontId="9" fillId="6" borderId="41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33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9" fillId="6" borderId="34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horizontal="center" vertical="center" wrapText="1"/>
    </xf>
    <xf numFmtId="0" fontId="9" fillId="7" borderId="34" xfId="0" applyFont="1" applyFill="1" applyBorder="1" applyAlignment="1">
      <alignment horizontal="center" vertical="center" wrapText="1"/>
    </xf>
    <xf numFmtId="0" fontId="9" fillId="6" borderId="37" xfId="0" applyFont="1" applyFill="1" applyBorder="1" applyAlignment="1">
      <alignment horizontal="center" vertical="center" wrapText="1"/>
    </xf>
    <xf numFmtId="0" fontId="9" fillId="6" borderId="3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4" fontId="0" fillId="0" borderId="0" xfId="0" applyNumberForma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7" fillId="11" borderId="43" xfId="0" applyFont="1" applyFill="1" applyBorder="1" applyAlignment="1">
      <alignment horizontal="center" vertical="center" wrapText="1"/>
    </xf>
    <xf numFmtId="0" fontId="5" fillId="0" borderId="10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176" fontId="0" fillId="0" borderId="0" xfId="0" applyNumberFormat="1"/>
    <xf numFmtId="178" fontId="0" fillId="0" borderId="0" xfId="0" applyNumberFormat="1" applyAlignment="1">
      <alignment horizontal="center" vertical="center"/>
    </xf>
    <xf numFmtId="177" fontId="11" fillId="9" borderId="43" xfId="0" applyNumberFormat="1" applyFont="1" applyFill="1" applyBorder="1" applyAlignment="1">
      <alignment horizontal="center" vertical="center" wrapText="1"/>
    </xf>
    <xf numFmtId="177" fontId="11" fillId="8" borderId="43" xfId="0" applyNumberFormat="1" applyFont="1" applyFill="1" applyBorder="1" applyAlignment="1">
      <alignment horizontal="center" vertical="center" wrapText="1"/>
    </xf>
    <xf numFmtId="177" fontId="11" fillId="10" borderId="43" xfId="0" applyNumberFormat="1" applyFont="1" applyFill="1" applyBorder="1" applyAlignment="1">
      <alignment horizontal="center" vertical="center" wrapText="1"/>
    </xf>
    <xf numFmtId="177" fontId="17" fillId="11" borderId="43" xfId="0" applyNumberFormat="1" applyFont="1" applyFill="1" applyBorder="1" applyAlignment="1">
      <alignment horizontal="center" vertical="center" wrapText="1"/>
    </xf>
    <xf numFmtId="177" fontId="16" fillId="10" borderId="43" xfId="0" applyNumberFormat="1" applyFont="1" applyFill="1" applyBorder="1" applyAlignment="1">
      <alignment vertical="center" wrapText="1"/>
    </xf>
    <xf numFmtId="177" fontId="16" fillId="0" borderId="43" xfId="0" applyNumberFormat="1" applyFont="1" applyBorder="1" applyAlignment="1">
      <alignment vertical="center" wrapText="1"/>
    </xf>
    <xf numFmtId="176" fontId="1" fillId="0" borderId="31" xfId="2" applyNumberFormat="1" applyBorder="1"/>
    <xf numFmtId="0" fontId="0" fillId="3" borderId="1" xfId="0" applyFill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179" fontId="11" fillId="0" borderId="43" xfId="0" applyNumberFormat="1" applyFont="1" applyBorder="1" applyAlignment="1">
      <alignment horizontal="center" vertical="center" wrapText="1"/>
    </xf>
    <xf numFmtId="0" fontId="0" fillId="0" borderId="47" xfId="0" applyBorder="1"/>
    <xf numFmtId="179" fontId="11" fillId="10" borderId="43" xfId="0" applyNumberFormat="1" applyFont="1" applyFill="1" applyBorder="1" applyAlignment="1">
      <alignment horizontal="center" vertical="center" wrapText="1"/>
    </xf>
    <xf numFmtId="0" fontId="11" fillId="9" borderId="43" xfId="0" applyFont="1" applyFill="1" applyBorder="1" applyAlignment="1">
      <alignment horizontal="center" vertical="center" wrapText="1"/>
    </xf>
    <xf numFmtId="0" fontId="0" fillId="0" borderId="50" xfId="0" applyBorder="1"/>
    <xf numFmtId="177" fontId="11" fillId="9" borderId="43" xfId="0" applyNumberFormat="1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12" fillId="0" borderId="0" xfId="0" applyNumberFormat="1" applyFont="1" applyAlignment="1">
      <alignment vertical="center" wrapText="1"/>
    </xf>
    <xf numFmtId="0" fontId="0" fillId="0" borderId="46" xfId="0" applyBorder="1"/>
    <xf numFmtId="0" fontId="0" fillId="0" borderId="48" xfId="0" applyBorder="1"/>
    <xf numFmtId="0" fontId="0" fillId="0" borderId="49" xfId="0" applyBorder="1"/>
    <xf numFmtId="0" fontId="17" fillId="11" borderId="43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51" xfId="0" applyBorder="1"/>
    <xf numFmtId="0" fontId="15" fillId="0" borderId="0" xfId="0" applyFont="1" applyAlignment="1">
      <alignment horizontal="center" vertical="center" wrapText="1"/>
    </xf>
    <xf numFmtId="0" fontId="5" fillId="0" borderId="10" xfId="4" applyFont="1" applyBorder="1" applyAlignment="1">
      <alignment horizontal="center" vertical="center"/>
    </xf>
    <xf numFmtId="0" fontId="0" fillId="0" borderId="52" xfId="0" applyBorder="1"/>
    <xf numFmtId="0" fontId="0" fillId="0" borderId="11" xfId="0" applyBorder="1"/>
    <xf numFmtId="0" fontId="5" fillId="0" borderId="8" xfId="4" applyFont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5" fillId="0" borderId="0" xfId="4" applyFont="1"/>
    <xf numFmtId="0" fontId="5" fillId="0" borderId="53" xfId="4" applyFont="1" applyBorder="1" applyAlignment="1">
      <alignment horizontal="center" vertical="center"/>
    </xf>
    <xf numFmtId="0" fontId="0" fillId="0" borderId="13" xfId="0" applyBorder="1"/>
    <xf numFmtId="0" fontId="0" fillId="0" borderId="16" xfId="0" applyBorder="1"/>
  </cellXfs>
  <cellStyles count="5">
    <cellStyle name="百分比" xfId="1" builtinId="5"/>
    <cellStyle name="常规" xfId="0" builtinId="0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充电日清算费用!$Z$5:$Z$28</c:f>
              <c:numCache>
                <c:formatCode>#,##0.000</c:formatCode>
                <c:ptCount val="24"/>
                <c:pt idx="0">
                  <c:v>0.26400000000000001</c:v>
                </c:pt>
                <c:pt idx="1">
                  <c:v>0.26400000000000001</c:v>
                </c:pt>
                <c:pt idx="2">
                  <c:v>0.35199999999999998</c:v>
                </c:pt>
                <c:pt idx="3">
                  <c:v>0.26400000000000001</c:v>
                </c:pt>
                <c:pt idx="4">
                  <c:v>0.26400000000000001</c:v>
                </c:pt>
                <c:pt idx="5">
                  <c:v>0.26400000000000001</c:v>
                </c:pt>
                <c:pt idx="6">
                  <c:v>0.35199999999999998</c:v>
                </c:pt>
                <c:pt idx="7">
                  <c:v>0.26400000000000001</c:v>
                </c:pt>
                <c:pt idx="8">
                  <c:v>0.35199999999999998</c:v>
                </c:pt>
                <c:pt idx="9">
                  <c:v>0.35199999999999998</c:v>
                </c:pt>
                <c:pt idx="10">
                  <c:v>8.8070000000000004</c:v>
                </c:pt>
                <c:pt idx="11">
                  <c:v>81.561999999999998</c:v>
                </c:pt>
                <c:pt idx="12">
                  <c:v>89.313000000000002</c:v>
                </c:pt>
                <c:pt idx="13">
                  <c:v>4.4039999999999999</c:v>
                </c:pt>
                <c:pt idx="14">
                  <c:v>0.61699999999999999</c:v>
                </c:pt>
                <c:pt idx="15">
                  <c:v>4.5810000000000004</c:v>
                </c:pt>
                <c:pt idx="16">
                  <c:v>0.35299999999999998</c:v>
                </c:pt>
                <c:pt idx="17">
                  <c:v>0.35299999999999998</c:v>
                </c:pt>
                <c:pt idx="18">
                  <c:v>0.26400000000000001</c:v>
                </c:pt>
                <c:pt idx="19">
                  <c:v>8.7999999999999995E-2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0.17599999999999999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9-4783-9C70-96F643C7E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335423"/>
        <c:axId val="218762543"/>
      </c:lineChart>
      <c:catAx>
        <c:axId val="1878335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18762543"/>
        <c:crosses val="autoZero"/>
        <c:auto val="1"/>
        <c:lblAlgn val="ctr"/>
        <c:lblOffset val="100"/>
        <c:noMultiLvlLbl val="0"/>
      </c:catAx>
      <c:valAx>
        <c:axId val="21876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78335423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放电日清算费用!$AJ$5:$AJ$100</c:f>
              <c:numCache>
                <c:formatCode>#,##0.000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4.5720000000000001</c:v>
                </c:pt>
                <c:pt idx="78">
                  <c:v>10.111000000000001</c:v>
                </c:pt>
                <c:pt idx="79">
                  <c:v>10.196999999999999</c:v>
                </c:pt>
                <c:pt idx="80">
                  <c:v>10.111000000000001</c:v>
                </c:pt>
                <c:pt idx="81">
                  <c:v>10.111000000000001</c:v>
                </c:pt>
                <c:pt idx="82">
                  <c:v>10.111000000000001</c:v>
                </c:pt>
                <c:pt idx="83">
                  <c:v>10.111000000000001</c:v>
                </c:pt>
                <c:pt idx="84">
                  <c:v>10.199</c:v>
                </c:pt>
                <c:pt idx="85">
                  <c:v>10.111000000000001</c:v>
                </c:pt>
                <c:pt idx="86">
                  <c:v>10.199</c:v>
                </c:pt>
                <c:pt idx="87">
                  <c:v>10.199</c:v>
                </c:pt>
                <c:pt idx="88">
                  <c:v>10.111000000000001</c:v>
                </c:pt>
                <c:pt idx="89">
                  <c:v>10.199</c:v>
                </c:pt>
                <c:pt idx="90">
                  <c:v>10.199</c:v>
                </c:pt>
                <c:pt idx="91">
                  <c:v>10.199</c:v>
                </c:pt>
                <c:pt idx="92">
                  <c:v>10.111000000000001</c:v>
                </c:pt>
                <c:pt idx="93">
                  <c:v>5.0990000000000002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B6-4D93-9397-0F65CFFA2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671487"/>
        <c:axId val="220177039"/>
      </c:lineChart>
      <c:catAx>
        <c:axId val="64671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0177039"/>
        <c:crosses val="autoZero"/>
        <c:auto val="1"/>
        <c:lblAlgn val="ctr"/>
        <c:lblOffset val="100"/>
        <c:noMultiLvlLbl val="0"/>
      </c:catAx>
      <c:valAx>
        <c:axId val="220177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.0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67148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-0.05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-70.56</c:v>
                </c:pt>
                <c:pt idx="44">
                  <c:v>-70.56</c:v>
                </c:pt>
                <c:pt idx="45">
                  <c:v>-70.56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-25.31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-6.52</c:v>
                </c:pt>
                <c:pt idx="61">
                  <c:v>-6.52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42.72</c:v>
                </c:pt>
                <c:pt idx="78">
                  <c:v>42.72</c:v>
                </c:pt>
                <c:pt idx="79">
                  <c:v>42.72</c:v>
                </c:pt>
                <c:pt idx="80">
                  <c:v>42.72</c:v>
                </c:pt>
                <c:pt idx="81">
                  <c:v>42.72</c:v>
                </c:pt>
                <c:pt idx="82">
                  <c:v>42.72</c:v>
                </c:pt>
                <c:pt idx="83">
                  <c:v>42.72</c:v>
                </c:pt>
                <c:pt idx="84">
                  <c:v>42.72</c:v>
                </c:pt>
                <c:pt idx="85">
                  <c:v>42.72</c:v>
                </c:pt>
                <c:pt idx="86">
                  <c:v>42.72</c:v>
                </c:pt>
                <c:pt idx="87">
                  <c:v>42.72</c:v>
                </c:pt>
                <c:pt idx="88">
                  <c:v>42.72</c:v>
                </c:pt>
                <c:pt idx="89">
                  <c:v>42.72</c:v>
                </c:pt>
                <c:pt idx="90">
                  <c:v>42.72</c:v>
                </c:pt>
                <c:pt idx="91">
                  <c:v>42.72</c:v>
                </c:pt>
                <c:pt idx="92">
                  <c:v>42.72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B-4753-973D-DFD0BD92B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438.88900000000001</c:v>
                </c:pt>
                <c:pt idx="1">
                  <c:v>437.6</c:v>
                </c:pt>
                <c:pt idx="2">
                  <c:v>462.4</c:v>
                </c:pt>
                <c:pt idx="3">
                  <c:v>432</c:v>
                </c:pt>
                <c:pt idx="4">
                  <c:v>428</c:v>
                </c:pt>
                <c:pt idx="5">
                  <c:v>409.4</c:v>
                </c:pt>
                <c:pt idx="6">
                  <c:v>413.28</c:v>
                </c:pt>
                <c:pt idx="7">
                  <c:v>401.4</c:v>
                </c:pt>
                <c:pt idx="8">
                  <c:v>402</c:v>
                </c:pt>
                <c:pt idx="9">
                  <c:v>395.08</c:v>
                </c:pt>
                <c:pt idx="10">
                  <c:v>392</c:v>
                </c:pt>
                <c:pt idx="11">
                  <c:v>382.4</c:v>
                </c:pt>
                <c:pt idx="12">
                  <c:v>373.52</c:v>
                </c:pt>
                <c:pt idx="13">
                  <c:v>374</c:v>
                </c:pt>
                <c:pt idx="14">
                  <c:v>373.88</c:v>
                </c:pt>
                <c:pt idx="15">
                  <c:v>376</c:v>
                </c:pt>
                <c:pt idx="16">
                  <c:v>376</c:v>
                </c:pt>
                <c:pt idx="17">
                  <c:v>385.36</c:v>
                </c:pt>
                <c:pt idx="18">
                  <c:v>398</c:v>
                </c:pt>
                <c:pt idx="19">
                  <c:v>408</c:v>
                </c:pt>
                <c:pt idx="20">
                  <c:v>409.12</c:v>
                </c:pt>
                <c:pt idx="21">
                  <c:v>404</c:v>
                </c:pt>
                <c:pt idx="22">
                  <c:v>381.48</c:v>
                </c:pt>
                <c:pt idx="23">
                  <c:v>374</c:v>
                </c:pt>
                <c:pt idx="24">
                  <c:v>359</c:v>
                </c:pt>
                <c:pt idx="25">
                  <c:v>361</c:v>
                </c:pt>
                <c:pt idx="26">
                  <c:v>364</c:v>
                </c:pt>
                <c:pt idx="27">
                  <c:v>316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403</c:v>
                </c:pt>
                <c:pt idx="66">
                  <c:v>588</c:v>
                </c:pt>
                <c:pt idx="67">
                  <c:v>505.2</c:v>
                </c:pt>
                <c:pt idx="68">
                  <c:v>521</c:v>
                </c:pt>
                <c:pt idx="69">
                  <c:v>502</c:v>
                </c:pt>
                <c:pt idx="70">
                  <c:v>554</c:v>
                </c:pt>
                <c:pt idx="71">
                  <c:v>575</c:v>
                </c:pt>
                <c:pt idx="72">
                  <c:v>571</c:v>
                </c:pt>
                <c:pt idx="73">
                  <c:v>582</c:v>
                </c:pt>
                <c:pt idx="74">
                  <c:v>602</c:v>
                </c:pt>
                <c:pt idx="75">
                  <c:v>613</c:v>
                </c:pt>
                <c:pt idx="76">
                  <c:v>603</c:v>
                </c:pt>
                <c:pt idx="77">
                  <c:v>600</c:v>
                </c:pt>
                <c:pt idx="78">
                  <c:v>610</c:v>
                </c:pt>
                <c:pt idx="79">
                  <c:v>613.85699999999997</c:v>
                </c:pt>
                <c:pt idx="80">
                  <c:v>618</c:v>
                </c:pt>
                <c:pt idx="81">
                  <c:v>612</c:v>
                </c:pt>
                <c:pt idx="82">
                  <c:v>605</c:v>
                </c:pt>
                <c:pt idx="83">
                  <c:v>604</c:v>
                </c:pt>
                <c:pt idx="84">
                  <c:v>614</c:v>
                </c:pt>
                <c:pt idx="85">
                  <c:v>617.42899999999997</c:v>
                </c:pt>
                <c:pt idx="86">
                  <c:v>620</c:v>
                </c:pt>
                <c:pt idx="87">
                  <c:v>625</c:v>
                </c:pt>
                <c:pt idx="88">
                  <c:v>624</c:v>
                </c:pt>
                <c:pt idx="89">
                  <c:v>623</c:v>
                </c:pt>
                <c:pt idx="90">
                  <c:v>614</c:v>
                </c:pt>
                <c:pt idx="91">
                  <c:v>609.28</c:v>
                </c:pt>
                <c:pt idx="92">
                  <c:v>625</c:v>
                </c:pt>
                <c:pt idx="93">
                  <c:v>620</c:v>
                </c:pt>
                <c:pt idx="94">
                  <c:v>606</c:v>
                </c:pt>
                <c:pt idx="95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9B-4D8D-B9B7-CC440216CE57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438.88900000000001</c:v>
                </c:pt>
                <c:pt idx="1">
                  <c:v>437.6</c:v>
                </c:pt>
                <c:pt idx="2">
                  <c:v>462.4</c:v>
                </c:pt>
                <c:pt idx="3">
                  <c:v>432</c:v>
                </c:pt>
                <c:pt idx="4">
                  <c:v>428</c:v>
                </c:pt>
                <c:pt idx="5">
                  <c:v>409.4</c:v>
                </c:pt>
                <c:pt idx="6">
                  <c:v>413.28</c:v>
                </c:pt>
                <c:pt idx="7">
                  <c:v>401.4</c:v>
                </c:pt>
                <c:pt idx="8">
                  <c:v>402</c:v>
                </c:pt>
                <c:pt idx="9">
                  <c:v>395.08</c:v>
                </c:pt>
                <c:pt idx="10">
                  <c:v>392</c:v>
                </c:pt>
                <c:pt idx="11">
                  <c:v>382.4</c:v>
                </c:pt>
                <c:pt idx="12">
                  <c:v>373.52</c:v>
                </c:pt>
                <c:pt idx="13">
                  <c:v>374</c:v>
                </c:pt>
                <c:pt idx="14">
                  <c:v>373.88</c:v>
                </c:pt>
                <c:pt idx="15">
                  <c:v>376</c:v>
                </c:pt>
                <c:pt idx="16">
                  <c:v>376</c:v>
                </c:pt>
                <c:pt idx="17">
                  <c:v>385.36</c:v>
                </c:pt>
                <c:pt idx="18">
                  <c:v>398</c:v>
                </c:pt>
                <c:pt idx="19">
                  <c:v>408</c:v>
                </c:pt>
                <c:pt idx="20">
                  <c:v>409.12</c:v>
                </c:pt>
                <c:pt idx="21">
                  <c:v>404</c:v>
                </c:pt>
                <c:pt idx="22">
                  <c:v>381.48</c:v>
                </c:pt>
                <c:pt idx="23">
                  <c:v>374</c:v>
                </c:pt>
                <c:pt idx="24">
                  <c:v>359</c:v>
                </c:pt>
                <c:pt idx="25">
                  <c:v>361</c:v>
                </c:pt>
                <c:pt idx="26">
                  <c:v>364</c:v>
                </c:pt>
                <c:pt idx="27">
                  <c:v>316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403</c:v>
                </c:pt>
                <c:pt idx="66">
                  <c:v>588</c:v>
                </c:pt>
                <c:pt idx="67">
                  <c:v>505.2</c:v>
                </c:pt>
                <c:pt idx="68">
                  <c:v>521</c:v>
                </c:pt>
                <c:pt idx="69">
                  <c:v>502</c:v>
                </c:pt>
                <c:pt idx="70">
                  <c:v>554</c:v>
                </c:pt>
                <c:pt idx="71">
                  <c:v>575</c:v>
                </c:pt>
                <c:pt idx="72">
                  <c:v>571</c:v>
                </c:pt>
                <c:pt idx="73">
                  <c:v>582</c:v>
                </c:pt>
                <c:pt idx="74">
                  <c:v>602</c:v>
                </c:pt>
                <c:pt idx="75">
                  <c:v>613</c:v>
                </c:pt>
                <c:pt idx="76">
                  <c:v>603</c:v>
                </c:pt>
                <c:pt idx="77">
                  <c:v>600</c:v>
                </c:pt>
                <c:pt idx="78">
                  <c:v>610</c:v>
                </c:pt>
                <c:pt idx="79">
                  <c:v>613.85699999999997</c:v>
                </c:pt>
                <c:pt idx="80">
                  <c:v>618</c:v>
                </c:pt>
                <c:pt idx="81">
                  <c:v>612</c:v>
                </c:pt>
                <c:pt idx="82">
                  <c:v>605</c:v>
                </c:pt>
                <c:pt idx="83">
                  <c:v>604</c:v>
                </c:pt>
                <c:pt idx="84">
                  <c:v>614</c:v>
                </c:pt>
                <c:pt idx="85">
                  <c:v>617.42899999999997</c:v>
                </c:pt>
                <c:pt idx="86">
                  <c:v>620</c:v>
                </c:pt>
                <c:pt idx="87">
                  <c:v>625</c:v>
                </c:pt>
                <c:pt idx="88">
                  <c:v>624</c:v>
                </c:pt>
                <c:pt idx="89">
                  <c:v>623</c:v>
                </c:pt>
                <c:pt idx="90">
                  <c:v>614</c:v>
                </c:pt>
                <c:pt idx="91">
                  <c:v>609.28</c:v>
                </c:pt>
                <c:pt idx="92">
                  <c:v>625</c:v>
                </c:pt>
                <c:pt idx="93">
                  <c:v>620</c:v>
                </c:pt>
                <c:pt idx="94">
                  <c:v>606</c:v>
                </c:pt>
                <c:pt idx="95">
                  <c:v>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9B-4D8D-B9B7-CC440216C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[2]报价及预中标!$N$1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[2]报价及预中标!$N$2:$N$97</c:f>
              <c:numCache>
                <c:formatCode>General</c:formatCode>
                <c:ptCount val="96"/>
                <c:pt idx="0">
                  <c:v>-0.01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-27.5</c:v>
                </c:pt>
                <c:pt idx="46">
                  <c:v>-27.5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38.119999999999997</c:v>
                </c:pt>
                <c:pt idx="69">
                  <c:v>38.119999999999997</c:v>
                </c:pt>
                <c:pt idx="70">
                  <c:v>38.119999999999997</c:v>
                </c:pt>
                <c:pt idx="71">
                  <c:v>38.119999999999997</c:v>
                </c:pt>
                <c:pt idx="72">
                  <c:v>38.119999999999997</c:v>
                </c:pt>
                <c:pt idx="73">
                  <c:v>38.119999999999997</c:v>
                </c:pt>
                <c:pt idx="74">
                  <c:v>38.119999999999997</c:v>
                </c:pt>
                <c:pt idx="75">
                  <c:v>38.119999999999997</c:v>
                </c:pt>
                <c:pt idx="76">
                  <c:v>38.119999999999997</c:v>
                </c:pt>
                <c:pt idx="77">
                  <c:v>38.119999999999997</c:v>
                </c:pt>
                <c:pt idx="78">
                  <c:v>38.119999999999997</c:v>
                </c:pt>
                <c:pt idx="79">
                  <c:v>38.119999999999997</c:v>
                </c:pt>
                <c:pt idx="80">
                  <c:v>38.119999999999997</c:v>
                </c:pt>
                <c:pt idx="81">
                  <c:v>38.119999999999997</c:v>
                </c:pt>
                <c:pt idx="82">
                  <c:v>38.119999999999997</c:v>
                </c:pt>
                <c:pt idx="83">
                  <c:v>38.119999999999997</c:v>
                </c:pt>
                <c:pt idx="84">
                  <c:v>38.119999999999997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3-46BA-BB0A-80DD2554F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[2]报价及预中标!$J$2:$J$97</c:f>
              <c:numCache>
                <c:formatCode>General</c:formatCode>
                <c:ptCount val="96"/>
                <c:pt idx="0">
                  <c:v>65.63</c:v>
                </c:pt>
                <c:pt idx="1">
                  <c:v>65.63</c:v>
                </c:pt>
                <c:pt idx="2">
                  <c:v>65.61</c:v>
                </c:pt>
                <c:pt idx="3">
                  <c:v>65.61</c:v>
                </c:pt>
                <c:pt idx="4">
                  <c:v>65.61</c:v>
                </c:pt>
                <c:pt idx="5">
                  <c:v>65.61</c:v>
                </c:pt>
                <c:pt idx="6">
                  <c:v>65.61</c:v>
                </c:pt>
                <c:pt idx="7">
                  <c:v>32.299999999999997</c:v>
                </c:pt>
                <c:pt idx="8">
                  <c:v>98.92</c:v>
                </c:pt>
                <c:pt idx="9">
                  <c:v>99.53</c:v>
                </c:pt>
                <c:pt idx="10">
                  <c:v>65.62</c:v>
                </c:pt>
                <c:pt idx="11">
                  <c:v>65.63</c:v>
                </c:pt>
                <c:pt idx="12">
                  <c:v>65.63</c:v>
                </c:pt>
                <c:pt idx="13">
                  <c:v>65.61</c:v>
                </c:pt>
                <c:pt idx="14">
                  <c:v>65.61</c:v>
                </c:pt>
                <c:pt idx="15">
                  <c:v>65.61</c:v>
                </c:pt>
                <c:pt idx="16">
                  <c:v>65.61</c:v>
                </c:pt>
                <c:pt idx="17">
                  <c:v>65.61</c:v>
                </c:pt>
                <c:pt idx="18">
                  <c:v>65.64</c:v>
                </c:pt>
                <c:pt idx="19">
                  <c:v>76.8</c:v>
                </c:pt>
                <c:pt idx="20">
                  <c:v>148.86000000000001</c:v>
                </c:pt>
                <c:pt idx="21">
                  <c:v>65.63</c:v>
                </c:pt>
                <c:pt idx="22">
                  <c:v>65.63</c:v>
                </c:pt>
                <c:pt idx="23">
                  <c:v>65.61</c:v>
                </c:pt>
                <c:pt idx="24">
                  <c:v>65.61</c:v>
                </c:pt>
                <c:pt idx="25">
                  <c:v>65.61</c:v>
                </c:pt>
                <c:pt idx="26">
                  <c:v>116.05</c:v>
                </c:pt>
                <c:pt idx="27">
                  <c:v>240.39</c:v>
                </c:pt>
                <c:pt idx="28">
                  <c:v>177.86</c:v>
                </c:pt>
                <c:pt idx="29">
                  <c:v>264.25</c:v>
                </c:pt>
                <c:pt idx="30">
                  <c:v>263.98</c:v>
                </c:pt>
                <c:pt idx="31">
                  <c:v>252.32</c:v>
                </c:pt>
                <c:pt idx="32">
                  <c:v>257.99</c:v>
                </c:pt>
                <c:pt idx="33">
                  <c:v>257.27999999999997</c:v>
                </c:pt>
                <c:pt idx="34">
                  <c:v>199.05</c:v>
                </c:pt>
                <c:pt idx="35">
                  <c:v>80</c:v>
                </c:pt>
                <c:pt idx="36">
                  <c:v>247.99</c:v>
                </c:pt>
                <c:pt idx="37">
                  <c:v>24</c:v>
                </c:pt>
                <c:pt idx="38">
                  <c:v>-66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-80</c:v>
                </c:pt>
                <c:pt idx="56">
                  <c:v>-100</c:v>
                </c:pt>
                <c:pt idx="57">
                  <c:v>-100</c:v>
                </c:pt>
                <c:pt idx="58">
                  <c:v>-30</c:v>
                </c:pt>
                <c:pt idx="59">
                  <c:v>99.2</c:v>
                </c:pt>
                <c:pt idx="60">
                  <c:v>264.39999999999998</c:v>
                </c:pt>
                <c:pt idx="61">
                  <c:v>380</c:v>
                </c:pt>
                <c:pt idx="62">
                  <c:v>453.69</c:v>
                </c:pt>
                <c:pt idx="63">
                  <c:v>480</c:v>
                </c:pt>
                <c:pt idx="64">
                  <c:v>491</c:v>
                </c:pt>
                <c:pt idx="65">
                  <c:v>502.5</c:v>
                </c:pt>
                <c:pt idx="66">
                  <c:v>507.19</c:v>
                </c:pt>
                <c:pt idx="67">
                  <c:v>500.56</c:v>
                </c:pt>
                <c:pt idx="68">
                  <c:v>496.25</c:v>
                </c:pt>
                <c:pt idx="69">
                  <c:v>496.25</c:v>
                </c:pt>
                <c:pt idx="70">
                  <c:v>496.25</c:v>
                </c:pt>
                <c:pt idx="71">
                  <c:v>496.25</c:v>
                </c:pt>
                <c:pt idx="72">
                  <c:v>496.25</c:v>
                </c:pt>
                <c:pt idx="73">
                  <c:v>496.25</c:v>
                </c:pt>
                <c:pt idx="74">
                  <c:v>496.25</c:v>
                </c:pt>
                <c:pt idx="75">
                  <c:v>496.25</c:v>
                </c:pt>
                <c:pt idx="76">
                  <c:v>496.25</c:v>
                </c:pt>
                <c:pt idx="77">
                  <c:v>496.25</c:v>
                </c:pt>
                <c:pt idx="78">
                  <c:v>496.25</c:v>
                </c:pt>
                <c:pt idx="79">
                  <c:v>496.25</c:v>
                </c:pt>
                <c:pt idx="80">
                  <c:v>496.25</c:v>
                </c:pt>
                <c:pt idx="81">
                  <c:v>496.25</c:v>
                </c:pt>
                <c:pt idx="82">
                  <c:v>496.25</c:v>
                </c:pt>
                <c:pt idx="83">
                  <c:v>496.25</c:v>
                </c:pt>
                <c:pt idx="84">
                  <c:v>496.25</c:v>
                </c:pt>
                <c:pt idx="85">
                  <c:v>496.25</c:v>
                </c:pt>
                <c:pt idx="86">
                  <c:v>496.25</c:v>
                </c:pt>
                <c:pt idx="87">
                  <c:v>496.25</c:v>
                </c:pt>
                <c:pt idx="88">
                  <c:v>496.25</c:v>
                </c:pt>
                <c:pt idx="89">
                  <c:v>496.25</c:v>
                </c:pt>
                <c:pt idx="90">
                  <c:v>496.25</c:v>
                </c:pt>
                <c:pt idx="91">
                  <c:v>494.89</c:v>
                </c:pt>
                <c:pt idx="92">
                  <c:v>496.25</c:v>
                </c:pt>
                <c:pt idx="93">
                  <c:v>487.5</c:v>
                </c:pt>
                <c:pt idx="94">
                  <c:v>477</c:v>
                </c:pt>
                <c:pt idx="95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0F-43C4-AB17-0C23150D2638}"/>
            </c:ext>
          </c:extLst>
        </c:ser>
        <c:ser>
          <c:idx val="1"/>
          <c:order val="1"/>
          <c:tx>
            <c:strRef>
              <c:f>[2]报价及预中标!$K$1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[2]报价及预中标!$K$2:$K$97</c:f>
              <c:numCache>
                <c:formatCode>General</c:formatCode>
                <c:ptCount val="96"/>
                <c:pt idx="0">
                  <c:v>65.63</c:v>
                </c:pt>
                <c:pt idx="1">
                  <c:v>65.63</c:v>
                </c:pt>
                <c:pt idx="2">
                  <c:v>65.61</c:v>
                </c:pt>
                <c:pt idx="3">
                  <c:v>65.61</c:v>
                </c:pt>
                <c:pt idx="4">
                  <c:v>65.61</c:v>
                </c:pt>
                <c:pt idx="5">
                  <c:v>65.61</c:v>
                </c:pt>
                <c:pt idx="6">
                  <c:v>65.61</c:v>
                </c:pt>
                <c:pt idx="7">
                  <c:v>32.299999999999997</c:v>
                </c:pt>
                <c:pt idx="8">
                  <c:v>98.92</c:v>
                </c:pt>
                <c:pt idx="9">
                  <c:v>99.53</c:v>
                </c:pt>
                <c:pt idx="10">
                  <c:v>65.62</c:v>
                </c:pt>
                <c:pt idx="11">
                  <c:v>65.63</c:v>
                </c:pt>
                <c:pt idx="12">
                  <c:v>65.63</c:v>
                </c:pt>
                <c:pt idx="13">
                  <c:v>65.61</c:v>
                </c:pt>
                <c:pt idx="14">
                  <c:v>65.61</c:v>
                </c:pt>
                <c:pt idx="15">
                  <c:v>65.61</c:v>
                </c:pt>
                <c:pt idx="16">
                  <c:v>65.61</c:v>
                </c:pt>
                <c:pt idx="17">
                  <c:v>65.61</c:v>
                </c:pt>
                <c:pt idx="18">
                  <c:v>65.64</c:v>
                </c:pt>
                <c:pt idx="19">
                  <c:v>76.8</c:v>
                </c:pt>
                <c:pt idx="20">
                  <c:v>148.86000000000001</c:v>
                </c:pt>
                <c:pt idx="21">
                  <c:v>65.63</c:v>
                </c:pt>
                <c:pt idx="22">
                  <c:v>65.63</c:v>
                </c:pt>
                <c:pt idx="23">
                  <c:v>65.61</c:v>
                </c:pt>
                <c:pt idx="24">
                  <c:v>65.61</c:v>
                </c:pt>
                <c:pt idx="25">
                  <c:v>65.61</c:v>
                </c:pt>
                <c:pt idx="26">
                  <c:v>116.05</c:v>
                </c:pt>
                <c:pt idx="27">
                  <c:v>240.39</c:v>
                </c:pt>
                <c:pt idx="28">
                  <c:v>177.86</c:v>
                </c:pt>
                <c:pt idx="29">
                  <c:v>264.25</c:v>
                </c:pt>
                <c:pt idx="30">
                  <c:v>263.98</c:v>
                </c:pt>
                <c:pt idx="31">
                  <c:v>252.32</c:v>
                </c:pt>
                <c:pt idx="32">
                  <c:v>257.99</c:v>
                </c:pt>
                <c:pt idx="33">
                  <c:v>257.27999999999997</c:v>
                </c:pt>
                <c:pt idx="34">
                  <c:v>199.05</c:v>
                </c:pt>
                <c:pt idx="35">
                  <c:v>80</c:v>
                </c:pt>
                <c:pt idx="36">
                  <c:v>247.99</c:v>
                </c:pt>
                <c:pt idx="37">
                  <c:v>24</c:v>
                </c:pt>
                <c:pt idx="38">
                  <c:v>-66</c:v>
                </c:pt>
                <c:pt idx="39">
                  <c:v>-100</c:v>
                </c:pt>
                <c:pt idx="40">
                  <c:v>-100</c:v>
                </c:pt>
                <c:pt idx="41">
                  <c:v>-100</c:v>
                </c:pt>
                <c:pt idx="42">
                  <c:v>-100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-80</c:v>
                </c:pt>
                <c:pt idx="56">
                  <c:v>-100</c:v>
                </c:pt>
                <c:pt idx="57">
                  <c:v>-100</c:v>
                </c:pt>
                <c:pt idx="58">
                  <c:v>-30</c:v>
                </c:pt>
                <c:pt idx="59">
                  <c:v>99.2</c:v>
                </c:pt>
                <c:pt idx="60">
                  <c:v>264.39999999999998</c:v>
                </c:pt>
                <c:pt idx="61">
                  <c:v>380</c:v>
                </c:pt>
                <c:pt idx="62">
                  <c:v>453.69</c:v>
                </c:pt>
                <c:pt idx="63">
                  <c:v>480</c:v>
                </c:pt>
                <c:pt idx="64">
                  <c:v>491</c:v>
                </c:pt>
                <c:pt idx="65">
                  <c:v>502.5</c:v>
                </c:pt>
                <c:pt idx="66">
                  <c:v>507.19</c:v>
                </c:pt>
                <c:pt idx="67">
                  <c:v>500.56</c:v>
                </c:pt>
                <c:pt idx="68">
                  <c:v>496.25</c:v>
                </c:pt>
                <c:pt idx="69">
                  <c:v>496.25</c:v>
                </c:pt>
                <c:pt idx="70">
                  <c:v>496.25</c:v>
                </c:pt>
                <c:pt idx="71">
                  <c:v>496.25</c:v>
                </c:pt>
                <c:pt idx="72">
                  <c:v>496.25</c:v>
                </c:pt>
                <c:pt idx="73">
                  <c:v>496.25</c:v>
                </c:pt>
                <c:pt idx="74">
                  <c:v>496.25</c:v>
                </c:pt>
                <c:pt idx="75">
                  <c:v>496.25</c:v>
                </c:pt>
                <c:pt idx="76">
                  <c:v>496.25</c:v>
                </c:pt>
                <c:pt idx="77">
                  <c:v>496.25</c:v>
                </c:pt>
                <c:pt idx="78">
                  <c:v>496.25</c:v>
                </c:pt>
                <c:pt idx="79">
                  <c:v>496.25</c:v>
                </c:pt>
                <c:pt idx="80">
                  <c:v>496.25</c:v>
                </c:pt>
                <c:pt idx="81">
                  <c:v>496.25</c:v>
                </c:pt>
                <c:pt idx="82">
                  <c:v>496.25</c:v>
                </c:pt>
                <c:pt idx="83">
                  <c:v>496.25</c:v>
                </c:pt>
                <c:pt idx="84">
                  <c:v>496.25</c:v>
                </c:pt>
                <c:pt idx="85">
                  <c:v>496.25</c:v>
                </c:pt>
                <c:pt idx="86">
                  <c:v>496.25</c:v>
                </c:pt>
                <c:pt idx="87">
                  <c:v>496.25</c:v>
                </c:pt>
                <c:pt idx="88">
                  <c:v>496.25</c:v>
                </c:pt>
                <c:pt idx="89">
                  <c:v>496.25</c:v>
                </c:pt>
                <c:pt idx="90">
                  <c:v>496.25</c:v>
                </c:pt>
                <c:pt idx="91">
                  <c:v>494.89</c:v>
                </c:pt>
                <c:pt idx="92">
                  <c:v>496.25</c:v>
                </c:pt>
                <c:pt idx="93">
                  <c:v>487.5</c:v>
                </c:pt>
                <c:pt idx="94">
                  <c:v>477</c:v>
                </c:pt>
                <c:pt idx="95">
                  <c:v>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0F-43C4-AB17-0C23150D2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[3]报价及预中标!$N$1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18.010000000000002</c:v>
                </c:pt>
                <c:pt idx="32">
                  <c:v>18.010000000000002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-95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-13.33</c:v>
                </c:pt>
                <c:pt idx="54">
                  <c:v>-13.33</c:v>
                </c:pt>
                <c:pt idx="55">
                  <c:v>-13.33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11.09</c:v>
                </c:pt>
                <c:pt idx="72">
                  <c:v>11.09</c:v>
                </c:pt>
                <c:pt idx="73">
                  <c:v>11.09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95</c:v>
                </c:pt>
                <c:pt idx="85">
                  <c:v>58.36</c:v>
                </c:pt>
                <c:pt idx="86">
                  <c:v>58.36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-40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6-42BA-B5F7-8929AC0BB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[3]报价及预中标!$J$2:$J$97</c:f>
              <c:numCache>
                <c:formatCode>General</c:formatCode>
                <c:ptCount val="96"/>
                <c:pt idx="0">
                  <c:v>450</c:v>
                </c:pt>
                <c:pt idx="1">
                  <c:v>443.75</c:v>
                </c:pt>
                <c:pt idx="2">
                  <c:v>440</c:v>
                </c:pt>
                <c:pt idx="3">
                  <c:v>435</c:v>
                </c:pt>
                <c:pt idx="4">
                  <c:v>435</c:v>
                </c:pt>
                <c:pt idx="5">
                  <c:v>431</c:v>
                </c:pt>
                <c:pt idx="6">
                  <c:v>428</c:v>
                </c:pt>
                <c:pt idx="7">
                  <c:v>424</c:v>
                </c:pt>
                <c:pt idx="8">
                  <c:v>451</c:v>
                </c:pt>
                <c:pt idx="9">
                  <c:v>451</c:v>
                </c:pt>
                <c:pt idx="10">
                  <c:v>445</c:v>
                </c:pt>
                <c:pt idx="11">
                  <c:v>436.67</c:v>
                </c:pt>
                <c:pt idx="12">
                  <c:v>435</c:v>
                </c:pt>
                <c:pt idx="13">
                  <c:v>432</c:v>
                </c:pt>
                <c:pt idx="14">
                  <c:v>426</c:v>
                </c:pt>
                <c:pt idx="15">
                  <c:v>427</c:v>
                </c:pt>
                <c:pt idx="16">
                  <c:v>421</c:v>
                </c:pt>
                <c:pt idx="17">
                  <c:v>418</c:v>
                </c:pt>
                <c:pt idx="18">
                  <c:v>422</c:v>
                </c:pt>
                <c:pt idx="19">
                  <c:v>428</c:v>
                </c:pt>
                <c:pt idx="20">
                  <c:v>438.69</c:v>
                </c:pt>
                <c:pt idx="21">
                  <c:v>426</c:v>
                </c:pt>
                <c:pt idx="22">
                  <c:v>412.6</c:v>
                </c:pt>
                <c:pt idx="23">
                  <c:v>398</c:v>
                </c:pt>
                <c:pt idx="24">
                  <c:v>396.4</c:v>
                </c:pt>
                <c:pt idx="25">
                  <c:v>420.6</c:v>
                </c:pt>
                <c:pt idx="26">
                  <c:v>435</c:v>
                </c:pt>
                <c:pt idx="27">
                  <c:v>438.8</c:v>
                </c:pt>
                <c:pt idx="28">
                  <c:v>458</c:v>
                </c:pt>
                <c:pt idx="29">
                  <c:v>468</c:v>
                </c:pt>
                <c:pt idx="30">
                  <c:v>492.5</c:v>
                </c:pt>
                <c:pt idx="31">
                  <c:v>504.38</c:v>
                </c:pt>
                <c:pt idx="32">
                  <c:v>504.38</c:v>
                </c:pt>
                <c:pt idx="33">
                  <c:v>490.38</c:v>
                </c:pt>
                <c:pt idx="34">
                  <c:v>466.7</c:v>
                </c:pt>
                <c:pt idx="35">
                  <c:v>447.06</c:v>
                </c:pt>
                <c:pt idx="36">
                  <c:v>398.24</c:v>
                </c:pt>
                <c:pt idx="37">
                  <c:v>332.16</c:v>
                </c:pt>
                <c:pt idx="38">
                  <c:v>84.8</c:v>
                </c:pt>
                <c:pt idx="39">
                  <c:v>74.8</c:v>
                </c:pt>
                <c:pt idx="40">
                  <c:v>49.6</c:v>
                </c:pt>
                <c:pt idx="41">
                  <c:v>90</c:v>
                </c:pt>
                <c:pt idx="42">
                  <c:v>-57.2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69.14</c:v>
                </c:pt>
                <c:pt idx="61">
                  <c:v>309.26</c:v>
                </c:pt>
                <c:pt idx="62">
                  <c:v>362.9</c:v>
                </c:pt>
                <c:pt idx="63">
                  <c:v>422</c:v>
                </c:pt>
                <c:pt idx="64">
                  <c:v>444</c:v>
                </c:pt>
                <c:pt idx="65">
                  <c:v>454</c:v>
                </c:pt>
                <c:pt idx="66">
                  <c:v>456</c:v>
                </c:pt>
                <c:pt idx="67">
                  <c:v>453.02</c:v>
                </c:pt>
                <c:pt idx="68">
                  <c:v>408.75</c:v>
                </c:pt>
                <c:pt idx="69">
                  <c:v>364</c:v>
                </c:pt>
                <c:pt idx="70">
                  <c:v>293.60000000000002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260</c:v>
                </c:pt>
                <c:pt idx="78">
                  <c:v>260</c:v>
                </c:pt>
                <c:pt idx="79">
                  <c:v>260</c:v>
                </c:pt>
                <c:pt idx="80">
                  <c:v>260</c:v>
                </c:pt>
                <c:pt idx="81">
                  <c:v>260</c:v>
                </c:pt>
                <c:pt idx="82">
                  <c:v>260</c:v>
                </c:pt>
                <c:pt idx="83">
                  <c:v>260</c:v>
                </c:pt>
                <c:pt idx="84">
                  <c:v>260</c:v>
                </c:pt>
                <c:pt idx="85">
                  <c:v>260</c:v>
                </c:pt>
                <c:pt idx="86">
                  <c:v>260</c:v>
                </c:pt>
                <c:pt idx="87">
                  <c:v>260</c:v>
                </c:pt>
                <c:pt idx="88">
                  <c:v>276</c:v>
                </c:pt>
                <c:pt idx="89">
                  <c:v>244</c:v>
                </c:pt>
                <c:pt idx="90">
                  <c:v>92</c:v>
                </c:pt>
                <c:pt idx="91">
                  <c:v>0</c:v>
                </c:pt>
                <c:pt idx="92">
                  <c:v>144.80000000000001</c:v>
                </c:pt>
                <c:pt idx="93">
                  <c:v>0</c:v>
                </c:pt>
                <c:pt idx="94">
                  <c:v>-100</c:v>
                </c:pt>
                <c:pt idx="95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10-4B4C-8F99-DDF2D8C25C87}"/>
            </c:ext>
          </c:extLst>
        </c:ser>
        <c:ser>
          <c:idx val="1"/>
          <c:order val="1"/>
          <c:tx>
            <c:strRef>
              <c:f>[3]报价及预中标!$K$1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[3]报价及预中标!$K$2:$K$97</c:f>
              <c:numCache>
                <c:formatCode>General</c:formatCode>
                <c:ptCount val="96"/>
                <c:pt idx="0">
                  <c:v>450</c:v>
                </c:pt>
                <c:pt idx="1">
                  <c:v>443.75</c:v>
                </c:pt>
                <c:pt idx="2">
                  <c:v>440</c:v>
                </c:pt>
                <c:pt idx="3">
                  <c:v>435</c:v>
                </c:pt>
                <c:pt idx="4">
                  <c:v>435</c:v>
                </c:pt>
                <c:pt idx="5">
                  <c:v>431</c:v>
                </c:pt>
                <c:pt idx="6">
                  <c:v>428</c:v>
                </c:pt>
                <c:pt idx="7">
                  <c:v>424</c:v>
                </c:pt>
                <c:pt idx="8">
                  <c:v>451</c:v>
                </c:pt>
                <c:pt idx="9">
                  <c:v>451</c:v>
                </c:pt>
                <c:pt idx="10">
                  <c:v>445</c:v>
                </c:pt>
                <c:pt idx="11">
                  <c:v>436.67</c:v>
                </c:pt>
                <c:pt idx="12">
                  <c:v>435</c:v>
                </c:pt>
                <c:pt idx="13">
                  <c:v>432</c:v>
                </c:pt>
                <c:pt idx="14">
                  <c:v>426</c:v>
                </c:pt>
                <c:pt idx="15">
                  <c:v>427</c:v>
                </c:pt>
                <c:pt idx="16">
                  <c:v>421</c:v>
                </c:pt>
                <c:pt idx="17">
                  <c:v>418</c:v>
                </c:pt>
                <c:pt idx="18">
                  <c:v>422</c:v>
                </c:pt>
                <c:pt idx="19">
                  <c:v>428</c:v>
                </c:pt>
                <c:pt idx="20">
                  <c:v>438.69</c:v>
                </c:pt>
                <c:pt idx="21">
                  <c:v>426</c:v>
                </c:pt>
                <c:pt idx="22">
                  <c:v>412.6</c:v>
                </c:pt>
                <c:pt idx="23">
                  <c:v>398</c:v>
                </c:pt>
                <c:pt idx="24">
                  <c:v>396.4</c:v>
                </c:pt>
                <c:pt idx="25">
                  <c:v>420.6</c:v>
                </c:pt>
                <c:pt idx="26">
                  <c:v>435</c:v>
                </c:pt>
                <c:pt idx="27">
                  <c:v>438.8</c:v>
                </c:pt>
                <c:pt idx="28">
                  <c:v>458</c:v>
                </c:pt>
                <c:pt idx="29">
                  <c:v>468</c:v>
                </c:pt>
                <c:pt idx="30">
                  <c:v>492.5</c:v>
                </c:pt>
                <c:pt idx="31">
                  <c:v>504.38</c:v>
                </c:pt>
                <c:pt idx="32">
                  <c:v>504.38</c:v>
                </c:pt>
                <c:pt idx="33">
                  <c:v>490.38</c:v>
                </c:pt>
                <c:pt idx="34">
                  <c:v>466.7</c:v>
                </c:pt>
                <c:pt idx="35">
                  <c:v>447.06</c:v>
                </c:pt>
                <c:pt idx="36">
                  <c:v>398.24</c:v>
                </c:pt>
                <c:pt idx="37">
                  <c:v>332.16</c:v>
                </c:pt>
                <c:pt idx="38">
                  <c:v>84.8</c:v>
                </c:pt>
                <c:pt idx="39">
                  <c:v>74.8</c:v>
                </c:pt>
                <c:pt idx="40">
                  <c:v>49.6</c:v>
                </c:pt>
                <c:pt idx="41">
                  <c:v>90</c:v>
                </c:pt>
                <c:pt idx="42">
                  <c:v>-57.2</c:v>
                </c:pt>
                <c:pt idx="43">
                  <c:v>-100</c:v>
                </c:pt>
                <c:pt idx="44">
                  <c:v>-100</c:v>
                </c:pt>
                <c:pt idx="45">
                  <c:v>-100</c:v>
                </c:pt>
                <c:pt idx="46">
                  <c:v>-100</c:v>
                </c:pt>
                <c:pt idx="47">
                  <c:v>-100</c:v>
                </c:pt>
                <c:pt idx="48">
                  <c:v>-100</c:v>
                </c:pt>
                <c:pt idx="49">
                  <c:v>-100</c:v>
                </c:pt>
                <c:pt idx="50">
                  <c:v>-100</c:v>
                </c:pt>
                <c:pt idx="51">
                  <c:v>-100</c:v>
                </c:pt>
                <c:pt idx="52">
                  <c:v>-100</c:v>
                </c:pt>
                <c:pt idx="53">
                  <c:v>-100</c:v>
                </c:pt>
                <c:pt idx="54">
                  <c:v>-100</c:v>
                </c:pt>
                <c:pt idx="55">
                  <c:v>-100</c:v>
                </c:pt>
                <c:pt idx="56">
                  <c:v>-100</c:v>
                </c:pt>
                <c:pt idx="57">
                  <c:v>-100</c:v>
                </c:pt>
                <c:pt idx="58">
                  <c:v>-100</c:v>
                </c:pt>
                <c:pt idx="59">
                  <c:v>-100</c:v>
                </c:pt>
                <c:pt idx="60">
                  <c:v>69.14</c:v>
                </c:pt>
                <c:pt idx="61">
                  <c:v>309.26</c:v>
                </c:pt>
                <c:pt idx="62">
                  <c:v>362.9</c:v>
                </c:pt>
                <c:pt idx="63">
                  <c:v>422</c:v>
                </c:pt>
                <c:pt idx="64">
                  <c:v>444</c:v>
                </c:pt>
                <c:pt idx="65">
                  <c:v>454</c:v>
                </c:pt>
                <c:pt idx="66">
                  <c:v>456</c:v>
                </c:pt>
                <c:pt idx="67">
                  <c:v>453.02</c:v>
                </c:pt>
                <c:pt idx="68">
                  <c:v>408.75</c:v>
                </c:pt>
                <c:pt idx="69">
                  <c:v>364</c:v>
                </c:pt>
                <c:pt idx="70">
                  <c:v>293.60000000000002</c:v>
                </c:pt>
                <c:pt idx="71">
                  <c:v>260</c:v>
                </c:pt>
                <c:pt idx="72">
                  <c:v>260</c:v>
                </c:pt>
                <c:pt idx="73">
                  <c:v>260</c:v>
                </c:pt>
                <c:pt idx="74">
                  <c:v>260</c:v>
                </c:pt>
                <c:pt idx="75">
                  <c:v>260</c:v>
                </c:pt>
                <c:pt idx="76">
                  <c:v>260</c:v>
                </c:pt>
                <c:pt idx="77">
                  <c:v>260</c:v>
                </c:pt>
                <c:pt idx="78">
                  <c:v>260</c:v>
                </c:pt>
                <c:pt idx="79">
                  <c:v>260</c:v>
                </c:pt>
                <c:pt idx="80">
                  <c:v>260</c:v>
                </c:pt>
                <c:pt idx="81">
                  <c:v>260</c:v>
                </c:pt>
                <c:pt idx="82">
                  <c:v>260</c:v>
                </c:pt>
                <c:pt idx="83">
                  <c:v>260</c:v>
                </c:pt>
                <c:pt idx="84">
                  <c:v>260</c:v>
                </c:pt>
                <c:pt idx="85">
                  <c:v>260</c:v>
                </c:pt>
                <c:pt idx="86">
                  <c:v>260</c:v>
                </c:pt>
                <c:pt idx="87">
                  <c:v>260</c:v>
                </c:pt>
                <c:pt idx="88">
                  <c:v>276</c:v>
                </c:pt>
                <c:pt idx="89">
                  <c:v>244</c:v>
                </c:pt>
                <c:pt idx="90">
                  <c:v>92</c:v>
                </c:pt>
                <c:pt idx="91">
                  <c:v>0</c:v>
                </c:pt>
                <c:pt idx="92">
                  <c:v>144.80000000000001</c:v>
                </c:pt>
                <c:pt idx="93">
                  <c:v>0</c:v>
                </c:pt>
                <c:pt idx="94">
                  <c:v>-100</c:v>
                </c:pt>
                <c:pt idx="95">
                  <c:v>-100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10-4B4C-8F99-DDF2D8C25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[4]报价及预中标!$N$1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-95</c:v>
                </c:pt>
                <c:pt idx="7">
                  <c:v>-95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-72.849999999999994</c:v>
                </c:pt>
                <c:pt idx="16">
                  <c:v>-95</c:v>
                </c:pt>
                <c:pt idx="17">
                  <c:v>-31.5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83.42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-85.62</c:v>
                </c:pt>
                <c:pt idx="52">
                  <c:v>-59.85</c:v>
                </c:pt>
                <c:pt idx="53">
                  <c:v>-59.85</c:v>
                </c:pt>
                <c:pt idx="54">
                  <c:v>-59.85</c:v>
                </c:pt>
                <c:pt idx="55">
                  <c:v>-59.85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42.35</c:v>
                </c:pt>
                <c:pt idx="70">
                  <c:v>42.35</c:v>
                </c:pt>
                <c:pt idx="71">
                  <c:v>42.35</c:v>
                </c:pt>
                <c:pt idx="72">
                  <c:v>42.35</c:v>
                </c:pt>
                <c:pt idx="73">
                  <c:v>42.35</c:v>
                </c:pt>
                <c:pt idx="74">
                  <c:v>42.35</c:v>
                </c:pt>
                <c:pt idx="75">
                  <c:v>42.35</c:v>
                </c:pt>
                <c:pt idx="76">
                  <c:v>42.35</c:v>
                </c:pt>
                <c:pt idx="77">
                  <c:v>42.35</c:v>
                </c:pt>
                <c:pt idx="78">
                  <c:v>42.35</c:v>
                </c:pt>
                <c:pt idx="79">
                  <c:v>42.35</c:v>
                </c:pt>
                <c:pt idx="80">
                  <c:v>42.35</c:v>
                </c:pt>
                <c:pt idx="81">
                  <c:v>42.35</c:v>
                </c:pt>
                <c:pt idx="82">
                  <c:v>42.35</c:v>
                </c:pt>
                <c:pt idx="83">
                  <c:v>42.35</c:v>
                </c:pt>
                <c:pt idx="84">
                  <c:v>42.35</c:v>
                </c:pt>
                <c:pt idx="85">
                  <c:v>42.35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E7-402F-8C8A-A2BFE720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[4]报价及预中标!$J$2:$J$97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-80.13</c:v>
                </c:pt>
                <c:pt idx="7">
                  <c:v>-80.13</c:v>
                </c:pt>
                <c:pt idx="8">
                  <c:v>-80.13</c:v>
                </c:pt>
                <c:pt idx="9">
                  <c:v>-80</c:v>
                </c:pt>
                <c:pt idx="10">
                  <c:v>-80</c:v>
                </c:pt>
                <c:pt idx="11">
                  <c:v>-80</c:v>
                </c:pt>
                <c:pt idx="12">
                  <c:v>-80</c:v>
                </c:pt>
                <c:pt idx="13">
                  <c:v>-80.13</c:v>
                </c:pt>
                <c:pt idx="14">
                  <c:v>-80.13</c:v>
                </c:pt>
                <c:pt idx="15">
                  <c:v>-80.13</c:v>
                </c:pt>
                <c:pt idx="16">
                  <c:v>-80.13</c:v>
                </c:pt>
                <c:pt idx="17">
                  <c:v>-80.13</c:v>
                </c:pt>
                <c:pt idx="18">
                  <c:v>-80</c:v>
                </c:pt>
                <c:pt idx="19">
                  <c:v>-80</c:v>
                </c:pt>
                <c:pt idx="20">
                  <c:v>-80</c:v>
                </c:pt>
                <c:pt idx="21">
                  <c:v>-80</c:v>
                </c:pt>
                <c:pt idx="22">
                  <c:v>-80</c:v>
                </c:pt>
                <c:pt idx="23">
                  <c:v>-80</c:v>
                </c:pt>
                <c:pt idx="24">
                  <c:v>-80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-80.56</c:v>
                </c:pt>
                <c:pt idx="30">
                  <c:v>0</c:v>
                </c:pt>
                <c:pt idx="31">
                  <c:v>144.80000000000001</c:v>
                </c:pt>
                <c:pt idx="32">
                  <c:v>55.65</c:v>
                </c:pt>
                <c:pt idx="33">
                  <c:v>108.94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-80.13</c:v>
                </c:pt>
                <c:pt idx="43">
                  <c:v>-80</c:v>
                </c:pt>
                <c:pt idx="44">
                  <c:v>-80.27</c:v>
                </c:pt>
                <c:pt idx="45">
                  <c:v>-80.13</c:v>
                </c:pt>
                <c:pt idx="46">
                  <c:v>-80.13</c:v>
                </c:pt>
                <c:pt idx="47">
                  <c:v>-80.13</c:v>
                </c:pt>
                <c:pt idx="48">
                  <c:v>-80.13</c:v>
                </c:pt>
                <c:pt idx="49">
                  <c:v>-80.13</c:v>
                </c:pt>
                <c:pt idx="50">
                  <c:v>-80.13</c:v>
                </c:pt>
                <c:pt idx="51">
                  <c:v>-80.13</c:v>
                </c:pt>
                <c:pt idx="52">
                  <c:v>-80.13</c:v>
                </c:pt>
                <c:pt idx="53">
                  <c:v>-80.13</c:v>
                </c:pt>
                <c:pt idx="54">
                  <c:v>-80.13</c:v>
                </c:pt>
                <c:pt idx="55">
                  <c:v>-80.27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412</c:v>
                </c:pt>
                <c:pt idx="62">
                  <c:v>500</c:v>
                </c:pt>
                <c:pt idx="63">
                  <c:v>546.72</c:v>
                </c:pt>
                <c:pt idx="64">
                  <c:v>606.91999999999996</c:v>
                </c:pt>
                <c:pt idx="65">
                  <c:v>626.25</c:v>
                </c:pt>
                <c:pt idx="66">
                  <c:v>635</c:v>
                </c:pt>
                <c:pt idx="67">
                  <c:v>630.63</c:v>
                </c:pt>
                <c:pt idx="68">
                  <c:v>593</c:v>
                </c:pt>
                <c:pt idx="69">
                  <c:v>545.62</c:v>
                </c:pt>
                <c:pt idx="70">
                  <c:v>542.88</c:v>
                </c:pt>
                <c:pt idx="71">
                  <c:v>542.88</c:v>
                </c:pt>
                <c:pt idx="72">
                  <c:v>542.88</c:v>
                </c:pt>
                <c:pt idx="73">
                  <c:v>542.88</c:v>
                </c:pt>
                <c:pt idx="74">
                  <c:v>542.88</c:v>
                </c:pt>
                <c:pt idx="75">
                  <c:v>542.88</c:v>
                </c:pt>
                <c:pt idx="76">
                  <c:v>542.88</c:v>
                </c:pt>
                <c:pt idx="77">
                  <c:v>542.88</c:v>
                </c:pt>
                <c:pt idx="78">
                  <c:v>542.88</c:v>
                </c:pt>
                <c:pt idx="79">
                  <c:v>542.88</c:v>
                </c:pt>
                <c:pt idx="80">
                  <c:v>542.88</c:v>
                </c:pt>
                <c:pt idx="81">
                  <c:v>542.88</c:v>
                </c:pt>
                <c:pt idx="82">
                  <c:v>542.88</c:v>
                </c:pt>
                <c:pt idx="83">
                  <c:v>542.88</c:v>
                </c:pt>
                <c:pt idx="84">
                  <c:v>542.88</c:v>
                </c:pt>
                <c:pt idx="85">
                  <c:v>542.88</c:v>
                </c:pt>
                <c:pt idx="86">
                  <c:v>542.88</c:v>
                </c:pt>
                <c:pt idx="87">
                  <c:v>542.88</c:v>
                </c:pt>
                <c:pt idx="88">
                  <c:v>542.88</c:v>
                </c:pt>
                <c:pt idx="89">
                  <c:v>542.88</c:v>
                </c:pt>
                <c:pt idx="90">
                  <c:v>542.88</c:v>
                </c:pt>
                <c:pt idx="91">
                  <c:v>541</c:v>
                </c:pt>
                <c:pt idx="92">
                  <c:v>542.88</c:v>
                </c:pt>
                <c:pt idx="93">
                  <c:v>535.9</c:v>
                </c:pt>
                <c:pt idx="94">
                  <c:v>486</c:v>
                </c:pt>
                <c:pt idx="95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17-42C3-847E-68B41FCC886A}"/>
            </c:ext>
          </c:extLst>
        </c:ser>
        <c:ser>
          <c:idx val="1"/>
          <c:order val="1"/>
          <c:tx>
            <c:strRef>
              <c:f>[4]报价及预中标!$K$1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[4]报价及预中标!$K$2:$K$97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-80</c:v>
                </c:pt>
                <c:pt idx="4">
                  <c:v>-80</c:v>
                </c:pt>
                <c:pt idx="5">
                  <c:v>-80</c:v>
                </c:pt>
                <c:pt idx="6">
                  <c:v>-80.13</c:v>
                </c:pt>
                <c:pt idx="7">
                  <c:v>-80.13</c:v>
                </c:pt>
                <c:pt idx="8">
                  <c:v>-80.13</c:v>
                </c:pt>
                <c:pt idx="9">
                  <c:v>-80</c:v>
                </c:pt>
                <c:pt idx="10">
                  <c:v>-80</c:v>
                </c:pt>
                <c:pt idx="11">
                  <c:v>-80</c:v>
                </c:pt>
                <c:pt idx="12">
                  <c:v>-80</c:v>
                </c:pt>
                <c:pt idx="13">
                  <c:v>-80.13</c:v>
                </c:pt>
                <c:pt idx="14">
                  <c:v>-80.13</c:v>
                </c:pt>
                <c:pt idx="15">
                  <c:v>-80.13</c:v>
                </c:pt>
                <c:pt idx="16">
                  <c:v>-80.13</c:v>
                </c:pt>
                <c:pt idx="17">
                  <c:v>-80.13</c:v>
                </c:pt>
                <c:pt idx="18">
                  <c:v>-80</c:v>
                </c:pt>
                <c:pt idx="19">
                  <c:v>-80</c:v>
                </c:pt>
                <c:pt idx="20">
                  <c:v>-80</c:v>
                </c:pt>
                <c:pt idx="21">
                  <c:v>-80</c:v>
                </c:pt>
                <c:pt idx="22">
                  <c:v>-80</c:v>
                </c:pt>
                <c:pt idx="23">
                  <c:v>-80</c:v>
                </c:pt>
                <c:pt idx="24">
                  <c:v>-80</c:v>
                </c:pt>
                <c:pt idx="25">
                  <c:v>-80</c:v>
                </c:pt>
                <c:pt idx="26">
                  <c:v>-80</c:v>
                </c:pt>
                <c:pt idx="27">
                  <c:v>-80</c:v>
                </c:pt>
                <c:pt idx="28">
                  <c:v>-80</c:v>
                </c:pt>
                <c:pt idx="29">
                  <c:v>-80.56</c:v>
                </c:pt>
                <c:pt idx="30">
                  <c:v>0</c:v>
                </c:pt>
                <c:pt idx="31">
                  <c:v>144.80000000000001</c:v>
                </c:pt>
                <c:pt idx="32">
                  <c:v>55.65</c:v>
                </c:pt>
                <c:pt idx="33">
                  <c:v>108.94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-80.13</c:v>
                </c:pt>
                <c:pt idx="43">
                  <c:v>-80</c:v>
                </c:pt>
                <c:pt idx="44">
                  <c:v>-80.27</c:v>
                </c:pt>
                <c:pt idx="45">
                  <c:v>-80.13</c:v>
                </c:pt>
                <c:pt idx="46">
                  <c:v>-80.13</c:v>
                </c:pt>
                <c:pt idx="47">
                  <c:v>-80.13</c:v>
                </c:pt>
                <c:pt idx="48">
                  <c:v>-80.13</c:v>
                </c:pt>
                <c:pt idx="49">
                  <c:v>-80.13</c:v>
                </c:pt>
                <c:pt idx="50">
                  <c:v>-80.13</c:v>
                </c:pt>
                <c:pt idx="51">
                  <c:v>-80.13</c:v>
                </c:pt>
                <c:pt idx="52">
                  <c:v>-80.13</c:v>
                </c:pt>
                <c:pt idx="53">
                  <c:v>-80.13</c:v>
                </c:pt>
                <c:pt idx="54">
                  <c:v>-80.13</c:v>
                </c:pt>
                <c:pt idx="55">
                  <c:v>-80.27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412</c:v>
                </c:pt>
                <c:pt idx="62">
                  <c:v>500</c:v>
                </c:pt>
                <c:pt idx="63">
                  <c:v>546.72</c:v>
                </c:pt>
                <c:pt idx="64">
                  <c:v>606.91999999999996</c:v>
                </c:pt>
                <c:pt idx="65">
                  <c:v>626.25</c:v>
                </c:pt>
                <c:pt idx="66">
                  <c:v>635</c:v>
                </c:pt>
                <c:pt idx="67">
                  <c:v>630.63</c:v>
                </c:pt>
                <c:pt idx="68">
                  <c:v>593</c:v>
                </c:pt>
                <c:pt idx="69">
                  <c:v>545.62</c:v>
                </c:pt>
                <c:pt idx="70">
                  <c:v>542.88</c:v>
                </c:pt>
                <c:pt idx="71">
                  <c:v>542.88</c:v>
                </c:pt>
                <c:pt idx="72">
                  <c:v>542.88</c:v>
                </c:pt>
                <c:pt idx="73">
                  <c:v>542.88</c:v>
                </c:pt>
                <c:pt idx="74">
                  <c:v>542.88</c:v>
                </c:pt>
                <c:pt idx="75">
                  <c:v>542.88</c:v>
                </c:pt>
                <c:pt idx="76">
                  <c:v>542.88</c:v>
                </c:pt>
                <c:pt idx="77">
                  <c:v>542.88</c:v>
                </c:pt>
                <c:pt idx="78">
                  <c:v>542.88</c:v>
                </c:pt>
                <c:pt idx="79">
                  <c:v>542.88</c:v>
                </c:pt>
                <c:pt idx="80">
                  <c:v>542.88</c:v>
                </c:pt>
                <c:pt idx="81">
                  <c:v>542.88</c:v>
                </c:pt>
                <c:pt idx="82">
                  <c:v>542.88</c:v>
                </c:pt>
                <c:pt idx="83">
                  <c:v>542.88</c:v>
                </c:pt>
                <c:pt idx="84">
                  <c:v>542.88</c:v>
                </c:pt>
                <c:pt idx="85">
                  <c:v>542.88</c:v>
                </c:pt>
                <c:pt idx="86">
                  <c:v>542.88</c:v>
                </c:pt>
                <c:pt idx="87">
                  <c:v>542.88</c:v>
                </c:pt>
                <c:pt idx="88">
                  <c:v>542.88</c:v>
                </c:pt>
                <c:pt idx="89">
                  <c:v>542.88</c:v>
                </c:pt>
                <c:pt idx="90">
                  <c:v>542.88</c:v>
                </c:pt>
                <c:pt idx="91">
                  <c:v>541</c:v>
                </c:pt>
                <c:pt idx="92">
                  <c:v>542.88</c:v>
                </c:pt>
                <c:pt idx="93">
                  <c:v>535.9</c:v>
                </c:pt>
                <c:pt idx="94">
                  <c:v>486</c:v>
                </c:pt>
                <c:pt idx="95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17-42C3-847E-68B41FCC8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[5]报价及预中标!$N$1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-55.38</c:v>
                </c:pt>
                <c:pt idx="15">
                  <c:v>-55.38</c:v>
                </c:pt>
                <c:pt idx="16">
                  <c:v>-55.38</c:v>
                </c:pt>
                <c:pt idx="17">
                  <c:v>-55.38</c:v>
                </c:pt>
                <c:pt idx="18">
                  <c:v>-55.38</c:v>
                </c:pt>
                <c:pt idx="19">
                  <c:v>-55.38</c:v>
                </c:pt>
                <c:pt idx="20">
                  <c:v>-55.38</c:v>
                </c:pt>
                <c:pt idx="21">
                  <c:v>-55.38</c:v>
                </c:pt>
                <c:pt idx="22">
                  <c:v>-55.38</c:v>
                </c:pt>
                <c:pt idx="23">
                  <c:v>-55.38</c:v>
                </c:pt>
                <c:pt idx="24">
                  <c:v>-55.38</c:v>
                </c:pt>
                <c:pt idx="25">
                  <c:v>-55.38</c:v>
                </c:pt>
                <c:pt idx="26">
                  <c:v>-55.38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92.57</c:v>
                </c:pt>
                <c:pt idx="40">
                  <c:v>92.57</c:v>
                </c:pt>
                <c:pt idx="41">
                  <c:v>92.57</c:v>
                </c:pt>
                <c:pt idx="42">
                  <c:v>92.57</c:v>
                </c:pt>
                <c:pt idx="43">
                  <c:v>92.57</c:v>
                </c:pt>
                <c:pt idx="44">
                  <c:v>92.57</c:v>
                </c:pt>
                <c:pt idx="45">
                  <c:v>92.57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C-457D-B480-A22AAD810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[5]报价及预中标!$J$2:$J$97</c:f>
              <c:numCache>
                <c:formatCode>General</c:formatCode>
                <c:ptCount val="96"/>
                <c:pt idx="0">
                  <c:v>89.24</c:v>
                </c:pt>
                <c:pt idx="1">
                  <c:v>85.59</c:v>
                </c:pt>
                <c:pt idx="2">
                  <c:v>85.59</c:v>
                </c:pt>
                <c:pt idx="3">
                  <c:v>85.59</c:v>
                </c:pt>
                <c:pt idx="4">
                  <c:v>85.59</c:v>
                </c:pt>
                <c:pt idx="5">
                  <c:v>85.59</c:v>
                </c:pt>
                <c:pt idx="6">
                  <c:v>85.58</c:v>
                </c:pt>
                <c:pt idx="7">
                  <c:v>11.49</c:v>
                </c:pt>
                <c:pt idx="8">
                  <c:v>-88.69</c:v>
                </c:pt>
                <c:pt idx="9">
                  <c:v>-81.67</c:v>
                </c:pt>
                <c:pt idx="10">
                  <c:v>-81.67</c:v>
                </c:pt>
                <c:pt idx="11">
                  <c:v>-80</c:v>
                </c:pt>
                <c:pt idx="12">
                  <c:v>85.36</c:v>
                </c:pt>
                <c:pt idx="13">
                  <c:v>85.59</c:v>
                </c:pt>
                <c:pt idx="14">
                  <c:v>85.59</c:v>
                </c:pt>
                <c:pt idx="15">
                  <c:v>85.59</c:v>
                </c:pt>
                <c:pt idx="16">
                  <c:v>85.59</c:v>
                </c:pt>
                <c:pt idx="17">
                  <c:v>85.59</c:v>
                </c:pt>
                <c:pt idx="18">
                  <c:v>85.59</c:v>
                </c:pt>
                <c:pt idx="19">
                  <c:v>85.59</c:v>
                </c:pt>
                <c:pt idx="20">
                  <c:v>85.59</c:v>
                </c:pt>
                <c:pt idx="21">
                  <c:v>85.59</c:v>
                </c:pt>
                <c:pt idx="22">
                  <c:v>85.59</c:v>
                </c:pt>
                <c:pt idx="23">
                  <c:v>85.59</c:v>
                </c:pt>
                <c:pt idx="24">
                  <c:v>85.59</c:v>
                </c:pt>
                <c:pt idx="25">
                  <c:v>85.59</c:v>
                </c:pt>
                <c:pt idx="26">
                  <c:v>85.59</c:v>
                </c:pt>
                <c:pt idx="27">
                  <c:v>84.36</c:v>
                </c:pt>
                <c:pt idx="28">
                  <c:v>83.2</c:v>
                </c:pt>
                <c:pt idx="29">
                  <c:v>89.2</c:v>
                </c:pt>
                <c:pt idx="30">
                  <c:v>116.37</c:v>
                </c:pt>
                <c:pt idx="31">
                  <c:v>336.77</c:v>
                </c:pt>
                <c:pt idx="32">
                  <c:v>434.46</c:v>
                </c:pt>
                <c:pt idx="33">
                  <c:v>434.46</c:v>
                </c:pt>
                <c:pt idx="34">
                  <c:v>434.46</c:v>
                </c:pt>
                <c:pt idx="35">
                  <c:v>434.46</c:v>
                </c:pt>
                <c:pt idx="36">
                  <c:v>434.46</c:v>
                </c:pt>
                <c:pt idx="37">
                  <c:v>434.46</c:v>
                </c:pt>
                <c:pt idx="38">
                  <c:v>434.46</c:v>
                </c:pt>
                <c:pt idx="39">
                  <c:v>399.4</c:v>
                </c:pt>
                <c:pt idx="40">
                  <c:v>469.52</c:v>
                </c:pt>
                <c:pt idx="41">
                  <c:v>434.46</c:v>
                </c:pt>
                <c:pt idx="42">
                  <c:v>434.46</c:v>
                </c:pt>
                <c:pt idx="43">
                  <c:v>434.46</c:v>
                </c:pt>
                <c:pt idx="44">
                  <c:v>476.17</c:v>
                </c:pt>
                <c:pt idx="45">
                  <c:v>392.76</c:v>
                </c:pt>
                <c:pt idx="46">
                  <c:v>421.88</c:v>
                </c:pt>
                <c:pt idx="47">
                  <c:v>370</c:v>
                </c:pt>
                <c:pt idx="48">
                  <c:v>375</c:v>
                </c:pt>
                <c:pt idx="49">
                  <c:v>375</c:v>
                </c:pt>
                <c:pt idx="50">
                  <c:v>391.9</c:v>
                </c:pt>
                <c:pt idx="51">
                  <c:v>394.9</c:v>
                </c:pt>
                <c:pt idx="52">
                  <c:v>396</c:v>
                </c:pt>
                <c:pt idx="53">
                  <c:v>400</c:v>
                </c:pt>
                <c:pt idx="54">
                  <c:v>409</c:v>
                </c:pt>
                <c:pt idx="55">
                  <c:v>408.05</c:v>
                </c:pt>
                <c:pt idx="56">
                  <c:v>398.13</c:v>
                </c:pt>
                <c:pt idx="57">
                  <c:v>394.17</c:v>
                </c:pt>
                <c:pt idx="58">
                  <c:v>401.09</c:v>
                </c:pt>
                <c:pt idx="59">
                  <c:v>394</c:v>
                </c:pt>
                <c:pt idx="60">
                  <c:v>434.46</c:v>
                </c:pt>
                <c:pt idx="61">
                  <c:v>434.46</c:v>
                </c:pt>
                <c:pt idx="62">
                  <c:v>434.46</c:v>
                </c:pt>
                <c:pt idx="63">
                  <c:v>434.46</c:v>
                </c:pt>
                <c:pt idx="64">
                  <c:v>434.46</c:v>
                </c:pt>
                <c:pt idx="65">
                  <c:v>434.46</c:v>
                </c:pt>
                <c:pt idx="66">
                  <c:v>434.46</c:v>
                </c:pt>
                <c:pt idx="67">
                  <c:v>434.46</c:v>
                </c:pt>
                <c:pt idx="68">
                  <c:v>434.46</c:v>
                </c:pt>
                <c:pt idx="69">
                  <c:v>434.46</c:v>
                </c:pt>
                <c:pt idx="70">
                  <c:v>434.46</c:v>
                </c:pt>
                <c:pt idx="71">
                  <c:v>434.2</c:v>
                </c:pt>
                <c:pt idx="72">
                  <c:v>415.33</c:v>
                </c:pt>
                <c:pt idx="73">
                  <c:v>404</c:v>
                </c:pt>
                <c:pt idx="74">
                  <c:v>386.88</c:v>
                </c:pt>
                <c:pt idx="75">
                  <c:v>392.5</c:v>
                </c:pt>
                <c:pt idx="76">
                  <c:v>393.27</c:v>
                </c:pt>
                <c:pt idx="77">
                  <c:v>375</c:v>
                </c:pt>
                <c:pt idx="78">
                  <c:v>375</c:v>
                </c:pt>
                <c:pt idx="79">
                  <c:v>359.23</c:v>
                </c:pt>
                <c:pt idx="80">
                  <c:v>355</c:v>
                </c:pt>
                <c:pt idx="81">
                  <c:v>362</c:v>
                </c:pt>
                <c:pt idx="82">
                  <c:v>359.23</c:v>
                </c:pt>
                <c:pt idx="83">
                  <c:v>360</c:v>
                </c:pt>
                <c:pt idx="84">
                  <c:v>382</c:v>
                </c:pt>
                <c:pt idx="85">
                  <c:v>374</c:v>
                </c:pt>
                <c:pt idx="86">
                  <c:v>346</c:v>
                </c:pt>
                <c:pt idx="87">
                  <c:v>298.33</c:v>
                </c:pt>
                <c:pt idx="88">
                  <c:v>320</c:v>
                </c:pt>
                <c:pt idx="89">
                  <c:v>306</c:v>
                </c:pt>
                <c:pt idx="90">
                  <c:v>304</c:v>
                </c:pt>
                <c:pt idx="91">
                  <c:v>294.32</c:v>
                </c:pt>
                <c:pt idx="92">
                  <c:v>361.92</c:v>
                </c:pt>
                <c:pt idx="93">
                  <c:v>320</c:v>
                </c:pt>
                <c:pt idx="94">
                  <c:v>298.33</c:v>
                </c:pt>
                <c:pt idx="9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B9-40BE-BAEF-F17CDC9F0D3B}"/>
            </c:ext>
          </c:extLst>
        </c:ser>
        <c:ser>
          <c:idx val="1"/>
          <c:order val="1"/>
          <c:tx>
            <c:strRef>
              <c:f>[5]报价及预中标!$K$1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[5]报价及预中标!$I$2:$I$97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[5]报价及预中标!$K$2:$K$97</c:f>
              <c:numCache>
                <c:formatCode>General</c:formatCode>
                <c:ptCount val="96"/>
                <c:pt idx="0">
                  <c:v>89.24</c:v>
                </c:pt>
                <c:pt idx="1">
                  <c:v>85.59</c:v>
                </c:pt>
                <c:pt idx="2">
                  <c:v>85.59</c:v>
                </c:pt>
                <c:pt idx="3">
                  <c:v>85.59</c:v>
                </c:pt>
                <c:pt idx="4">
                  <c:v>85.59</c:v>
                </c:pt>
                <c:pt idx="5">
                  <c:v>85.59</c:v>
                </c:pt>
                <c:pt idx="6">
                  <c:v>85.58</c:v>
                </c:pt>
                <c:pt idx="7">
                  <c:v>11.49</c:v>
                </c:pt>
                <c:pt idx="8">
                  <c:v>-88.69</c:v>
                </c:pt>
                <c:pt idx="9">
                  <c:v>-81.67</c:v>
                </c:pt>
                <c:pt idx="10">
                  <c:v>-81.67</c:v>
                </c:pt>
                <c:pt idx="11">
                  <c:v>-80</c:v>
                </c:pt>
                <c:pt idx="12">
                  <c:v>85.36</c:v>
                </c:pt>
                <c:pt idx="13">
                  <c:v>85.59</c:v>
                </c:pt>
                <c:pt idx="14">
                  <c:v>85.59</c:v>
                </c:pt>
                <c:pt idx="15">
                  <c:v>85.59</c:v>
                </c:pt>
                <c:pt idx="16">
                  <c:v>85.59</c:v>
                </c:pt>
                <c:pt idx="17">
                  <c:v>85.59</c:v>
                </c:pt>
                <c:pt idx="18">
                  <c:v>85.59</c:v>
                </c:pt>
                <c:pt idx="19">
                  <c:v>85.59</c:v>
                </c:pt>
                <c:pt idx="20">
                  <c:v>85.59</c:v>
                </c:pt>
                <c:pt idx="21">
                  <c:v>85.59</c:v>
                </c:pt>
                <c:pt idx="22">
                  <c:v>85.59</c:v>
                </c:pt>
                <c:pt idx="23">
                  <c:v>85.59</c:v>
                </c:pt>
                <c:pt idx="24">
                  <c:v>85.59</c:v>
                </c:pt>
                <c:pt idx="25">
                  <c:v>85.59</c:v>
                </c:pt>
                <c:pt idx="26">
                  <c:v>85.59</c:v>
                </c:pt>
                <c:pt idx="27">
                  <c:v>84.36</c:v>
                </c:pt>
                <c:pt idx="28">
                  <c:v>83.2</c:v>
                </c:pt>
                <c:pt idx="29">
                  <c:v>89.2</c:v>
                </c:pt>
                <c:pt idx="30">
                  <c:v>116.37</c:v>
                </c:pt>
                <c:pt idx="31">
                  <c:v>336.77</c:v>
                </c:pt>
                <c:pt idx="32">
                  <c:v>434.46</c:v>
                </c:pt>
                <c:pt idx="33">
                  <c:v>434.46</c:v>
                </c:pt>
                <c:pt idx="34">
                  <c:v>434.46</c:v>
                </c:pt>
                <c:pt idx="35">
                  <c:v>434.46</c:v>
                </c:pt>
                <c:pt idx="36">
                  <c:v>434.46</c:v>
                </c:pt>
                <c:pt idx="37">
                  <c:v>434.46</c:v>
                </c:pt>
                <c:pt idx="38">
                  <c:v>434.46</c:v>
                </c:pt>
                <c:pt idx="39">
                  <c:v>399.4</c:v>
                </c:pt>
                <c:pt idx="40">
                  <c:v>469.52</c:v>
                </c:pt>
                <c:pt idx="41">
                  <c:v>434.46</c:v>
                </c:pt>
                <c:pt idx="42">
                  <c:v>434.46</c:v>
                </c:pt>
                <c:pt idx="43">
                  <c:v>434.46</c:v>
                </c:pt>
                <c:pt idx="44">
                  <c:v>476.17</c:v>
                </c:pt>
                <c:pt idx="45">
                  <c:v>392.76</c:v>
                </c:pt>
                <c:pt idx="46">
                  <c:v>421.88</c:v>
                </c:pt>
                <c:pt idx="47">
                  <c:v>370</c:v>
                </c:pt>
                <c:pt idx="48">
                  <c:v>375</c:v>
                </c:pt>
                <c:pt idx="49">
                  <c:v>375</c:v>
                </c:pt>
                <c:pt idx="50">
                  <c:v>391.9</c:v>
                </c:pt>
                <c:pt idx="51">
                  <c:v>394.9</c:v>
                </c:pt>
                <c:pt idx="52">
                  <c:v>396</c:v>
                </c:pt>
                <c:pt idx="53">
                  <c:v>400</c:v>
                </c:pt>
                <c:pt idx="54">
                  <c:v>409</c:v>
                </c:pt>
                <c:pt idx="55">
                  <c:v>408.05</c:v>
                </c:pt>
                <c:pt idx="56">
                  <c:v>398.13</c:v>
                </c:pt>
                <c:pt idx="57">
                  <c:v>394.17</c:v>
                </c:pt>
                <c:pt idx="58">
                  <c:v>401.09</c:v>
                </c:pt>
                <c:pt idx="59">
                  <c:v>394</c:v>
                </c:pt>
                <c:pt idx="60">
                  <c:v>434.46</c:v>
                </c:pt>
                <c:pt idx="61">
                  <c:v>434.46</c:v>
                </c:pt>
                <c:pt idx="62">
                  <c:v>434.46</c:v>
                </c:pt>
                <c:pt idx="63">
                  <c:v>434.46</c:v>
                </c:pt>
                <c:pt idx="64">
                  <c:v>434.46</c:v>
                </c:pt>
                <c:pt idx="65">
                  <c:v>434.46</c:v>
                </c:pt>
                <c:pt idx="66">
                  <c:v>434.46</c:v>
                </c:pt>
                <c:pt idx="67">
                  <c:v>434.46</c:v>
                </c:pt>
                <c:pt idx="68">
                  <c:v>434.46</c:v>
                </c:pt>
                <c:pt idx="69">
                  <c:v>434.46</c:v>
                </c:pt>
                <c:pt idx="70">
                  <c:v>434.46</c:v>
                </c:pt>
                <c:pt idx="71">
                  <c:v>434.2</c:v>
                </c:pt>
                <c:pt idx="72">
                  <c:v>415.33</c:v>
                </c:pt>
                <c:pt idx="73">
                  <c:v>404</c:v>
                </c:pt>
                <c:pt idx="74">
                  <c:v>386.88</c:v>
                </c:pt>
                <c:pt idx="75">
                  <c:v>392.5</c:v>
                </c:pt>
                <c:pt idx="76">
                  <c:v>393.27</c:v>
                </c:pt>
                <c:pt idx="77">
                  <c:v>375</c:v>
                </c:pt>
                <c:pt idx="78">
                  <c:v>375</c:v>
                </c:pt>
                <c:pt idx="79">
                  <c:v>359.23</c:v>
                </c:pt>
                <c:pt idx="80">
                  <c:v>355</c:v>
                </c:pt>
                <c:pt idx="81">
                  <c:v>362</c:v>
                </c:pt>
                <c:pt idx="82">
                  <c:v>359.23</c:v>
                </c:pt>
                <c:pt idx="83">
                  <c:v>360</c:v>
                </c:pt>
                <c:pt idx="84">
                  <c:v>382</c:v>
                </c:pt>
                <c:pt idx="85">
                  <c:v>374</c:v>
                </c:pt>
                <c:pt idx="86">
                  <c:v>346</c:v>
                </c:pt>
                <c:pt idx="87">
                  <c:v>298.33</c:v>
                </c:pt>
                <c:pt idx="88">
                  <c:v>320</c:v>
                </c:pt>
                <c:pt idx="89">
                  <c:v>306</c:v>
                </c:pt>
                <c:pt idx="90">
                  <c:v>304</c:v>
                </c:pt>
                <c:pt idx="91">
                  <c:v>294.32</c:v>
                </c:pt>
                <c:pt idx="92">
                  <c:v>361.92</c:v>
                </c:pt>
                <c:pt idx="93">
                  <c:v>320</c:v>
                </c:pt>
                <c:pt idx="94">
                  <c:v>298.33</c:v>
                </c:pt>
                <c:pt idx="95">
                  <c:v>280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B9-40BE-BAEF-F17CDC9F0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[6]报价及预中标!$N$1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-50</c:v>
                </c:pt>
                <c:pt idx="20">
                  <c:v>-50</c:v>
                </c:pt>
                <c:pt idx="21">
                  <c:v>-50</c:v>
                </c:pt>
                <c:pt idx="22">
                  <c:v>-95</c:v>
                </c:pt>
                <c:pt idx="23">
                  <c:v>-95</c:v>
                </c:pt>
                <c:pt idx="24">
                  <c:v>-95</c:v>
                </c:pt>
                <c:pt idx="25">
                  <c:v>-95</c:v>
                </c:pt>
                <c:pt idx="26">
                  <c:v>-95</c:v>
                </c:pt>
                <c:pt idx="27">
                  <c:v>-95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69.13</c:v>
                </c:pt>
                <c:pt idx="37">
                  <c:v>69.13</c:v>
                </c:pt>
                <c:pt idx="38">
                  <c:v>69.13</c:v>
                </c:pt>
                <c:pt idx="39">
                  <c:v>69.13</c:v>
                </c:pt>
                <c:pt idx="40">
                  <c:v>69.13</c:v>
                </c:pt>
                <c:pt idx="41">
                  <c:v>69.13</c:v>
                </c:pt>
                <c:pt idx="42">
                  <c:v>69.13</c:v>
                </c:pt>
                <c:pt idx="43">
                  <c:v>69.13</c:v>
                </c:pt>
                <c:pt idx="44">
                  <c:v>95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CF-4BBD-A528-6071BD6A9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[6]报价及预中标!$J$2:$J$97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-81.58</c:v>
                </c:pt>
                <c:pt idx="4">
                  <c:v>-81.58</c:v>
                </c:pt>
                <c:pt idx="5">
                  <c:v>-81.58</c:v>
                </c:pt>
                <c:pt idx="6">
                  <c:v>-81.58</c:v>
                </c:pt>
                <c:pt idx="7">
                  <c:v>-81.58</c:v>
                </c:pt>
                <c:pt idx="8">
                  <c:v>-81.58</c:v>
                </c:pt>
                <c:pt idx="9">
                  <c:v>-81.58</c:v>
                </c:pt>
                <c:pt idx="10">
                  <c:v>-81.58</c:v>
                </c:pt>
                <c:pt idx="11">
                  <c:v>-81.58</c:v>
                </c:pt>
                <c:pt idx="12">
                  <c:v>-81.58</c:v>
                </c:pt>
                <c:pt idx="13">
                  <c:v>-81.58</c:v>
                </c:pt>
                <c:pt idx="14">
                  <c:v>-81.58</c:v>
                </c:pt>
                <c:pt idx="15">
                  <c:v>-81.58</c:v>
                </c:pt>
                <c:pt idx="16">
                  <c:v>-81.58</c:v>
                </c:pt>
                <c:pt idx="17">
                  <c:v>-81.58</c:v>
                </c:pt>
                <c:pt idx="18">
                  <c:v>-81.58</c:v>
                </c:pt>
                <c:pt idx="19">
                  <c:v>-81.58</c:v>
                </c:pt>
                <c:pt idx="20">
                  <c:v>-81.58</c:v>
                </c:pt>
                <c:pt idx="21">
                  <c:v>-81.58</c:v>
                </c:pt>
                <c:pt idx="22">
                  <c:v>-81.58</c:v>
                </c:pt>
                <c:pt idx="23">
                  <c:v>-81.58</c:v>
                </c:pt>
                <c:pt idx="24">
                  <c:v>-81.58</c:v>
                </c:pt>
                <c:pt idx="25">
                  <c:v>-81.58</c:v>
                </c:pt>
                <c:pt idx="26">
                  <c:v>-81.58</c:v>
                </c:pt>
                <c:pt idx="27">
                  <c:v>-81.58</c:v>
                </c:pt>
                <c:pt idx="28">
                  <c:v>-81.58</c:v>
                </c:pt>
                <c:pt idx="29">
                  <c:v>-81.58</c:v>
                </c:pt>
                <c:pt idx="30">
                  <c:v>0</c:v>
                </c:pt>
                <c:pt idx="31">
                  <c:v>382</c:v>
                </c:pt>
                <c:pt idx="32">
                  <c:v>458.6</c:v>
                </c:pt>
                <c:pt idx="33">
                  <c:v>548.02</c:v>
                </c:pt>
                <c:pt idx="34">
                  <c:v>632.86</c:v>
                </c:pt>
                <c:pt idx="35">
                  <c:v>541.71</c:v>
                </c:pt>
                <c:pt idx="36">
                  <c:v>724</c:v>
                </c:pt>
                <c:pt idx="37">
                  <c:v>632.86</c:v>
                </c:pt>
                <c:pt idx="38">
                  <c:v>632.86</c:v>
                </c:pt>
                <c:pt idx="39">
                  <c:v>620.79999999999995</c:v>
                </c:pt>
                <c:pt idx="40">
                  <c:v>644.91</c:v>
                </c:pt>
                <c:pt idx="41">
                  <c:v>632.86</c:v>
                </c:pt>
                <c:pt idx="42">
                  <c:v>632.86</c:v>
                </c:pt>
                <c:pt idx="43">
                  <c:v>632.86</c:v>
                </c:pt>
                <c:pt idx="44">
                  <c:v>679.2</c:v>
                </c:pt>
                <c:pt idx="45">
                  <c:v>646.74</c:v>
                </c:pt>
                <c:pt idx="46">
                  <c:v>626.4</c:v>
                </c:pt>
                <c:pt idx="47">
                  <c:v>592.79999999999995</c:v>
                </c:pt>
                <c:pt idx="48">
                  <c:v>619.14</c:v>
                </c:pt>
                <c:pt idx="49">
                  <c:v>632.86</c:v>
                </c:pt>
                <c:pt idx="50">
                  <c:v>632.86</c:v>
                </c:pt>
                <c:pt idx="51">
                  <c:v>632</c:v>
                </c:pt>
                <c:pt idx="52">
                  <c:v>633.71</c:v>
                </c:pt>
                <c:pt idx="53">
                  <c:v>632.86</c:v>
                </c:pt>
                <c:pt idx="54">
                  <c:v>632.86</c:v>
                </c:pt>
                <c:pt idx="55">
                  <c:v>632.86</c:v>
                </c:pt>
                <c:pt idx="56">
                  <c:v>632.86</c:v>
                </c:pt>
                <c:pt idx="57">
                  <c:v>632.86</c:v>
                </c:pt>
                <c:pt idx="58">
                  <c:v>629.16999999999996</c:v>
                </c:pt>
                <c:pt idx="59">
                  <c:v>543.6</c:v>
                </c:pt>
                <c:pt idx="60">
                  <c:v>484.72</c:v>
                </c:pt>
                <c:pt idx="61">
                  <c:v>491.28</c:v>
                </c:pt>
                <c:pt idx="62">
                  <c:v>496.52</c:v>
                </c:pt>
                <c:pt idx="63">
                  <c:v>484.72</c:v>
                </c:pt>
                <c:pt idx="64">
                  <c:v>490</c:v>
                </c:pt>
                <c:pt idx="65">
                  <c:v>484.72</c:v>
                </c:pt>
                <c:pt idx="66">
                  <c:v>482.28</c:v>
                </c:pt>
                <c:pt idx="67">
                  <c:v>478</c:v>
                </c:pt>
                <c:pt idx="68">
                  <c:v>468.14</c:v>
                </c:pt>
                <c:pt idx="69">
                  <c:v>474</c:v>
                </c:pt>
                <c:pt idx="70">
                  <c:v>478</c:v>
                </c:pt>
                <c:pt idx="71">
                  <c:v>465.2</c:v>
                </c:pt>
                <c:pt idx="72">
                  <c:v>450</c:v>
                </c:pt>
                <c:pt idx="73">
                  <c:v>455.2</c:v>
                </c:pt>
                <c:pt idx="74">
                  <c:v>457.88</c:v>
                </c:pt>
                <c:pt idx="75">
                  <c:v>463.21</c:v>
                </c:pt>
                <c:pt idx="76">
                  <c:v>462.76</c:v>
                </c:pt>
                <c:pt idx="77">
                  <c:v>451.73</c:v>
                </c:pt>
                <c:pt idx="78">
                  <c:v>451.06</c:v>
                </c:pt>
                <c:pt idx="79">
                  <c:v>441.21</c:v>
                </c:pt>
                <c:pt idx="80">
                  <c:v>441</c:v>
                </c:pt>
                <c:pt idx="81">
                  <c:v>440</c:v>
                </c:pt>
                <c:pt idx="82">
                  <c:v>439.24</c:v>
                </c:pt>
                <c:pt idx="83">
                  <c:v>439.6</c:v>
                </c:pt>
                <c:pt idx="84">
                  <c:v>457.29</c:v>
                </c:pt>
                <c:pt idx="85">
                  <c:v>447.44</c:v>
                </c:pt>
                <c:pt idx="86">
                  <c:v>439</c:v>
                </c:pt>
                <c:pt idx="87">
                  <c:v>425.24</c:v>
                </c:pt>
                <c:pt idx="88">
                  <c:v>419.55</c:v>
                </c:pt>
                <c:pt idx="89">
                  <c:v>418.8</c:v>
                </c:pt>
                <c:pt idx="90">
                  <c:v>413.93</c:v>
                </c:pt>
                <c:pt idx="91">
                  <c:v>404.38</c:v>
                </c:pt>
                <c:pt idx="92">
                  <c:v>419.44</c:v>
                </c:pt>
                <c:pt idx="93">
                  <c:v>406</c:v>
                </c:pt>
                <c:pt idx="94">
                  <c:v>398</c:v>
                </c:pt>
                <c:pt idx="95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97-4799-B3D3-1363780378CE}"/>
            </c:ext>
          </c:extLst>
        </c:ser>
        <c:ser>
          <c:idx val="1"/>
          <c:order val="1"/>
          <c:tx>
            <c:strRef>
              <c:f>[6]报价及预中标!$K$1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[6]报价及预中标!$I$2:$I$97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[6]报价及预中标!$K$2:$K$97</c:f>
              <c:numCache>
                <c:formatCode>General</c:formatCode>
                <c:ptCount val="96"/>
                <c:pt idx="0">
                  <c:v>-80</c:v>
                </c:pt>
                <c:pt idx="1">
                  <c:v>-80</c:v>
                </c:pt>
                <c:pt idx="2">
                  <c:v>-80</c:v>
                </c:pt>
                <c:pt idx="3">
                  <c:v>-81.58</c:v>
                </c:pt>
                <c:pt idx="4">
                  <c:v>-81.58</c:v>
                </c:pt>
                <c:pt idx="5">
                  <c:v>-81.58</c:v>
                </c:pt>
                <c:pt idx="6">
                  <c:v>-81.58</c:v>
                </c:pt>
                <c:pt idx="7">
                  <c:v>-81.58</c:v>
                </c:pt>
                <c:pt idx="8">
                  <c:v>-81.58</c:v>
                </c:pt>
                <c:pt idx="9">
                  <c:v>-81.58</c:v>
                </c:pt>
                <c:pt idx="10">
                  <c:v>-81.58</c:v>
                </c:pt>
                <c:pt idx="11">
                  <c:v>-81.58</c:v>
                </c:pt>
                <c:pt idx="12">
                  <c:v>-81.58</c:v>
                </c:pt>
                <c:pt idx="13">
                  <c:v>-81.58</c:v>
                </c:pt>
                <c:pt idx="14">
                  <c:v>-81.58</c:v>
                </c:pt>
                <c:pt idx="15">
                  <c:v>-81.58</c:v>
                </c:pt>
                <c:pt idx="16">
                  <c:v>-81.58</c:v>
                </c:pt>
                <c:pt idx="17">
                  <c:v>-81.58</c:v>
                </c:pt>
                <c:pt idx="18">
                  <c:v>-81.58</c:v>
                </c:pt>
                <c:pt idx="19">
                  <c:v>-81.58</c:v>
                </c:pt>
                <c:pt idx="20">
                  <c:v>-81.58</c:v>
                </c:pt>
                <c:pt idx="21">
                  <c:v>-81.58</c:v>
                </c:pt>
                <c:pt idx="22">
                  <c:v>-81.58</c:v>
                </c:pt>
                <c:pt idx="23">
                  <c:v>-81.58</c:v>
                </c:pt>
                <c:pt idx="24">
                  <c:v>-81.58</c:v>
                </c:pt>
                <c:pt idx="25">
                  <c:v>-81.58</c:v>
                </c:pt>
                <c:pt idx="26">
                  <c:v>-81.58</c:v>
                </c:pt>
                <c:pt idx="27">
                  <c:v>-81.58</c:v>
                </c:pt>
                <c:pt idx="28">
                  <c:v>-81.58</c:v>
                </c:pt>
                <c:pt idx="29">
                  <c:v>-81.58</c:v>
                </c:pt>
                <c:pt idx="30">
                  <c:v>0</c:v>
                </c:pt>
                <c:pt idx="31">
                  <c:v>382</c:v>
                </c:pt>
                <c:pt idx="32">
                  <c:v>458.6</c:v>
                </c:pt>
                <c:pt idx="33">
                  <c:v>548.02</c:v>
                </c:pt>
                <c:pt idx="34">
                  <c:v>632.86</c:v>
                </c:pt>
                <c:pt idx="35">
                  <c:v>541.71</c:v>
                </c:pt>
                <c:pt idx="36">
                  <c:v>724</c:v>
                </c:pt>
                <c:pt idx="37">
                  <c:v>632.86</c:v>
                </c:pt>
                <c:pt idx="38">
                  <c:v>632.86</c:v>
                </c:pt>
                <c:pt idx="39">
                  <c:v>620.79999999999995</c:v>
                </c:pt>
                <c:pt idx="40">
                  <c:v>644.91</c:v>
                </c:pt>
                <c:pt idx="41">
                  <c:v>632.86</c:v>
                </c:pt>
                <c:pt idx="42">
                  <c:v>632.86</c:v>
                </c:pt>
                <c:pt idx="43">
                  <c:v>632.86</c:v>
                </c:pt>
                <c:pt idx="44">
                  <c:v>679.2</c:v>
                </c:pt>
                <c:pt idx="45">
                  <c:v>646.74</c:v>
                </c:pt>
                <c:pt idx="46">
                  <c:v>626.4</c:v>
                </c:pt>
                <c:pt idx="47">
                  <c:v>592.79999999999995</c:v>
                </c:pt>
                <c:pt idx="48">
                  <c:v>619.14</c:v>
                </c:pt>
                <c:pt idx="49">
                  <c:v>632.86</c:v>
                </c:pt>
                <c:pt idx="50">
                  <c:v>632.86</c:v>
                </c:pt>
                <c:pt idx="51">
                  <c:v>632</c:v>
                </c:pt>
                <c:pt idx="52">
                  <c:v>633.71</c:v>
                </c:pt>
                <c:pt idx="53">
                  <c:v>632.86</c:v>
                </c:pt>
                <c:pt idx="54">
                  <c:v>632.86</c:v>
                </c:pt>
                <c:pt idx="55">
                  <c:v>632.86</c:v>
                </c:pt>
                <c:pt idx="56">
                  <c:v>632.86</c:v>
                </c:pt>
                <c:pt idx="57">
                  <c:v>632.86</c:v>
                </c:pt>
                <c:pt idx="58">
                  <c:v>629.16999999999996</c:v>
                </c:pt>
                <c:pt idx="59">
                  <c:v>543.6</c:v>
                </c:pt>
                <c:pt idx="60">
                  <c:v>484.72</c:v>
                </c:pt>
                <c:pt idx="61">
                  <c:v>491.28</c:v>
                </c:pt>
                <c:pt idx="62">
                  <c:v>496.52</c:v>
                </c:pt>
                <c:pt idx="63">
                  <c:v>484.72</c:v>
                </c:pt>
                <c:pt idx="64">
                  <c:v>490</c:v>
                </c:pt>
                <c:pt idx="65">
                  <c:v>484.72</c:v>
                </c:pt>
                <c:pt idx="66">
                  <c:v>482.28</c:v>
                </c:pt>
                <c:pt idx="67">
                  <c:v>478</c:v>
                </c:pt>
                <c:pt idx="68">
                  <c:v>468.14</c:v>
                </c:pt>
                <c:pt idx="69">
                  <c:v>474</c:v>
                </c:pt>
                <c:pt idx="70">
                  <c:v>478</c:v>
                </c:pt>
                <c:pt idx="71">
                  <c:v>465.2</c:v>
                </c:pt>
                <c:pt idx="72">
                  <c:v>450</c:v>
                </c:pt>
                <c:pt idx="73">
                  <c:v>455.2</c:v>
                </c:pt>
                <c:pt idx="74">
                  <c:v>457.88</c:v>
                </c:pt>
                <c:pt idx="75">
                  <c:v>463.21</c:v>
                </c:pt>
                <c:pt idx="76">
                  <c:v>462.76</c:v>
                </c:pt>
                <c:pt idx="77">
                  <c:v>451.73</c:v>
                </c:pt>
                <c:pt idx="78">
                  <c:v>451.06</c:v>
                </c:pt>
                <c:pt idx="79">
                  <c:v>441.21</c:v>
                </c:pt>
                <c:pt idx="80">
                  <c:v>441</c:v>
                </c:pt>
                <c:pt idx="81">
                  <c:v>440</c:v>
                </c:pt>
                <c:pt idx="82">
                  <c:v>439.24</c:v>
                </c:pt>
                <c:pt idx="83">
                  <c:v>439.6</c:v>
                </c:pt>
                <c:pt idx="84">
                  <c:v>457.29</c:v>
                </c:pt>
                <c:pt idx="85">
                  <c:v>447.44</c:v>
                </c:pt>
                <c:pt idx="86">
                  <c:v>439</c:v>
                </c:pt>
                <c:pt idx="87">
                  <c:v>425.24</c:v>
                </c:pt>
                <c:pt idx="88">
                  <c:v>419.55</c:v>
                </c:pt>
                <c:pt idx="89">
                  <c:v>418.8</c:v>
                </c:pt>
                <c:pt idx="90">
                  <c:v>413.93</c:v>
                </c:pt>
                <c:pt idx="91">
                  <c:v>404.38</c:v>
                </c:pt>
                <c:pt idx="92">
                  <c:v>419.44</c:v>
                </c:pt>
                <c:pt idx="93">
                  <c:v>406</c:v>
                </c:pt>
                <c:pt idx="94">
                  <c:v>398</c:v>
                </c:pt>
                <c:pt idx="95">
                  <c:v>380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97-4799-B3D3-13637803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[7]报价及预中标!$N$1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[7]报价及预中标!$N$2:$N$97</c:f>
              <c:numCache>
                <c:formatCode>General</c:formatCode>
                <c:ptCount val="96"/>
                <c:pt idx="0">
                  <c:v>-0.02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0.01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-55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38.119999999999997</c:v>
                </c:pt>
                <c:pt idx="70">
                  <c:v>38.119999999999997</c:v>
                </c:pt>
                <c:pt idx="71">
                  <c:v>38.119999999999997</c:v>
                </c:pt>
                <c:pt idx="72">
                  <c:v>38.119999999999997</c:v>
                </c:pt>
                <c:pt idx="73">
                  <c:v>38.119999999999997</c:v>
                </c:pt>
                <c:pt idx="74">
                  <c:v>38.119999999999997</c:v>
                </c:pt>
                <c:pt idx="75">
                  <c:v>38.119999999999997</c:v>
                </c:pt>
                <c:pt idx="76">
                  <c:v>38.119999999999997</c:v>
                </c:pt>
                <c:pt idx="77">
                  <c:v>38.119999999999997</c:v>
                </c:pt>
                <c:pt idx="78">
                  <c:v>38.119999999999997</c:v>
                </c:pt>
                <c:pt idx="79">
                  <c:v>38.119999999999997</c:v>
                </c:pt>
                <c:pt idx="80">
                  <c:v>38.119999999999997</c:v>
                </c:pt>
                <c:pt idx="81">
                  <c:v>38.119999999999997</c:v>
                </c:pt>
                <c:pt idx="82">
                  <c:v>38.119999999999997</c:v>
                </c:pt>
                <c:pt idx="83">
                  <c:v>38.119999999999997</c:v>
                </c:pt>
                <c:pt idx="84">
                  <c:v>38.119999999999997</c:v>
                </c:pt>
                <c:pt idx="85">
                  <c:v>38.119999999999997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3-4083-8EDF-B6A36ACA5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[7]报价及预中标!$J$2:$J$97</c:f>
              <c:numCache>
                <c:formatCode>General</c:formatCode>
                <c:ptCount val="96"/>
                <c:pt idx="0">
                  <c:v>399</c:v>
                </c:pt>
                <c:pt idx="1">
                  <c:v>395.59</c:v>
                </c:pt>
                <c:pt idx="2">
                  <c:v>394</c:v>
                </c:pt>
                <c:pt idx="3">
                  <c:v>393</c:v>
                </c:pt>
                <c:pt idx="4">
                  <c:v>390</c:v>
                </c:pt>
                <c:pt idx="5">
                  <c:v>386</c:v>
                </c:pt>
                <c:pt idx="6">
                  <c:v>383.75</c:v>
                </c:pt>
                <c:pt idx="7">
                  <c:v>383.75</c:v>
                </c:pt>
                <c:pt idx="8">
                  <c:v>403</c:v>
                </c:pt>
                <c:pt idx="9">
                  <c:v>404</c:v>
                </c:pt>
                <c:pt idx="10">
                  <c:v>400.38</c:v>
                </c:pt>
                <c:pt idx="11">
                  <c:v>395.59</c:v>
                </c:pt>
                <c:pt idx="12">
                  <c:v>389.38</c:v>
                </c:pt>
                <c:pt idx="13">
                  <c:v>388</c:v>
                </c:pt>
                <c:pt idx="14">
                  <c:v>384.39</c:v>
                </c:pt>
                <c:pt idx="15">
                  <c:v>383.75</c:v>
                </c:pt>
                <c:pt idx="16">
                  <c:v>383.75</c:v>
                </c:pt>
                <c:pt idx="17">
                  <c:v>385.63</c:v>
                </c:pt>
                <c:pt idx="18">
                  <c:v>385.63</c:v>
                </c:pt>
                <c:pt idx="19">
                  <c:v>390</c:v>
                </c:pt>
                <c:pt idx="20">
                  <c:v>398</c:v>
                </c:pt>
                <c:pt idx="21">
                  <c:v>395</c:v>
                </c:pt>
                <c:pt idx="22">
                  <c:v>393.2</c:v>
                </c:pt>
                <c:pt idx="23">
                  <c:v>387.5</c:v>
                </c:pt>
                <c:pt idx="24">
                  <c:v>392</c:v>
                </c:pt>
                <c:pt idx="25">
                  <c:v>400</c:v>
                </c:pt>
                <c:pt idx="26">
                  <c:v>407</c:v>
                </c:pt>
                <c:pt idx="27">
                  <c:v>410</c:v>
                </c:pt>
                <c:pt idx="28">
                  <c:v>413</c:v>
                </c:pt>
                <c:pt idx="29">
                  <c:v>421</c:v>
                </c:pt>
                <c:pt idx="30">
                  <c:v>434.38</c:v>
                </c:pt>
                <c:pt idx="31">
                  <c:v>436.25</c:v>
                </c:pt>
                <c:pt idx="32">
                  <c:v>433.54</c:v>
                </c:pt>
                <c:pt idx="33">
                  <c:v>419</c:v>
                </c:pt>
                <c:pt idx="34">
                  <c:v>395</c:v>
                </c:pt>
                <c:pt idx="35">
                  <c:v>368.94</c:v>
                </c:pt>
                <c:pt idx="36">
                  <c:v>360</c:v>
                </c:pt>
                <c:pt idx="37">
                  <c:v>314</c:v>
                </c:pt>
                <c:pt idx="38">
                  <c:v>164</c:v>
                </c:pt>
                <c:pt idx="39">
                  <c:v>56.8</c:v>
                </c:pt>
                <c:pt idx="40">
                  <c:v>280</c:v>
                </c:pt>
                <c:pt idx="41">
                  <c:v>215.2</c:v>
                </c:pt>
                <c:pt idx="42">
                  <c:v>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106</c:v>
                </c:pt>
                <c:pt idx="59">
                  <c:v>0</c:v>
                </c:pt>
                <c:pt idx="60">
                  <c:v>106</c:v>
                </c:pt>
                <c:pt idx="61">
                  <c:v>306.16000000000003</c:v>
                </c:pt>
                <c:pt idx="62">
                  <c:v>368</c:v>
                </c:pt>
                <c:pt idx="63">
                  <c:v>382</c:v>
                </c:pt>
                <c:pt idx="64">
                  <c:v>405.12</c:v>
                </c:pt>
                <c:pt idx="65">
                  <c:v>421.67</c:v>
                </c:pt>
                <c:pt idx="66">
                  <c:v>437</c:v>
                </c:pt>
                <c:pt idx="67">
                  <c:v>440</c:v>
                </c:pt>
                <c:pt idx="68">
                  <c:v>436.96</c:v>
                </c:pt>
                <c:pt idx="69">
                  <c:v>436.25</c:v>
                </c:pt>
                <c:pt idx="70">
                  <c:v>434.38</c:v>
                </c:pt>
                <c:pt idx="71">
                  <c:v>434.38</c:v>
                </c:pt>
                <c:pt idx="72">
                  <c:v>434.38</c:v>
                </c:pt>
                <c:pt idx="73">
                  <c:v>434.38</c:v>
                </c:pt>
                <c:pt idx="74">
                  <c:v>434.38</c:v>
                </c:pt>
                <c:pt idx="75">
                  <c:v>434.38</c:v>
                </c:pt>
                <c:pt idx="76">
                  <c:v>434.38</c:v>
                </c:pt>
                <c:pt idx="77">
                  <c:v>434.38</c:v>
                </c:pt>
                <c:pt idx="78">
                  <c:v>434.38</c:v>
                </c:pt>
                <c:pt idx="79">
                  <c:v>434.38</c:v>
                </c:pt>
                <c:pt idx="80">
                  <c:v>434.38</c:v>
                </c:pt>
                <c:pt idx="81">
                  <c:v>434.38</c:v>
                </c:pt>
                <c:pt idx="82">
                  <c:v>434.38</c:v>
                </c:pt>
                <c:pt idx="83">
                  <c:v>434.38</c:v>
                </c:pt>
                <c:pt idx="84">
                  <c:v>434.38</c:v>
                </c:pt>
                <c:pt idx="85">
                  <c:v>434.38</c:v>
                </c:pt>
                <c:pt idx="86">
                  <c:v>434.38</c:v>
                </c:pt>
                <c:pt idx="87">
                  <c:v>434.38</c:v>
                </c:pt>
                <c:pt idx="88">
                  <c:v>430.63</c:v>
                </c:pt>
                <c:pt idx="89">
                  <c:v>421</c:v>
                </c:pt>
                <c:pt idx="90">
                  <c:v>414</c:v>
                </c:pt>
                <c:pt idx="91">
                  <c:v>408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93-4D36-BB44-762AD2A5B03D}"/>
            </c:ext>
          </c:extLst>
        </c:ser>
        <c:ser>
          <c:idx val="1"/>
          <c:order val="1"/>
          <c:tx>
            <c:strRef>
              <c:f>[7]报价及预中标!$K$1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[7]报价及预中标!$I$2:$I$97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[7]报价及预中标!$K$2:$K$97</c:f>
              <c:numCache>
                <c:formatCode>General</c:formatCode>
                <c:ptCount val="96"/>
                <c:pt idx="0">
                  <c:v>399</c:v>
                </c:pt>
                <c:pt idx="1">
                  <c:v>395.59</c:v>
                </c:pt>
                <c:pt idx="2">
                  <c:v>394</c:v>
                </c:pt>
                <c:pt idx="3">
                  <c:v>393</c:v>
                </c:pt>
                <c:pt idx="4">
                  <c:v>390</c:v>
                </c:pt>
                <c:pt idx="5">
                  <c:v>386</c:v>
                </c:pt>
                <c:pt idx="6">
                  <c:v>383.75</c:v>
                </c:pt>
                <c:pt idx="7">
                  <c:v>383.75</c:v>
                </c:pt>
                <c:pt idx="8">
                  <c:v>403</c:v>
                </c:pt>
                <c:pt idx="9">
                  <c:v>404</c:v>
                </c:pt>
                <c:pt idx="10">
                  <c:v>400.38</c:v>
                </c:pt>
                <c:pt idx="11">
                  <c:v>395.59</c:v>
                </c:pt>
                <c:pt idx="12">
                  <c:v>389.38</c:v>
                </c:pt>
                <c:pt idx="13">
                  <c:v>388</c:v>
                </c:pt>
                <c:pt idx="14">
                  <c:v>384.39</c:v>
                </c:pt>
                <c:pt idx="15">
                  <c:v>383.75</c:v>
                </c:pt>
                <c:pt idx="16">
                  <c:v>383.75</c:v>
                </c:pt>
                <c:pt idx="17">
                  <c:v>385.63</c:v>
                </c:pt>
                <c:pt idx="18">
                  <c:v>385.63</c:v>
                </c:pt>
                <c:pt idx="19">
                  <c:v>390</c:v>
                </c:pt>
                <c:pt idx="20">
                  <c:v>398</c:v>
                </c:pt>
                <c:pt idx="21">
                  <c:v>395</c:v>
                </c:pt>
                <c:pt idx="22">
                  <c:v>393.2</c:v>
                </c:pt>
                <c:pt idx="23">
                  <c:v>387.5</c:v>
                </c:pt>
                <c:pt idx="24">
                  <c:v>392</c:v>
                </c:pt>
                <c:pt idx="25">
                  <c:v>400</c:v>
                </c:pt>
                <c:pt idx="26">
                  <c:v>407</c:v>
                </c:pt>
                <c:pt idx="27">
                  <c:v>410</c:v>
                </c:pt>
                <c:pt idx="28">
                  <c:v>413</c:v>
                </c:pt>
                <c:pt idx="29">
                  <c:v>421</c:v>
                </c:pt>
                <c:pt idx="30">
                  <c:v>434.38</c:v>
                </c:pt>
                <c:pt idx="31">
                  <c:v>436.25</c:v>
                </c:pt>
                <c:pt idx="32">
                  <c:v>433.54</c:v>
                </c:pt>
                <c:pt idx="33">
                  <c:v>419</c:v>
                </c:pt>
                <c:pt idx="34">
                  <c:v>395</c:v>
                </c:pt>
                <c:pt idx="35">
                  <c:v>368.94</c:v>
                </c:pt>
                <c:pt idx="36">
                  <c:v>360</c:v>
                </c:pt>
                <c:pt idx="37">
                  <c:v>314</c:v>
                </c:pt>
                <c:pt idx="38">
                  <c:v>164</c:v>
                </c:pt>
                <c:pt idx="39">
                  <c:v>56.8</c:v>
                </c:pt>
                <c:pt idx="40">
                  <c:v>280</c:v>
                </c:pt>
                <c:pt idx="41">
                  <c:v>215.2</c:v>
                </c:pt>
                <c:pt idx="42">
                  <c:v>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106</c:v>
                </c:pt>
                <c:pt idx="59">
                  <c:v>0</c:v>
                </c:pt>
                <c:pt idx="60">
                  <c:v>106</c:v>
                </c:pt>
                <c:pt idx="61">
                  <c:v>306.16000000000003</c:v>
                </c:pt>
                <c:pt idx="62">
                  <c:v>368</c:v>
                </c:pt>
                <c:pt idx="63">
                  <c:v>382</c:v>
                </c:pt>
                <c:pt idx="64">
                  <c:v>405.12</c:v>
                </c:pt>
                <c:pt idx="65">
                  <c:v>421.67</c:v>
                </c:pt>
                <c:pt idx="66">
                  <c:v>437</c:v>
                </c:pt>
                <c:pt idx="67">
                  <c:v>440</c:v>
                </c:pt>
                <c:pt idx="68">
                  <c:v>436.96</c:v>
                </c:pt>
                <c:pt idx="69">
                  <c:v>436.25</c:v>
                </c:pt>
                <c:pt idx="70">
                  <c:v>434.38</c:v>
                </c:pt>
                <c:pt idx="71">
                  <c:v>434.38</c:v>
                </c:pt>
                <c:pt idx="72">
                  <c:v>434.38</c:v>
                </c:pt>
                <c:pt idx="73">
                  <c:v>434.38</c:v>
                </c:pt>
                <c:pt idx="74">
                  <c:v>434.38</c:v>
                </c:pt>
                <c:pt idx="75">
                  <c:v>434.38</c:v>
                </c:pt>
                <c:pt idx="76">
                  <c:v>434.38</c:v>
                </c:pt>
                <c:pt idx="77">
                  <c:v>434.38</c:v>
                </c:pt>
                <c:pt idx="78">
                  <c:v>434.38</c:v>
                </c:pt>
                <c:pt idx="79">
                  <c:v>434.38</c:v>
                </c:pt>
                <c:pt idx="80">
                  <c:v>434.38</c:v>
                </c:pt>
                <c:pt idx="81">
                  <c:v>434.38</c:v>
                </c:pt>
                <c:pt idx="82">
                  <c:v>434.38</c:v>
                </c:pt>
                <c:pt idx="83">
                  <c:v>434.38</c:v>
                </c:pt>
                <c:pt idx="84">
                  <c:v>434.38</c:v>
                </c:pt>
                <c:pt idx="85">
                  <c:v>434.38</c:v>
                </c:pt>
                <c:pt idx="86">
                  <c:v>434.38</c:v>
                </c:pt>
                <c:pt idx="87">
                  <c:v>434.38</c:v>
                </c:pt>
                <c:pt idx="88">
                  <c:v>430.63</c:v>
                </c:pt>
                <c:pt idx="89">
                  <c:v>421</c:v>
                </c:pt>
                <c:pt idx="90">
                  <c:v>414</c:v>
                </c:pt>
                <c:pt idx="91">
                  <c:v>408</c:v>
                </c:pt>
                <c:pt idx="92">
                  <c:v>408</c:v>
                </c:pt>
                <c:pt idx="93">
                  <c:v>401</c:v>
                </c:pt>
                <c:pt idx="94">
                  <c:v>394</c:v>
                </c:pt>
                <c:pt idx="95">
                  <c:v>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93-4D36-BB44-762AD2A5B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[8]报价及预中标!$N$1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[8]报价及预中标!$N$2:$N$97</c:f>
              <c:numCache>
                <c:formatCode>General</c:formatCode>
                <c:ptCount val="96"/>
                <c:pt idx="0">
                  <c:v>-0.1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-36.65</c:v>
                </c:pt>
                <c:pt idx="46">
                  <c:v>-36.65</c:v>
                </c:pt>
                <c:pt idx="47">
                  <c:v>-36.65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-95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59.89</c:v>
                </c:pt>
                <c:pt idx="70">
                  <c:v>59.89</c:v>
                </c:pt>
                <c:pt idx="71">
                  <c:v>59.89</c:v>
                </c:pt>
                <c:pt idx="72">
                  <c:v>59.89</c:v>
                </c:pt>
                <c:pt idx="73">
                  <c:v>59.89</c:v>
                </c:pt>
                <c:pt idx="74">
                  <c:v>59.89</c:v>
                </c:pt>
                <c:pt idx="75">
                  <c:v>59.89</c:v>
                </c:pt>
                <c:pt idx="76">
                  <c:v>59.89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20.05</c:v>
                </c:pt>
                <c:pt idx="81">
                  <c:v>20.05</c:v>
                </c:pt>
                <c:pt idx="82">
                  <c:v>20.05</c:v>
                </c:pt>
                <c:pt idx="83">
                  <c:v>20.05</c:v>
                </c:pt>
                <c:pt idx="84">
                  <c:v>20.05</c:v>
                </c:pt>
                <c:pt idx="85">
                  <c:v>20.05</c:v>
                </c:pt>
                <c:pt idx="86">
                  <c:v>20.05</c:v>
                </c:pt>
                <c:pt idx="87">
                  <c:v>20.05</c:v>
                </c:pt>
                <c:pt idx="88">
                  <c:v>20.05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B-474E-B721-43E9C940E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[8]报价及预中标!$J$2:$J$97</c:f>
              <c:numCache>
                <c:formatCode>General</c:formatCode>
                <c:ptCount val="96"/>
                <c:pt idx="0">
                  <c:v>289.33</c:v>
                </c:pt>
                <c:pt idx="1">
                  <c:v>292.01</c:v>
                </c:pt>
                <c:pt idx="2">
                  <c:v>291.27999999999997</c:v>
                </c:pt>
                <c:pt idx="3">
                  <c:v>288.06</c:v>
                </c:pt>
                <c:pt idx="4">
                  <c:v>286.08999999999997</c:v>
                </c:pt>
                <c:pt idx="5">
                  <c:v>285.13</c:v>
                </c:pt>
                <c:pt idx="6">
                  <c:v>284.11</c:v>
                </c:pt>
                <c:pt idx="7">
                  <c:v>284.11</c:v>
                </c:pt>
                <c:pt idx="8">
                  <c:v>295</c:v>
                </c:pt>
                <c:pt idx="9">
                  <c:v>298.32</c:v>
                </c:pt>
                <c:pt idx="10">
                  <c:v>298.32</c:v>
                </c:pt>
                <c:pt idx="11">
                  <c:v>295.95</c:v>
                </c:pt>
                <c:pt idx="12">
                  <c:v>296.55</c:v>
                </c:pt>
                <c:pt idx="13">
                  <c:v>298.32</c:v>
                </c:pt>
                <c:pt idx="14">
                  <c:v>298.32</c:v>
                </c:pt>
                <c:pt idx="15">
                  <c:v>299.89</c:v>
                </c:pt>
                <c:pt idx="16">
                  <c:v>301.47000000000003</c:v>
                </c:pt>
                <c:pt idx="17">
                  <c:v>302.66000000000003</c:v>
                </c:pt>
                <c:pt idx="18">
                  <c:v>308.97000000000003</c:v>
                </c:pt>
                <c:pt idx="19">
                  <c:v>313.75</c:v>
                </c:pt>
                <c:pt idx="20">
                  <c:v>324</c:v>
                </c:pt>
                <c:pt idx="21">
                  <c:v>320</c:v>
                </c:pt>
                <c:pt idx="22">
                  <c:v>324</c:v>
                </c:pt>
                <c:pt idx="23">
                  <c:v>320.81</c:v>
                </c:pt>
                <c:pt idx="24">
                  <c:v>323.63</c:v>
                </c:pt>
                <c:pt idx="25">
                  <c:v>336.32</c:v>
                </c:pt>
                <c:pt idx="26">
                  <c:v>356</c:v>
                </c:pt>
                <c:pt idx="27">
                  <c:v>368</c:v>
                </c:pt>
                <c:pt idx="28">
                  <c:v>372</c:v>
                </c:pt>
                <c:pt idx="29">
                  <c:v>395.53</c:v>
                </c:pt>
                <c:pt idx="30">
                  <c:v>415</c:v>
                </c:pt>
                <c:pt idx="31">
                  <c:v>411.75</c:v>
                </c:pt>
                <c:pt idx="32">
                  <c:v>414.26</c:v>
                </c:pt>
                <c:pt idx="33">
                  <c:v>404.38</c:v>
                </c:pt>
                <c:pt idx="34">
                  <c:v>385</c:v>
                </c:pt>
                <c:pt idx="35">
                  <c:v>352</c:v>
                </c:pt>
                <c:pt idx="36">
                  <c:v>320</c:v>
                </c:pt>
                <c:pt idx="37">
                  <c:v>298.13</c:v>
                </c:pt>
                <c:pt idx="38">
                  <c:v>282.01</c:v>
                </c:pt>
                <c:pt idx="39">
                  <c:v>205.65</c:v>
                </c:pt>
                <c:pt idx="40">
                  <c:v>211.05</c:v>
                </c:pt>
                <c:pt idx="41">
                  <c:v>206</c:v>
                </c:pt>
                <c:pt idx="42">
                  <c:v>188.14</c:v>
                </c:pt>
                <c:pt idx="43">
                  <c:v>172</c:v>
                </c:pt>
                <c:pt idx="44">
                  <c:v>248.6</c:v>
                </c:pt>
                <c:pt idx="45">
                  <c:v>23.4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-82.82</c:v>
                </c:pt>
                <c:pt idx="50">
                  <c:v>0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0</c:v>
                </c:pt>
                <c:pt idx="55">
                  <c:v>12.8</c:v>
                </c:pt>
                <c:pt idx="56">
                  <c:v>6.4</c:v>
                </c:pt>
                <c:pt idx="57">
                  <c:v>6.4</c:v>
                </c:pt>
                <c:pt idx="58">
                  <c:v>216.64</c:v>
                </c:pt>
                <c:pt idx="59">
                  <c:v>188</c:v>
                </c:pt>
                <c:pt idx="60">
                  <c:v>168.4</c:v>
                </c:pt>
                <c:pt idx="61">
                  <c:v>287.79000000000002</c:v>
                </c:pt>
                <c:pt idx="62">
                  <c:v>306.52999999999997</c:v>
                </c:pt>
                <c:pt idx="63">
                  <c:v>310.72000000000003</c:v>
                </c:pt>
                <c:pt idx="64">
                  <c:v>357.4</c:v>
                </c:pt>
                <c:pt idx="65">
                  <c:v>400.63</c:v>
                </c:pt>
                <c:pt idx="66">
                  <c:v>426.5</c:v>
                </c:pt>
                <c:pt idx="67">
                  <c:v>434</c:v>
                </c:pt>
                <c:pt idx="68">
                  <c:v>430.25</c:v>
                </c:pt>
                <c:pt idx="69">
                  <c:v>430.25</c:v>
                </c:pt>
                <c:pt idx="70">
                  <c:v>430.25</c:v>
                </c:pt>
                <c:pt idx="71">
                  <c:v>430.25</c:v>
                </c:pt>
                <c:pt idx="72">
                  <c:v>430.25</c:v>
                </c:pt>
                <c:pt idx="73">
                  <c:v>430.25</c:v>
                </c:pt>
                <c:pt idx="74">
                  <c:v>430.25</c:v>
                </c:pt>
                <c:pt idx="75">
                  <c:v>430.25</c:v>
                </c:pt>
                <c:pt idx="76">
                  <c:v>430.25</c:v>
                </c:pt>
                <c:pt idx="77">
                  <c:v>430.25</c:v>
                </c:pt>
                <c:pt idx="78">
                  <c:v>430.25</c:v>
                </c:pt>
                <c:pt idx="79">
                  <c:v>430.25</c:v>
                </c:pt>
                <c:pt idx="80">
                  <c:v>430.25</c:v>
                </c:pt>
                <c:pt idx="81">
                  <c:v>430.25</c:v>
                </c:pt>
                <c:pt idx="82">
                  <c:v>430.25</c:v>
                </c:pt>
                <c:pt idx="83">
                  <c:v>430.25</c:v>
                </c:pt>
                <c:pt idx="84">
                  <c:v>430.25</c:v>
                </c:pt>
                <c:pt idx="85">
                  <c:v>430.25</c:v>
                </c:pt>
                <c:pt idx="86">
                  <c:v>430.25</c:v>
                </c:pt>
                <c:pt idx="87">
                  <c:v>430.25</c:v>
                </c:pt>
                <c:pt idx="88">
                  <c:v>430.25</c:v>
                </c:pt>
                <c:pt idx="89">
                  <c:v>430.25</c:v>
                </c:pt>
                <c:pt idx="90">
                  <c:v>430.25</c:v>
                </c:pt>
                <c:pt idx="91">
                  <c:v>422</c:v>
                </c:pt>
                <c:pt idx="92">
                  <c:v>423.75</c:v>
                </c:pt>
                <c:pt idx="93">
                  <c:v>407.31</c:v>
                </c:pt>
                <c:pt idx="94">
                  <c:v>396.88</c:v>
                </c:pt>
                <c:pt idx="9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3-4535-8E1A-B8323E193063}"/>
            </c:ext>
          </c:extLst>
        </c:ser>
        <c:ser>
          <c:idx val="1"/>
          <c:order val="1"/>
          <c:tx>
            <c:strRef>
              <c:f>[8]报价及预中标!$K$1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[8]报价及预中标!$I$2:$I$97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[8]报价及预中标!$K$2:$K$97</c:f>
              <c:numCache>
                <c:formatCode>General</c:formatCode>
                <c:ptCount val="96"/>
                <c:pt idx="0">
                  <c:v>289.33</c:v>
                </c:pt>
                <c:pt idx="1">
                  <c:v>292.01</c:v>
                </c:pt>
                <c:pt idx="2">
                  <c:v>291.27999999999997</c:v>
                </c:pt>
                <c:pt idx="3">
                  <c:v>288.06</c:v>
                </c:pt>
                <c:pt idx="4">
                  <c:v>286.08999999999997</c:v>
                </c:pt>
                <c:pt idx="5">
                  <c:v>285.13</c:v>
                </c:pt>
                <c:pt idx="6">
                  <c:v>284.11</c:v>
                </c:pt>
                <c:pt idx="7">
                  <c:v>284.11</c:v>
                </c:pt>
                <c:pt idx="8">
                  <c:v>295</c:v>
                </c:pt>
                <c:pt idx="9">
                  <c:v>298.32</c:v>
                </c:pt>
                <c:pt idx="10">
                  <c:v>298.32</c:v>
                </c:pt>
                <c:pt idx="11">
                  <c:v>295.95</c:v>
                </c:pt>
                <c:pt idx="12">
                  <c:v>296.55</c:v>
                </c:pt>
                <c:pt idx="13">
                  <c:v>298.32</c:v>
                </c:pt>
                <c:pt idx="14">
                  <c:v>298.32</c:v>
                </c:pt>
                <c:pt idx="15">
                  <c:v>299.89</c:v>
                </c:pt>
                <c:pt idx="16">
                  <c:v>301.47000000000003</c:v>
                </c:pt>
                <c:pt idx="17">
                  <c:v>302.66000000000003</c:v>
                </c:pt>
                <c:pt idx="18">
                  <c:v>308.97000000000003</c:v>
                </c:pt>
                <c:pt idx="19">
                  <c:v>313.75</c:v>
                </c:pt>
                <c:pt idx="20">
                  <c:v>324</c:v>
                </c:pt>
                <c:pt idx="21">
                  <c:v>320</c:v>
                </c:pt>
                <c:pt idx="22">
                  <c:v>324</c:v>
                </c:pt>
                <c:pt idx="23">
                  <c:v>320.81</c:v>
                </c:pt>
                <c:pt idx="24">
                  <c:v>323.63</c:v>
                </c:pt>
                <c:pt idx="25">
                  <c:v>336.32</c:v>
                </c:pt>
                <c:pt idx="26">
                  <c:v>356</c:v>
                </c:pt>
                <c:pt idx="27">
                  <c:v>368</c:v>
                </c:pt>
                <c:pt idx="28">
                  <c:v>372</c:v>
                </c:pt>
                <c:pt idx="29">
                  <c:v>395.53</c:v>
                </c:pt>
                <c:pt idx="30">
                  <c:v>415</c:v>
                </c:pt>
                <c:pt idx="31">
                  <c:v>411.75</c:v>
                </c:pt>
                <c:pt idx="32">
                  <c:v>414.26</c:v>
                </c:pt>
                <c:pt idx="33">
                  <c:v>404.38</c:v>
                </c:pt>
                <c:pt idx="34">
                  <c:v>385</c:v>
                </c:pt>
                <c:pt idx="35">
                  <c:v>352</c:v>
                </c:pt>
                <c:pt idx="36">
                  <c:v>320</c:v>
                </c:pt>
                <c:pt idx="37">
                  <c:v>298.13</c:v>
                </c:pt>
                <c:pt idx="38">
                  <c:v>282.01</c:v>
                </c:pt>
                <c:pt idx="39">
                  <c:v>205.65</c:v>
                </c:pt>
                <c:pt idx="40">
                  <c:v>211.05</c:v>
                </c:pt>
                <c:pt idx="41">
                  <c:v>206</c:v>
                </c:pt>
                <c:pt idx="42">
                  <c:v>188.14</c:v>
                </c:pt>
                <c:pt idx="43">
                  <c:v>172</c:v>
                </c:pt>
                <c:pt idx="44">
                  <c:v>248.6</c:v>
                </c:pt>
                <c:pt idx="45">
                  <c:v>23.4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-82.82</c:v>
                </c:pt>
                <c:pt idx="50">
                  <c:v>0</c:v>
                </c:pt>
                <c:pt idx="51">
                  <c:v>6.4</c:v>
                </c:pt>
                <c:pt idx="52">
                  <c:v>6.4</c:v>
                </c:pt>
                <c:pt idx="53">
                  <c:v>6.4</c:v>
                </c:pt>
                <c:pt idx="54">
                  <c:v>0</c:v>
                </c:pt>
                <c:pt idx="55">
                  <c:v>12.8</c:v>
                </c:pt>
                <c:pt idx="56">
                  <c:v>6.4</c:v>
                </c:pt>
                <c:pt idx="57">
                  <c:v>6.4</c:v>
                </c:pt>
                <c:pt idx="58">
                  <c:v>216.64</c:v>
                </c:pt>
                <c:pt idx="59">
                  <c:v>188</c:v>
                </c:pt>
                <c:pt idx="60">
                  <c:v>168.4</c:v>
                </c:pt>
                <c:pt idx="61">
                  <c:v>287.79000000000002</c:v>
                </c:pt>
                <c:pt idx="62">
                  <c:v>306.52999999999997</c:v>
                </c:pt>
                <c:pt idx="63">
                  <c:v>310.72000000000003</c:v>
                </c:pt>
                <c:pt idx="64">
                  <c:v>357.4</c:v>
                </c:pt>
                <c:pt idx="65">
                  <c:v>400.63</c:v>
                </c:pt>
                <c:pt idx="66">
                  <c:v>426.5</c:v>
                </c:pt>
                <c:pt idx="67">
                  <c:v>434</c:v>
                </c:pt>
                <c:pt idx="68">
                  <c:v>430.25</c:v>
                </c:pt>
                <c:pt idx="69">
                  <c:v>430.25</c:v>
                </c:pt>
                <c:pt idx="70">
                  <c:v>430.25</c:v>
                </c:pt>
                <c:pt idx="71">
                  <c:v>430.25</c:v>
                </c:pt>
                <c:pt idx="72">
                  <c:v>430.25</c:v>
                </c:pt>
                <c:pt idx="73">
                  <c:v>430.25</c:v>
                </c:pt>
                <c:pt idx="74">
                  <c:v>430.25</c:v>
                </c:pt>
                <c:pt idx="75">
                  <c:v>430.25</c:v>
                </c:pt>
                <c:pt idx="76">
                  <c:v>430.25</c:v>
                </c:pt>
                <c:pt idx="77">
                  <c:v>430.25</c:v>
                </c:pt>
                <c:pt idx="78">
                  <c:v>430.25</c:v>
                </c:pt>
                <c:pt idx="79">
                  <c:v>430.25</c:v>
                </c:pt>
                <c:pt idx="80">
                  <c:v>430.25</c:v>
                </c:pt>
                <c:pt idx="81">
                  <c:v>430.25</c:v>
                </c:pt>
                <c:pt idx="82">
                  <c:v>430.25</c:v>
                </c:pt>
                <c:pt idx="83">
                  <c:v>430.25</c:v>
                </c:pt>
                <c:pt idx="84">
                  <c:v>430.25</c:v>
                </c:pt>
                <c:pt idx="85">
                  <c:v>430.25</c:v>
                </c:pt>
                <c:pt idx="86">
                  <c:v>430.25</c:v>
                </c:pt>
                <c:pt idx="87">
                  <c:v>430.25</c:v>
                </c:pt>
                <c:pt idx="88">
                  <c:v>430.25</c:v>
                </c:pt>
                <c:pt idx="89">
                  <c:v>430.25</c:v>
                </c:pt>
                <c:pt idx="90">
                  <c:v>430.25</c:v>
                </c:pt>
                <c:pt idx="91">
                  <c:v>422</c:v>
                </c:pt>
                <c:pt idx="92">
                  <c:v>423.75</c:v>
                </c:pt>
                <c:pt idx="93">
                  <c:v>407.31</c:v>
                </c:pt>
                <c:pt idx="94">
                  <c:v>396.88</c:v>
                </c:pt>
                <c:pt idx="95">
                  <c:v>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53-4535-8E1A-B8323E193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[9]报价及预中标!$N$1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[9]报价及预中标!$N$2:$N$97</c:f>
              <c:numCache>
                <c:formatCode>General</c:formatCode>
                <c:ptCount val="96"/>
                <c:pt idx="0">
                  <c:v>-31.94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-95</c:v>
                </c:pt>
                <c:pt idx="49">
                  <c:v>-100</c:v>
                </c:pt>
                <c:pt idx="50">
                  <c:v>-95</c:v>
                </c:pt>
                <c:pt idx="51">
                  <c:v>-95</c:v>
                </c:pt>
                <c:pt idx="52">
                  <c:v>-69.760000000000005</c:v>
                </c:pt>
                <c:pt idx="53">
                  <c:v>-69.760000000000005</c:v>
                </c:pt>
                <c:pt idx="54">
                  <c:v>-69.760000000000005</c:v>
                </c:pt>
                <c:pt idx="55">
                  <c:v>-69.760000000000005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28.68</c:v>
                </c:pt>
                <c:pt idx="65">
                  <c:v>28.68</c:v>
                </c:pt>
                <c:pt idx="66">
                  <c:v>28.68</c:v>
                </c:pt>
                <c:pt idx="67">
                  <c:v>28.68</c:v>
                </c:pt>
                <c:pt idx="68">
                  <c:v>28.68</c:v>
                </c:pt>
                <c:pt idx="69">
                  <c:v>28.68</c:v>
                </c:pt>
                <c:pt idx="70">
                  <c:v>28.68</c:v>
                </c:pt>
                <c:pt idx="71">
                  <c:v>28.68</c:v>
                </c:pt>
                <c:pt idx="72">
                  <c:v>28.68</c:v>
                </c:pt>
                <c:pt idx="73">
                  <c:v>28.68</c:v>
                </c:pt>
                <c:pt idx="74">
                  <c:v>28.68</c:v>
                </c:pt>
                <c:pt idx="75">
                  <c:v>28.68</c:v>
                </c:pt>
                <c:pt idx="76">
                  <c:v>28.68</c:v>
                </c:pt>
                <c:pt idx="77">
                  <c:v>28.68</c:v>
                </c:pt>
                <c:pt idx="78">
                  <c:v>28.68</c:v>
                </c:pt>
                <c:pt idx="79">
                  <c:v>28.68</c:v>
                </c:pt>
                <c:pt idx="80">
                  <c:v>28.68</c:v>
                </c:pt>
                <c:pt idx="81">
                  <c:v>28.68</c:v>
                </c:pt>
                <c:pt idx="82">
                  <c:v>28.68</c:v>
                </c:pt>
                <c:pt idx="83">
                  <c:v>28.68</c:v>
                </c:pt>
                <c:pt idx="84">
                  <c:v>28.68</c:v>
                </c:pt>
                <c:pt idx="85">
                  <c:v>28.68</c:v>
                </c:pt>
                <c:pt idx="86">
                  <c:v>28.68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4B-475E-9539-0CA011C1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[9]报价及预中标!$J$2:$J$97</c:f>
              <c:numCache>
                <c:formatCode>General</c:formatCode>
                <c:ptCount val="96"/>
                <c:pt idx="0">
                  <c:v>353.29</c:v>
                </c:pt>
                <c:pt idx="1">
                  <c:v>351.14</c:v>
                </c:pt>
                <c:pt idx="2">
                  <c:v>350.63</c:v>
                </c:pt>
                <c:pt idx="3">
                  <c:v>348.75</c:v>
                </c:pt>
                <c:pt idx="4">
                  <c:v>347</c:v>
                </c:pt>
                <c:pt idx="5">
                  <c:v>344</c:v>
                </c:pt>
                <c:pt idx="6">
                  <c:v>344</c:v>
                </c:pt>
                <c:pt idx="7">
                  <c:v>342.09</c:v>
                </c:pt>
                <c:pt idx="8">
                  <c:v>356.25</c:v>
                </c:pt>
                <c:pt idx="9">
                  <c:v>356.25</c:v>
                </c:pt>
                <c:pt idx="10">
                  <c:v>355</c:v>
                </c:pt>
                <c:pt idx="11">
                  <c:v>350</c:v>
                </c:pt>
                <c:pt idx="12">
                  <c:v>350</c:v>
                </c:pt>
                <c:pt idx="13">
                  <c:v>348</c:v>
                </c:pt>
                <c:pt idx="14">
                  <c:v>347.71</c:v>
                </c:pt>
                <c:pt idx="15">
                  <c:v>345.77</c:v>
                </c:pt>
                <c:pt idx="16">
                  <c:v>346</c:v>
                </c:pt>
                <c:pt idx="17">
                  <c:v>347</c:v>
                </c:pt>
                <c:pt idx="18">
                  <c:v>348</c:v>
                </c:pt>
                <c:pt idx="19">
                  <c:v>350</c:v>
                </c:pt>
                <c:pt idx="20">
                  <c:v>354.38</c:v>
                </c:pt>
                <c:pt idx="21">
                  <c:v>350</c:v>
                </c:pt>
                <c:pt idx="22">
                  <c:v>345</c:v>
                </c:pt>
                <c:pt idx="23">
                  <c:v>340.33</c:v>
                </c:pt>
                <c:pt idx="24">
                  <c:v>339</c:v>
                </c:pt>
                <c:pt idx="25">
                  <c:v>339</c:v>
                </c:pt>
                <c:pt idx="26">
                  <c:v>340</c:v>
                </c:pt>
                <c:pt idx="27">
                  <c:v>340</c:v>
                </c:pt>
                <c:pt idx="28">
                  <c:v>342</c:v>
                </c:pt>
                <c:pt idx="29">
                  <c:v>356</c:v>
                </c:pt>
                <c:pt idx="30">
                  <c:v>370</c:v>
                </c:pt>
                <c:pt idx="31">
                  <c:v>371.33</c:v>
                </c:pt>
                <c:pt idx="32">
                  <c:v>368</c:v>
                </c:pt>
                <c:pt idx="33">
                  <c:v>354</c:v>
                </c:pt>
                <c:pt idx="34">
                  <c:v>339</c:v>
                </c:pt>
                <c:pt idx="35">
                  <c:v>328</c:v>
                </c:pt>
                <c:pt idx="36">
                  <c:v>320.75</c:v>
                </c:pt>
                <c:pt idx="37">
                  <c:v>314</c:v>
                </c:pt>
                <c:pt idx="38">
                  <c:v>224</c:v>
                </c:pt>
                <c:pt idx="39">
                  <c:v>108</c:v>
                </c:pt>
                <c:pt idx="40">
                  <c:v>124.2</c:v>
                </c:pt>
                <c:pt idx="41">
                  <c:v>167.4</c:v>
                </c:pt>
                <c:pt idx="42">
                  <c:v>124.2</c:v>
                </c:pt>
                <c:pt idx="43">
                  <c:v>34.700000000000003</c:v>
                </c:pt>
                <c:pt idx="44">
                  <c:v>143.6</c:v>
                </c:pt>
                <c:pt idx="45">
                  <c:v>122.4</c:v>
                </c:pt>
                <c:pt idx="46">
                  <c:v>-51.51</c:v>
                </c:pt>
                <c:pt idx="47">
                  <c:v>-58</c:v>
                </c:pt>
                <c:pt idx="48">
                  <c:v>-24.26</c:v>
                </c:pt>
                <c:pt idx="49">
                  <c:v>-80</c:v>
                </c:pt>
                <c:pt idx="50">
                  <c:v>-14.4</c:v>
                </c:pt>
                <c:pt idx="51">
                  <c:v>0</c:v>
                </c:pt>
                <c:pt idx="52">
                  <c:v>69.400000000000006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91.8</c:v>
                </c:pt>
                <c:pt idx="58">
                  <c:v>124.2</c:v>
                </c:pt>
                <c:pt idx="59">
                  <c:v>124.2</c:v>
                </c:pt>
                <c:pt idx="60">
                  <c:v>104</c:v>
                </c:pt>
                <c:pt idx="61">
                  <c:v>316</c:v>
                </c:pt>
                <c:pt idx="62">
                  <c:v>330</c:v>
                </c:pt>
                <c:pt idx="63">
                  <c:v>334.38</c:v>
                </c:pt>
                <c:pt idx="64">
                  <c:v>345</c:v>
                </c:pt>
                <c:pt idx="65">
                  <c:v>354.38</c:v>
                </c:pt>
                <c:pt idx="66">
                  <c:v>367.03</c:v>
                </c:pt>
                <c:pt idx="67">
                  <c:v>370</c:v>
                </c:pt>
                <c:pt idx="68">
                  <c:v>371.47</c:v>
                </c:pt>
                <c:pt idx="69">
                  <c:v>368.33</c:v>
                </c:pt>
                <c:pt idx="70">
                  <c:v>362.7</c:v>
                </c:pt>
                <c:pt idx="71">
                  <c:v>362.7</c:v>
                </c:pt>
                <c:pt idx="72">
                  <c:v>362.7</c:v>
                </c:pt>
                <c:pt idx="73">
                  <c:v>362.7</c:v>
                </c:pt>
                <c:pt idx="74">
                  <c:v>362.7</c:v>
                </c:pt>
                <c:pt idx="75">
                  <c:v>362.7</c:v>
                </c:pt>
                <c:pt idx="76">
                  <c:v>362.7</c:v>
                </c:pt>
                <c:pt idx="77">
                  <c:v>362.7</c:v>
                </c:pt>
                <c:pt idx="78">
                  <c:v>362.7</c:v>
                </c:pt>
                <c:pt idx="79">
                  <c:v>362.7</c:v>
                </c:pt>
                <c:pt idx="80">
                  <c:v>362.7</c:v>
                </c:pt>
                <c:pt idx="81">
                  <c:v>362.7</c:v>
                </c:pt>
                <c:pt idx="82">
                  <c:v>362.7</c:v>
                </c:pt>
                <c:pt idx="83">
                  <c:v>362.7</c:v>
                </c:pt>
                <c:pt idx="84">
                  <c:v>362.7</c:v>
                </c:pt>
                <c:pt idx="85">
                  <c:v>362.7</c:v>
                </c:pt>
                <c:pt idx="86">
                  <c:v>362.7</c:v>
                </c:pt>
                <c:pt idx="87">
                  <c:v>362.7</c:v>
                </c:pt>
                <c:pt idx="88">
                  <c:v>360</c:v>
                </c:pt>
                <c:pt idx="89">
                  <c:v>352.5</c:v>
                </c:pt>
                <c:pt idx="90">
                  <c:v>346.88</c:v>
                </c:pt>
                <c:pt idx="91">
                  <c:v>340</c:v>
                </c:pt>
                <c:pt idx="92">
                  <c:v>340.5</c:v>
                </c:pt>
                <c:pt idx="93">
                  <c:v>336</c:v>
                </c:pt>
                <c:pt idx="94">
                  <c:v>332</c:v>
                </c:pt>
                <c:pt idx="9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4B-4EC1-BE44-21E5C78CDBA7}"/>
            </c:ext>
          </c:extLst>
        </c:ser>
        <c:ser>
          <c:idx val="1"/>
          <c:order val="1"/>
          <c:tx>
            <c:strRef>
              <c:f>[9]报价及预中标!$K$1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[9]报价及预中标!$I$2:$I$97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[9]报价及预中标!$K$2:$K$97</c:f>
              <c:numCache>
                <c:formatCode>General</c:formatCode>
                <c:ptCount val="96"/>
                <c:pt idx="0">
                  <c:v>353.29</c:v>
                </c:pt>
                <c:pt idx="1">
                  <c:v>351.14</c:v>
                </c:pt>
                <c:pt idx="2">
                  <c:v>350.63</c:v>
                </c:pt>
                <c:pt idx="3">
                  <c:v>348.75</c:v>
                </c:pt>
                <c:pt idx="4">
                  <c:v>347</c:v>
                </c:pt>
                <c:pt idx="5">
                  <c:v>344</c:v>
                </c:pt>
                <c:pt idx="6">
                  <c:v>344</c:v>
                </c:pt>
                <c:pt idx="7">
                  <c:v>342.09</c:v>
                </c:pt>
                <c:pt idx="8">
                  <c:v>356.25</c:v>
                </c:pt>
                <c:pt idx="9">
                  <c:v>356.25</c:v>
                </c:pt>
                <c:pt idx="10">
                  <c:v>355</c:v>
                </c:pt>
                <c:pt idx="11">
                  <c:v>350</c:v>
                </c:pt>
                <c:pt idx="12">
                  <c:v>350</c:v>
                </c:pt>
                <c:pt idx="13">
                  <c:v>348</c:v>
                </c:pt>
                <c:pt idx="14">
                  <c:v>347.71</c:v>
                </c:pt>
                <c:pt idx="15">
                  <c:v>345.77</c:v>
                </c:pt>
                <c:pt idx="16">
                  <c:v>346</c:v>
                </c:pt>
                <c:pt idx="17">
                  <c:v>347</c:v>
                </c:pt>
                <c:pt idx="18">
                  <c:v>348</c:v>
                </c:pt>
                <c:pt idx="19">
                  <c:v>350</c:v>
                </c:pt>
                <c:pt idx="20">
                  <c:v>354.38</c:v>
                </c:pt>
                <c:pt idx="21">
                  <c:v>350</c:v>
                </c:pt>
                <c:pt idx="22">
                  <c:v>345</c:v>
                </c:pt>
                <c:pt idx="23">
                  <c:v>340.33</c:v>
                </c:pt>
                <c:pt idx="24">
                  <c:v>339</c:v>
                </c:pt>
                <c:pt idx="25">
                  <c:v>339</c:v>
                </c:pt>
                <c:pt idx="26">
                  <c:v>340</c:v>
                </c:pt>
                <c:pt idx="27">
                  <c:v>340</c:v>
                </c:pt>
                <c:pt idx="28">
                  <c:v>342</c:v>
                </c:pt>
                <c:pt idx="29">
                  <c:v>356</c:v>
                </c:pt>
                <c:pt idx="30">
                  <c:v>370</c:v>
                </c:pt>
                <c:pt idx="31">
                  <c:v>371.33</c:v>
                </c:pt>
                <c:pt idx="32">
                  <c:v>368</c:v>
                </c:pt>
                <c:pt idx="33">
                  <c:v>354</c:v>
                </c:pt>
                <c:pt idx="34">
                  <c:v>339</c:v>
                </c:pt>
                <c:pt idx="35">
                  <c:v>328</c:v>
                </c:pt>
                <c:pt idx="36">
                  <c:v>320.75</c:v>
                </c:pt>
                <c:pt idx="37">
                  <c:v>314</c:v>
                </c:pt>
                <c:pt idx="38">
                  <c:v>224</c:v>
                </c:pt>
                <c:pt idx="39">
                  <c:v>108</c:v>
                </c:pt>
                <c:pt idx="40">
                  <c:v>124.2</c:v>
                </c:pt>
                <c:pt idx="41">
                  <c:v>167.4</c:v>
                </c:pt>
                <c:pt idx="42">
                  <c:v>124.2</c:v>
                </c:pt>
                <c:pt idx="43">
                  <c:v>34.700000000000003</c:v>
                </c:pt>
                <c:pt idx="44">
                  <c:v>143.6</c:v>
                </c:pt>
                <c:pt idx="45">
                  <c:v>122.4</c:v>
                </c:pt>
                <c:pt idx="46">
                  <c:v>-51.51</c:v>
                </c:pt>
                <c:pt idx="47">
                  <c:v>-58</c:v>
                </c:pt>
                <c:pt idx="48">
                  <c:v>-24.26</c:v>
                </c:pt>
                <c:pt idx="49">
                  <c:v>-80</c:v>
                </c:pt>
                <c:pt idx="50">
                  <c:v>-14.4</c:v>
                </c:pt>
                <c:pt idx="51">
                  <c:v>0</c:v>
                </c:pt>
                <c:pt idx="52">
                  <c:v>69.400000000000006</c:v>
                </c:pt>
                <c:pt idx="53">
                  <c:v>34.700000000000003</c:v>
                </c:pt>
                <c:pt idx="54">
                  <c:v>34.700000000000003</c:v>
                </c:pt>
                <c:pt idx="55">
                  <c:v>34.700000000000003</c:v>
                </c:pt>
                <c:pt idx="56">
                  <c:v>34.700000000000003</c:v>
                </c:pt>
                <c:pt idx="57">
                  <c:v>91.8</c:v>
                </c:pt>
                <c:pt idx="58">
                  <c:v>124.2</c:v>
                </c:pt>
                <c:pt idx="59">
                  <c:v>124.2</c:v>
                </c:pt>
                <c:pt idx="60">
                  <c:v>104</c:v>
                </c:pt>
                <c:pt idx="61">
                  <c:v>316</c:v>
                </c:pt>
                <c:pt idx="62">
                  <c:v>330</c:v>
                </c:pt>
                <c:pt idx="63">
                  <c:v>334.38</c:v>
                </c:pt>
                <c:pt idx="64">
                  <c:v>345</c:v>
                </c:pt>
                <c:pt idx="65">
                  <c:v>354.38</c:v>
                </c:pt>
                <c:pt idx="66">
                  <c:v>367.03</c:v>
                </c:pt>
                <c:pt idx="67">
                  <c:v>370</c:v>
                </c:pt>
                <c:pt idx="68">
                  <c:v>371.47</c:v>
                </c:pt>
                <c:pt idx="69">
                  <c:v>368.33</c:v>
                </c:pt>
                <c:pt idx="70">
                  <c:v>362.7</c:v>
                </c:pt>
                <c:pt idx="71">
                  <c:v>362.7</c:v>
                </c:pt>
                <c:pt idx="72">
                  <c:v>362.7</c:v>
                </c:pt>
                <c:pt idx="73">
                  <c:v>362.7</c:v>
                </c:pt>
                <c:pt idx="74">
                  <c:v>362.7</c:v>
                </c:pt>
                <c:pt idx="75">
                  <c:v>362.7</c:v>
                </c:pt>
                <c:pt idx="76">
                  <c:v>362.7</c:v>
                </c:pt>
                <c:pt idx="77">
                  <c:v>362.7</c:v>
                </c:pt>
                <c:pt idx="78">
                  <c:v>362.7</c:v>
                </c:pt>
                <c:pt idx="79">
                  <c:v>362.7</c:v>
                </c:pt>
                <c:pt idx="80">
                  <c:v>362.7</c:v>
                </c:pt>
                <c:pt idx="81">
                  <c:v>362.7</c:v>
                </c:pt>
                <c:pt idx="82">
                  <c:v>362.7</c:v>
                </c:pt>
                <c:pt idx="83">
                  <c:v>362.7</c:v>
                </c:pt>
                <c:pt idx="84">
                  <c:v>362.7</c:v>
                </c:pt>
                <c:pt idx="85">
                  <c:v>362.7</c:v>
                </c:pt>
                <c:pt idx="86">
                  <c:v>362.7</c:v>
                </c:pt>
                <c:pt idx="87">
                  <c:v>362.7</c:v>
                </c:pt>
                <c:pt idx="88">
                  <c:v>360</c:v>
                </c:pt>
                <c:pt idx="89">
                  <c:v>352.5</c:v>
                </c:pt>
                <c:pt idx="90">
                  <c:v>346.88</c:v>
                </c:pt>
                <c:pt idx="91">
                  <c:v>340</c:v>
                </c:pt>
                <c:pt idx="92">
                  <c:v>340.5</c:v>
                </c:pt>
                <c:pt idx="93">
                  <c:v>336</c:v>
                </c:pt>
                <c:pt idx="94">
                  <c:v>332</c:v>
                </c:pt>
                <c:pt idx="95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4B-4EC1-BE44-21E5C78CDB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[10]报价及预中标!$N$1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[10]报价及预中标!$N$2:$N$97</c:f>
              <c:numCache>
                <c:formatCode>General</c:formatCode>
                <c:ptCount val="96"/>
                <c:pt idx="0">
                  <c:v>-0.06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-2.23</c:v>
                </c:pt>
                <c:pt idx="24">
                  <c:v>-2.23</c:v>
                </c:pt>
                <c:pt idx="25">
                  <c:v>-2.23</c:v>
                </c:pt>
                <c:pt idx="26">
                  <c:v>-2.23</c:v>
                </c:pt>
                <c:pt idx="27">
                  <c:v>-2.23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-44.18</c:v>
                </c:pt>
                <c:pt idx="46">
                  <c:v>-44.18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-10.46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74.040000000000006</c:v>
                </c:pt>
                <c:pt idx="71">
                  <c:v>74.040000000000006</c:v>
                </c:pt>
                <c:pt idx="72">
                  <c:v>74.040000000000006</c:v>
                </c:pt>
                <c:pt idx="73">
                  <c:v>74.040000000000006</c:v>
                </c:pt>
                <c:pt idx="74">
                  <c:v>74.040000000000006</c:v>
                </c:pt>
                <c:pt idx="75">
                  <c:v>74.040000000000006</c:v>
                </c:pt>
                <c:pt idx="76">
                  <c:v>74.040000000000006</c:v>
                </c:pt>
                <c:pt idx="77">
                  <c:v>74.040000000000006</c:v>
                </c:pt>
                <c:pt idx="78">
                  <c:v>74.040000000000006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9-4AD1-BAFA-172E316CA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[10]报价及预中标!$J$2:$J$97</c:f>
              <c:numCache>
                <c:formatCode>General</c:formatCode>
                <c:ptCount val="96"/>
                <c:pt idx="0">
                  <c:v>301</c:v>
                </c:pt>
                <c:pt idx="1">
                  <c:v>294</c:v>
                </c:pt>
                <c:pt idx="2">
                  <c:v>290</c:v>
                </c:pt>
                <c:pt idx="3">
                  <c:v>284</c:v>
                </c:pt>
                <c:pt idx="4">
                  <c:v>281</c:v>
                </c:pt>
                <c:pt idx="5">
                  <c:v>275.63</c:v>
                </c:pt>
                <c:pt idx="6">
                  <c:v>270</c:v>
                </c:pt>
                <c:pt idx="7">
                  <c:v>270</c:v>
                </c:pt>
                <c:pt idx="8">
                  <c:v>286</c:v>
                </c:pt>
                <c:pt idx="9">
                  <c:v>282</c:v>
                </c:pt>
                <c:pt idx="10">
                  <c:v>276</c:v>
                </c:pt>
                <c:pt idx="11">
                  <c:v>270</c:v>
                </c:pt>
                <c:pt idx="12">
                  <c:v>270</c:v>
                </c:pt>
                <c:pt idx="13">
                  <c:v>266</c:v>
                </c:pt>
                <c:pt idx="14">
                  <c:v>262</c:v>
                </c:pt>
                <c:pt idx="15">
                  <c:v>246</c:v>
                </c:pt>
                <c:pt idx="16">
                  <c:v>229.6</c:v>
                </c:pt>
                <c:pt idx="17">
                  <c:v>186.4</c:v>
                </c:pt>
                <c:pt idx="18">
                  <c:v>181.6</c:v>
                </c:pt>
                <c:pt idx="19">
                  <c:v>188</c:v>
                </c:pt>
                <c:pt idx="20">
                  <c:v>251</c:v>
                </c:pt>
                <c:pt idx="21">
                  <c:v>148.53</c:v>
                </c:pt>
                <c:pt idx="22">
                  <c:v>144.80000000000001</c:v>
                </c:pt>
                <c:pt idx="23">
                  <c:v>144.80000000000001</c:v>
                </c:pt>
                <c:pt idx="24">
                  <c:v>144.80000000000001</c:v>
                </c:pt>
                <c:pt idx="25">
                  <c:v>144.80000000000001</c:v>
                </c:pt>
                <c:pt idx="26">
                  <c:v>144.80000000000001</c:v>
                </c:pt>
                <c:pt idx="27">
                  <c:v>54.4</c:v>
                </c:pt>
                <c:pt idx="28">
                  <c:v>-80</c:v>
                </c:pt>
                <c:pt idx="29">
                  <c:v>280</c:v>
                </c:pt>
                <c:pt idx="30">
                  <c:v>284.41000000000003</c:v>
                </c:pt>
                <c:pt idx="31">
                  <c:v>286.39</c:v>
                </c:pt>
                <c:pt idx="32">
                  <c:v>284.41000000000003</c:v>
                </c:pt>
                <c:pt idx="33">
                  <c:v>284.60000000000002</c:v>
                </c:pt>
                <c:pt idx="34">
                  <c:v>284</c:v>
                </c:pt>
                <c:pt idx="35">
                  <c:v>283.33</c:v>
                </c:pt>
                <c:pt idx="36">
                  <c:v>280</c:v>
                </c:pt>
                <c:pt idx="37">
                  <c:v>272.8</c:v>
                </c:pt>
                <c:pt idx="38">
                  <c:v>272.8</c:v>
                </c:pt>
                <c:pt idx="39">
                  <c:v>240.42</c:v>
                </c:pt>
                <c:pt idx="40">
                  <c:v>270</c:v>
                </c:pt>
                <c:pt idx="41">
                  <c:v>264</c:v>
                </c:pt>
                <c:pt idx="42">
                  <c:v>144.80000000000001</c:v>
                </c:pt>
                <c:pt idx="43">
                  <c:v>144.80000000000001</c:v>
                </c:pt>
                <c:pt idx="44">
                  <c:v>167.4</c:v>
                </c:pt>
                <c:pt idx="45">
                  <c:v>149.6</c:v>
                </c:pt>
                <c:pt idx="46">
                  <c:v>148.80000000000001</c:v>
                </c:pt>
                <c:pt idx="47">
                  <c:v>113.4</c:v>
                </c:pt>
                <c:pt idx="48">
                  <c:v>144.80000000000001</c:v>
                </c:pt>
                <c:pt idx="49">
                  <c:v>124.8</c:v>
                </c:pt>
                <c:pt idx="50">
                  <c:v>144.80000000000001</c:v>
                </c:pt>
                <c:pt idx="51">
                  <c:v>108</c:v>
                </c:pt>
                <c:pt idx="52">
                  <c:v>181.6</c:v>
                </c:pt>
                <c:pt idx="53">
                  <c:v>144.80000000000001</c:v>
                </c:pt>
                <c:pt idx="54">
                  <c:v>156.25</c:v>
                </c:pt>
                <c:pt idx="55">
                  <c:v>282</c:v>
                </c:pt>
                <c:pt idx="56">
                  <c:v>284</c:v>
                </c:pt>
                <c:pt idx="57">
                  <c:v>287.5</c:v>
                </c:pt>
                <c:pt idx="58">
                  <c:v>293.88</c:v>
                </c:pt>
                <c:pt idx="59">
                  <c:v>296</c:v>
                </c:pt>
                <c:pt idx="60">
                  <c:v>299.62</c:v>
                </c:pt>
                <c:pt idx="61">
                  <c:v>307</c:v>
                </c:pt>
                <c:pt idx="62">
                  <c:v>312</c:v>
                </c:pt>
                <c:pt idx="63">
                  <c:v>314</c:v>
                </c:pt>
                <c:pt idx="64">
                  <c:v>321.14</c:v>
                </c:pt>
                <c:pt idx="65">
                  <c:v>327.31</c:v>
                </c:pt>
                <c:pt idx="66">
                  <c:v>344</c:v>
                </c:pt>
                <c:pt idx="67">
                  <c:v>352</c:v>
                </c:pt>
                <c:pt idx="68">
                  <c:v>366.84</c:v>
                </c:pt>
                <c:pt idx="69">
                  <c:v>373.16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  <c:pt idx="87">
                  <c:v>370</c:v>
                </c:pt>
                <c:pt idx="88">
                  <c:v>370</c:v>
                </c:pt>
                <c:pt idx="89">
                  <c:v>359.25</c:v>
                </c:pt>
                <c:pt idx="90">
                  <c:v>351.5</c:v>
                </c:pt>
                <c:pt idx="91">
                  <c:v>342.33</c:v>
                </c:pt>
                <c:pt idx="92">
                  <c:v>350</c:v>
                </c:pt>
                <c:pt idx="93">
                  <c:v>341.88</c:v>
                </c:pt>
                <c:pt idx="94">
                  <c:v>340</c:v>
                </c:pt>
                <c:pt idx="95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4-425D-BA3C-9FC2E4C68C17}"/>
            </c:ext>
          </c:extLst>
        </c:ser>
        <c:ser>
          <c:idx val="1"/>
          <c:order val="1"/>
          <c:tx>
            <c:strRef>
              <c:f>[10]报价及预中标!$K$1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[10]报价及预中标!$I$2:$I$97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[10]报价及预中标!$K$2:$K$97</c:f>
              <c:numCache>
                <c:formatCode>General</c:formatCode>
                <c:ptCount val="96"/>
                <c:pt idx="0">
                  <c:v>301</c:v>
                </c:pt>
                <c:pt idx="1">
                  <c:v>294</c:v>
                </c:pt>
                <c:pt idx="2">
                  <c:v>290</c:v>
                </c:pt>
                <c:pt idx="3">
                  <c:v>284</c:v>
                </c:pt>
                <c:pt idx="4">
                  <c:v>281</c:v>
                </c:pt>
                <c:pt idx="5">
                  <c:v>275.63</c:v>
                </c:pt>
                <c:pt idx="6">
                  <c:v>270</c:v>
                </c:pt>
                <c:pt idx="7">
                  <c:v>270</c:v>
                </c:pt>
                <c:pt idx="8">
                  <c:v>286</c:v>
                </c:pt>
                <c:pt idx="9">
                  <c:v>282</c:v>
                </c:pt>
                <c:pt idx="10">
                  <c:v>276</c:v>
                </c:pt>
                <c:pt idx="11">
                  <c:v>270</c:v>
                </c:pt>
                <c:pt idx="12">
                  <c:v>270</c:v>
                </c:pt>
                <c:pt idx="13">
                  <c:v>266</c:v>
                </c:pt>
                <c:pt idx="14">
                  <c:v>262</c:v>
                </c:pt>
                <c:pt idx="15">
                  <c:v>246</c:v>
                </c:pt>
                <c:pt idx="16">
                  <c:v>229.6</c:v>
                </c:pt>
                <c:pt idx="17">
                  <c:v>186.4</c:v>
                </c:pt>
                <c:pt idx="18">
                  <c:v>181.6</c:v>
                </c:pt>
                <c:pt idx="19">
                  <c:v>188</c:v>
                </c:pt>
                <c:pt idx="20">
                  <c:v>251</c:v>
                </c:pt>
                <c:pt idx="21">
                  <c:v>148.53</c:v>
                </c:pt>
                <c:pt idx="22">
                  <c:v>144.80000000000001</c:v>
                </c:pt>
                <c:pt idx="23">
                  <c:v>144.80000000000001</c:v>
                </c:pt>
                <c:pt idx="24">
                  <c:v>144.80000000000001</c:v>
                </c:pt>
                <c:pt idx="25">
                  <c:v>144.80000000000001</c:v>
                </c:pt>
                <c:pt idx="26">
                  <c:v>144.80000000000001</c:v>
                </c:pt>
                <c:pt idx="27">
                  <c:v>54.4</c:v>
                </c:pt>
                <c:pt idx="28">
                  <c:v>-80</c:v>
                </c:pt>
                <c:pt idx="29">
                  <c:v>280</c:v>
                </c:pt>
                <c:pt idx="30">
                  <c:v>284.41000000000003</c:v>
                </c:pt>
                <c:pt idx="31">
                  <c:v>286.39</c:v>
                </c:pt>
                <c:pt idx="32">
                  <c:v>284.41000000000003</c:v>
                </c:pt>
                <c:pt idx="33">
                  <c:v>284.60000000000002</c:v>
                </c:pt>
                <c:pt idx="34">
                  <c:v>284</c:v>
                </c:pt>
                <c:pt idx="35">
                  <c:v>283.33</c:v>
                </c:pt>
                <c:pt idx="36">
                  <c:v>280</c:v>
                </c:pt>
                <c:pt idx="37">
                  <c:v>272.8</c:v>
                </c:pt>
                <c:pt idx="38">
                  <c:v>272.8</c:v>
                </c:pt>
                <c:pt idx="39">
                  <c:v>240.42</c:v>
                </c:pt>
                <c:pt idx="40">
                  <c:v>270</c:v>
                </c:pt>
                <c:pt idx="41">
                  <c:v>264</c:v>
                </c:pt>
                <c:pt idx="42">
                  <c:v>144.80000000000001</c:v>
                </c:pt>
                <c:pt idx="43">
                  <c:v>144.80000000000001</c:v>
                </c:pt>
                <c:pt idx="44">
                  <c:v>167.4</c:v>
                </c:pt>
                <c:pt idx="45">
                  <c:v>149.6</c:v>
                </c:pt>
                <c:pt idx="46">
                  <c:v>148.80000000000001</c:v>
                </c:pt>
                <c:pt idx="47">
                  <c:v>113.4</c:v>
                </c:pt>
                <c:pt idx="48">
                  <c:v>144.80000000000001</c:v>
                </c:pt>
                <c:pt idx="49">
                  <c:v>124.8</c:v>
                </c:pt>
                <c:pt idx="50">
                  <c:v>144.80000000000001</c:v>
                </c:pt>
                <c:pt idx="51">
                  <c:v>108</c:v>
                </c:pt>
                <c:pt idx="52">
                  <c:v>181.6</c:v>
                </c:pt>
                <c:pt idx="53">
                  <c:v>144.80000000000001</c:v>
                </c:pt>
                <c:pt idx="54">
                  <c:v>156.25</c:v>
                </c:pt>
                <c:pt idx="55">
                  <c:v>282</c:v>
                </c:pt>
                <c:pt idx="56">
                  <c:v>284</c:v>
                </c:pt>
                <c:pt idx="57">
                  <c:v>287.5</c:v>
                </c:pt>
                <c:pt idx="58">
                  <c:v>293.88</c:v>
                </c:pt>
                <c:pt idx="59">
                  <c:v>296</c:v>
                </c:pt>
                <c:pt idx="60">
                  <c:v>299.62</c:v>
                </c:pt>
                <c:pt idx="61">
                  <c:v>307</c:v>
                </c:pt>
                <c:pt idx="62">
                  <c:v>312</c:v>
                </c:pt>
                <c:pt idx="63">
                  <c:v>314</c:v>
                </c:pt>
                <c:pt idx="64">
                  <c:v>321.14</c:v>
                </c:pt>
                <c:pt idx="65">
                  <c:v>327.31</c:v>
                </c:pt>
                <c:pt idx="66">
                  <c:v>344</c:v>
                </c:pt>
                <c:pt idx="67">
                  <c:v>352</c:v>
                </c:pt>
                <c:pt idx="68">
                  <c:v>366.84</c:v>
                </c:pt>
                <c:pt idx="69">
                  <c:v>373.16</c:v>
                </c:pt>
                <c:pt idx="70">
                  <c:v>370</c:v>
                </c:pt>
                <c:pt idx="71">
                  <c:v>370</c:v>
                </c:pt>
                <c:pt idx="72">
                  <c:v>370</c:v>
                </c:pt>
                <c:pt idx="73">
                  <c:v>370</c:v>
                </c:pt>
                <c:pt idx="74">
                  <c:v>370</c:v>
                </c:pt>
                <c:pt idx="75">
                  <c:v>370</c:v>
                </c:pt>
                <c:pt idx="76">
                  <c:v>370</c:v>
                </c:pt>
                <c:pt idx="77">
                  <c:v>370</c:v>
                </c:pt>
                <c:pt idx="78">
                  <c:v>370</c:v>
                </c:pt>
                <c:pt idx="79">
                  <c:v>370</c:v>
                </c:pt>
                <c:pt idx="80">
                  <c:v>370</c:v>
                </c:pt>
                <c:pt idx="81">
                  <c:v>370</c:v>
                </c:pt>
                <c:pt idx="82">
                  <c:v>370</c:v>
                </c:pt>
                <c:pt idx="83">
                  <c:v>370</c:v>
                </c:pt>
                <c:pt idx="84">
                  <c:v>370</c:v>
                </c:pt>
                <c:pt idx="85">
                  <c:v>370</c:v>
                </c:pt>
                <c:pt idx="86">
                  <c:v>370</c:v>
                </c:pt>
                <c:pt idx="87">
                  <c:v>370</c:v>
                </c:pt>
                <c:pt idx="88">
                  <c:v>370</c:v>
                </c:pt>
                <c:pt idx="89">
                  <c:v>359.25</c:v>
                </c:pt>
                <c:pt idx="90">
                  <c:v>351.5</c:v>
                </c:pt>
                <c:pt idx="91">
                  <c:v>342.33</c:v>
                </c:pt>
                <c:pt idx="92">
                  <c:v>350</c:v>
                </c:pt>
                <c:pt idx="93">
                  <c:v>341.88</c:v>
                </c:pt>
                <c:pt idx="94">
                  <c:v>340</c:v>
                </c:pt>
                <c:pt idx="95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4-425D-BA3C-9FC2E4C68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[11]报价及预中标!$N$1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-76.33</c:v>
                </c:pt>
                <c:pt idx="5">
                  <c:v>-95</c:v>
                </c:pt>
                <c:pt idx="6">
                  <c:v>-95</c:v>
                </c:pt>
                <c:pt idx="7">
                  <c:v>-95</c:v>
                </c:pt>
                <c:pt idx="8">
                  <c:v>-95</c:v>
                </c:pt>
                <c:pt idx="9">
                  <c:v>-74.540000000000006</c:v>
                </c:pt>
                <c:pt idx="10">
                  <c:v>-74.540000000000006</c:v>
                </c:pt>
                <c:pt idx="11">
                  <c:v>-74.540000000000006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95</c:v>
                </c:pt>
                <c:pt idx="37">
                  <c:v>95</c:v>
                </c:pt>
                <c:pt idx="38">
                  <c:v>68.06</c:v>
                </c:pt>
                <c:pt idx="39">
                  <c:v>68.06</c:v>
                </c:pt>
                <c:pt idx="40">
                  <c:v>68.06</c:v>
                </c:pt>
                <c:pt idx="41">
                  <c:v>68.06</c:v>
                </c:pt>
                <c:pt idx="42">
                  <c:v>68.06</c:v>
                </c:pt>
                <c:pt idx="43">
                  <c:v>68.06</c:v>
                </c:pt>
                <c:pt idx="44">
                  <c:v>68.06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7-4A90-90C6-D793C253B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[11]报价及预中标!$J$2:$J$97</c:f>
              <c:numCache>
                <c:formatCode>General</c:formatCode>
                <c:ptCount val="96"/>
                <c:pt idx="0">
                  <c:v>313.5</c:v>
                </c:pt>
                <c:pt idx="1">
                  <c:v>322.8</c:v>
                </c:pt>
                <c:pt idx="2">
                  <c:v>324.56</c:v>
                </c:pt>
                <c:pt idx="3">
                  <c:v>324.56</c:v>
                </c:pt>
                <c:pt idx="4">
                  <c:v>324.56</c:v>
                </c:pt>
                <c:pt idx="5">
                  <c:v>324.56</c:v>
                </c:pt>
                <c:pt idx="6">
                  <c:v>324.56</c:v>
                </c:pt>
                <c:pt idx="7">
                  <c:v>323</c:v>
                </c:pt>
                <c:pt idx="8">
                  <c:v>326.11</c:v>
                </c:pt>
                <c:pt idx="9">
                  <c:v>324.56</c:v>
                </c:pt>
                <c:pt idx="10">
                  <c:v>324.56</c:v>
                </c:pt>
                <c:pt idx="11">
                  <c:v>324.56</c:v>
                </c:pt>
                <c:pt idx="12">
                  <c:v>324.56</c:v>
                </c:pt>
                <c:pt idx="13">
                  <c:v>324.56</c:v>
                </c:pt>
                <c:pt idx="14">
                  <c:v>324.56</c:v>
                </c:pt>
                <c:pt idx="15">
                  <c:v>324.56</c:v>
                </c:pt>
                <c:pt idx="16">
                  <c:v>324.56</c:v>
                </c:pt>
                <c:pt idx="17">
                  <c:v>324.56</c:v>
                </c:pt>
                <c:pt idx="18">
                  <c:v>324.56</c:v>
                </c:pt>
                <c:pt idx="19">
                  <c:v>324.56</c:v>
                </c:pt>
                <c:pt idx="20">
                  <c:v>324.56</c:v>
                </c:pt>
                <c:pt idx="21">
                  <c:v>324.56</c:v>
                </c:pt>
                <c:pt idx="22">
                  <c:v>324.56</c:v>
                </c:pt>
                <c:pt idx="23">
                  <c:v>324.56</c:v>
                </c:pt>
                <c:pt idx="24">
                  <c:v>322.44</c:v>
                </c:pt>
                <c:pt idx="25">
                  <c:v>326.67</c:v>
                </c:pt>
                <c:pt idx="26">
                  <c:v>324.56</c:v>
                </c:pt>
                <c:pt idx="27">
                  <c:v>323.44</c:v>
                </c:pt>
                <c:pt idx="28">
                  <c:v>317</c:v>
                </c:pt>
                <c:pt idx="29">
                  <c:v>331.14</c:v>
                </c:pt>
                <c:pt idx="30">
                  <c:v>340</c:v>
                </c:pt>
                <c:pt idx="31">
                  <c:v>354</c:v>
                </c:pt>
                <c:pt idx="32">
                  <c:v>1446.86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618</c:v>
                </c:pt>
                <c:pt idx="43">
                  <c:v>618</c:v>
                </c:pt>
                <c:pt idx="44">
                  <c:v>1260</c:v>
                </c:pt>
                <c:pt idx="45">
                  <c:v>298</c:v>
                </c:pt>
                <c:pt idx="46">
                  <c:v>296</c:v>
                </c:pt>
                <c:pt idx="47">
                  <c:v>283.16000000000003</c:v>
                </c:pt>
                <c:pt idx="48">
                  <c:v>271.56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281.25</c:v>
                </c:pt>
                <c:pt idx="53">
                  <c:v>283.13</c:v>
                </c:pt>
                <c:pt idx="54">
                  <c:v>284</c:v>
                </c:pt>
                <c:pt idx="55">
                  <c:v>284</c:v>
                </c:pt>
                <c:pt idx="56">
                  <c:v>286</c:v>
                </c:pt>
                <c:pt idx="57">
                  <c:v>288</c:v>
                </c:pt>
                <c:pt idx="58">
                  <c:v>291</c:v>
                </c:pt>
                <c:pt idx="59">
                  <c:v>292</c:v>
                </c:pt>
                <c:pt idx="60">
                  <c:v>296</c:v>
                </c:pt>
                <c:pt idx="61">
                  <c:v>302</c:v>
                </c:pt>
                <c:pt idx="62">
                  <c:v>305.63</c:v>
                </c:pt>
                <c:pt idx="63">
                  <c:v>310</c:v>
                </c:pt>
                <c:pt idx="64">
                  <c:v>322.14</c:v>
                </c:pt>
                <c:pt idx="65">
                  <c:v>334</c:v>
                </c:pt>
                <c:pt idx="66">
                  <c:v>348</c:v>
                </c:pt>
                <c:pt idx="67">
                  <c:v>360</c:v>
                </c:pt>
                <c:pt idx="68">
                  <c:v>384.7</c:v>
                </c:pt>
                <c:pt idx="69">
                  <c:v>417.53</c:v>
                </c:pt>
                <c:pt idx="70">
                  <c:v>424.21</c:v>
                </c:pt>
                <c:pt idx="71">
                  <c:v>395.54</c:v>
                </c:pt>
                <c:pt idx="72">
                  <c:v>380</c:v>
                </c:pt>
                <c:pt idx="73">
                  <c:v>376</c:v>
                </c:pt>
                <c:pt idx="74">
                  <c:v>370</c:v>
                </c:pt>
                <c:pt idx="75">
                  <c:v>370</c:v>
                </c:pt>
                <c:pt idx="76">
                  <c:v>368</c:v>
                </c:pt>
                <c:pt idx="77">
                  <c:v>367</c:v>
                </c:pt>
                <c:pt idx="78">
                  <c:v>361</c:v>
                </c:pt>
                <c:pt idx="79">
                  <c:v>355</c:v>
                </c:pt>
                <c:pt idx="80">
                  <c:v>344</c:v>
                </c:pt>
                <c:pt idx="81">
                  <c:v>344.38</c:v>
                </c:pt>
                <c:pt idx="82">
                  <c:v>343.13</c:v>
                </c:pt>
                <c:pt idx="83">
                  <c:v>342</c:v>
                </c:pt>
                <c:pt idx="84">
                  <c:v>348</c:v>
                </c:pt>
                <c:pt idx="85">
                  <c:v>344</c:v>
                </c:pt>
                <c:pt idx="86">
                  <c:v>337.5</c:v>
                </c:pt>
                <c:pt idx="87">
                  <c:v>328.75</c:v>
                </c:pt>
                <c:pt idx="88">
                  <c:v>321.14999999999998</c:v>
                </c:pt>
                <c:pt idx="89">
                  <c:v>320</c:v>
                </c:pt>
                <c:pt idx="90">
                  <c:v>318</c:v>
                </c:pt>
                <c:pt idx="91">
                  <c:v>315</c:v>
                </c:pt>
                <c:pt idx="92">
                  <c:v>320</c:v>
                </c:pt>
                <c:pt idx="93">
                  <c:v>313.5</c:v>
                </c:pt>
                <c:pt idx="94">
                  <c:v>310</c:v>
                </c:pt>
                <c:pt idx="95">
                  <c:v>305.57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CE-4994-B0D5-17093C4FD08D}"/>
            </c:ext>
          </c:extLst>
        </c:ser>
        <c:ser>
          <c:idx val="1"/>
          <c:order val="1"/>
          <c:tx>
            <c:strRef>
              <c:f>[11]报价及预中标!$K$1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[11]报价及预中标!$K$2:$K$97</c:f>
              <c:numCache>
                <c:formatCode>General</c:formatCode>
                <c:ptCount val="96"/>
                <c:pt idx="0">
                  <c:v>313.5</c:v>
                </c:pt>
                <c:pt idx="1">
                  <c:v>322.8</c:v>
                </c:pt>
                <c:pt idx="2">
                  <c:v>324.56</c:v>
                </c:pt>
                <c:pt idx="3">
                  <c:v>324.56</c:v>
                </c:pt>
                <c:pt idx="4">
                  <c:v>324.56</c:v>
                </c:pt>
                <c:pt idx="5">
                  <c:v>324.56</c:v>
                </c:pt>
                <c:pt idx="6">
                  <c:v>324.56</c:v>
                </c:pt>
                <c:pt idx="7">
                  <c:v>323</c:v>
                </c:pt>
                <c:pt idx="8">
                  <c:v>326.11</c:v>
                </c:pt>
                <c:pt idx="9">
                  <c:v>324.56</c:v>
                </c:pt>
                <c:pt idx="10">
                  <c:v>324.56</c:v>
                </c:pt>
                <c:pt idx="11">
                  <c:v>324.56</c:v>
                </c:pt>
                <c:pt idx="12">
                  <c:v>324.56</c:v>
                </c:pt>
                <c:pt idx="13">
                  <c:v>324.56</c:v>
                </c:pt>
                <c:pt idx="14">
                  <c:v>324.56</c:v>
                </c:pt>
                <c:pt idx="15">
                  <c:v>324.56</c:v>
                </c:pt>
                <c:pt idx="16">
                  <c:v>324.56</c:v>
                </c:pt>
                <c:pt idx="17">
                  <c:v>324.56</c:v>
                </c:pt>
                <c:pt idx="18">
                  <c:v>324.56</c:v>
                </c:pt>
                <c:pt idx="19">
                  <c:v>324.56</c:v>
                </c:pt>
                <c:pt idx="20">
                  <c:v>324.56</c:v>
                </c:pt>
                <c:pt idx="21">
                  <c:v>324.56</c:v>
                </c:pt>
                <c:pt idx="22">
                  <c:v>324.56</c:v>
                </c:pt>
                <c:pt idx="23">
                  <c:v>324.56</c:v>
                </c:pt>
                <c:pt idx="24">
                  <c:v>322.44</c:v>
                </c:pt>
                <c:pt idx="25">
                  <c:v>326.67</c:v>
                </c:pt>
                <c:pt idx="26">
                  <c:v>324.56</c:v>
                </c:pt>
                <c:pt idx="27">
                  <c:v>323.44</c:v>
                </c:pt>
                <c:pt idx="28">
                  <c:v>317</c:v>
                </c:pt>
                <c:pt idx="29">
                  <c:v>331.14</c:v>
                </c:pt>
                <c:pt idx="30">
                  <c:v>340</c:v>
                </c:pt>
                <c:pt idx="31">
                  <c:v>354</c:v>
                </c:pt>
                <c:pt idx="32">
                  <c:v>1446.86</c:v>
                </c:pt>
                <c:pt idx="33">
                  <c:v>618</c:v>
                </c:pt>
                <c:pt idx="34">
                  <c:v>618</c:v>
                </c:pt>
                <c:pt idx="35">
                  <c:v>618</c:v>
                </c:pt>
                <c:pt idx="36">
                  <c:v>618</c:v>
                </c:pt>
                <c:pt idx="37">
                  <c:v>618</c:v>
                </c:pt>
                <c:pt idx="38">
                  <c:v>618</c:v>
                </c:pt>
                <c:pt idx="39">
                  <c:v>618</c:v>
                </c:pt>
                <c:pt idx="40">
                  <c:v>618</c:v>
                </c:pt>
                <c:pt idx="41">
                  <c:v>618</c:v>
                </c:pt>
                <c:pt idx="42">
                  <c:v>618</c:v>
                </c:pt>
                <c:pt idx="43">
                  <c:v>618</c:v>
                </c:pt>
                <c:pt idx="44">
                  <c:v>1260</c:v>
                </c:pt>
                <c:pt idx="45">
                  <c:v>298</c:v>
                </c:pt>
                <c:pt idx="46">
                  <c:v>296</c:v>
                </c:pt>
                <c:pt idx="47">
                  <c:v>283.16000000000003</c:v>
                </c:pt>
                <c:pt idx="48">
                  <c:v>271.56</c:v>
                </c:pt>
                <c:pt idx="49">
                  <c:v>270</c:v>
                </c:pt>
                <c:pt idx="50">
                  <c:v>270</c:v>
                </c:pt>
                <c:pt idx="51">
                  <c:v>270</c:v>
                </c:pt>
                <c:pt idx="52">
                  <c:v>281.25</c:v>
                </c:pt>
                <c:pt idx="53">
                  <c:v>283.13</c:v>
                </c:pt>
                <c:pt idx="54">
                  <c:v>284</c:v>
                </c:pt>
                <c:pt idx="55">
                  <c:v>284</c:v>
                </c:pt>
                <c:pt idx="56">
                  <c:v>286</c:v>
                </c:pt>
                <c:pt idx="57">
                  <c:v>288</c:v>
                </c:pt>
                <c:pt idx="58">
                  <c:v>291</c:v>
                </c:pt>
                <c:pt idx="59">
                  <c:v>292</c:v>
                </c:pt>
                <c:pt idx="60">
                  <c:v>296</c:v>
                </c:pt>
                <c:pt idx="61">
                  <c:v>302</c:v>
                </c:pt>
                <c:pt idx="62">
                  <c:v>305.63</c:v>
                </c:pt>
                <c:pt idx="63">
                  <c:v>310</c:v>
                </c:pt>
                <c:pt idx="64">
                  <c:v>322.14</c:v>
                </c:pt>
                <c:pt idx="65">
                  <c:v>334</c:v>
                </c:pt>
                <c:pt idx="66">
                  <c:v>348</c:v>
                </c:pt>
                <c:pt idx="67">
                  <c:v>360</c:v>
                </c:pt>
                <c:pt idx="68">
                  <c:v>384.7</c:v>
                </c:pt>
                <c:pt idx="69">
                  <c:v>417.53</c:v>
                </c:pt>
                <c:pt idx="70">
                  <c:v>424.21</c:v>
                </c:pt>
                <c:pt idx="71">
                  <c:v>395.54</c:v>
                </c:pt>
                <c:pt idx="72">
                  <c:v>380</c:v>
                </c:pt>
                <c:pt idx="73">
                  <c:v>376</c:v>
                </c:pt>
                <c:pt idx="74">
                  <c:v>370</c:v>
                </c:pt>
                <c:pt idx="75">
                  <c:v>370</c:v>
                </c:pt>
                <c:pt idx="76">
                  <c:v>368</c:v>
                </c:pt>
                <c:pt idx="77">
                  <c:v>367</c:v>
                </c:pt>
                <c:pt idx="78">
                  <c:v>361</c:v>
                </c:pt>
                <c:pt idx="79">
                  <c:v>355</c:v>
                </c:pt>
                <c:pt idx="80">
                  <c:v>344</c:v>
                </c:pt>
                <c:pt idx="81">
                  <c:v>344.38</c:v>
                </c:pt>
                <c:pt idx="82">
                  <c:v>343.13</c:v>
                </c:pt>
                <c:pt idx="83">
                  <c:v>342</c:v>
                </c:pt>
                <c:pt idx="84">
                  <c:v>348</c:v>
                </c:pt>
                <c:pt idx="85">
                  <c:v>344</c:v>
                </c:pt>
                <c:pt idx="86">
                  <c:v>337.5</c:v>
                </c:pt>
                <c:pt idx="87">
                  <c:v>328.75</c:v>
                </c:pt>
                <c:pt idx="88">
                  <c:v>321.14999999999998</c:v>
                </c:pt>
                <c:pt idx="89">
                  <c:v>320</c:v>
                </c:pt>
                <c:pt idx="90">
                  <c:v>318</c:v>
                </c:pt>
                <c:pt idx="91">
                  <c:v>315</c:v>
                </c:pt>
                <c:pt idx="92">
                  <c:v>320</c:v>
                </c:pt>
                <c:pt idx="93">
                  <c:v>313.5</c:v>
                </c:pt>
                <c:pt idx="94">
                  <c:v>310</c:v>
                </c:pt>
                <c:pt idx="95">
                  <c:v>305.57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CE-4994-B0D5-17093C4F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[12]报价及预中标!$N$1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-39.340000000000003</c:v>
                </c:pt>
                <c:pt idx="44">
                  <c:v>-39.340000000000003</c:v>
                </c:pt>
                <c:pt idx="45">
                  <c:v>-39.340000000000003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1.73</c:v>
                </c:pt>
                <c:pt idx="67">
                  <c:v>51.85</c:v>
                </c:pt>
                <c:pt idx="68">
                  <c:v>51.85</c:v>
                </c:pt>
                <c:pt idx="69">
                  <c:v>51.85</c:v>
                </c:pt>
                <c:pt idx="70">
                  <c:v>51.85</c:v>
                </c:pt>
                <c:pt idx="71">
                  <c:v>51.85</c:v>
                </c:pt>
                <c:pt idx="72">
                  <c:v>51.85</c:v>
                </c:pt>
                <c:pt idx="73">
                  <c:v>51.85</c:v>
                </c:pt>
                <c:pt idx="74">
                  <c:v>51.85</c:v>
                </c:pt>
                <c:pt idx="75">
                  <c:v>51.85</c:v>
                </c:pt>
                <c:pt idx="76">
                  <c:v>51.85</c:v>
                </c:pt>
                <c:pt idx="77">
                  <c:v>51.85</c:v>
                </c:pt>
                <c:pt idx="78">
                  <c:v>51.85</c:v>
                </c:pt>
                <c:pt idx="79">
                  <c:v>51.85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54-4275-9C13-0C3EF400D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[12]报价及预中标!$J$2:$J$97</c:f>
              <c:numCache>
                <c:formatCode>General</c:formatCode>
                <c:ptCount val="96"/>
                <c:pt idx="0">
                  <c:v>330</c:v>
                </c:pt>
                <c:pt idx="1">
                  <c:v>328</c:v>
                </c:pt>
                <c:pt idx="2">
                  <c:v>328</c:v>
                </c:pt>
                <c:pt idx="3">
                  <c:v>326</c:v>
                </c:pt>
                <c:pt idx="4">
                  <c:v>325</c:v>
                </c:pt>
                <c:pt idx="5">
                  <c:v>324</c:v>
                </c:pt>
                <c:pt idx="6">
                  <c:v>322</c:v>
                </c:pt>
                <c:pt idx="7">
                  <c:v>322</c:v>
                </c:pt>
                <c:pt idx="8">
                  <c:v>332.5</c:v>
                </c:pt>
                <c:pt idx="9">
                  <c:v>330</c:v>
                </c:pt>
                <c:pt idx="10">
                  <c:v>329.38</c:v>
                </c:pt>
                <c:pt idx="11">
                  <c:v>328</c:v>
                </c:pt>
                <c:pt idx="12">
                  <c:v>326</c:v>
                </c:pt>
                <c:pt idx="13">
                  <c:v>322</c:v>
                </c:pt>
                <c:pt idx="14">
                  <c:v>322</c:v>
                </c:pt>
                <c:pt idx="15">
                  <c:v>321.88</c:v>
                </c:pt>
                <c:pt idx="16">
                  <c:v>320</c:v>
                </c:pt>
                <c:pt idx="17">
                  <c:v>322</c:v>
                </c:pt>
                <c:pt idx="18">
                  <c:v>322</c:v>
                </c:pt>
                <c:pt idx="19">
                  <c:v>324</c:v>
                </c:pt>
                <c:pt idx="20">
                  <c:v>327.73</c:v>
                </c:pt>
                <c:pt idx="21">
                  <c:v>322</c:v>
                </c:pt>
                <c:pt idx="22">
                  <c:v>318.33</c:v>
                </c:pt>
                <c:pt idx="23">
                  <c:v>317</c:v>
                </c:pt>
                <c:pt idx="24">
                  <c:v>316</c:v>
                </c:pt>
                <c:pt idx="25">
                  <c:v>319</c:v>
                </c:pt>
                <c:pt idx="26">
                  <c:v>321</c:v>
                </c:pt>
                <c:pt idx="27">
                  <c:v>322</c:v>
                </c:pt>
                <c:pt idx="28">
                  <c:v>325</c:v>
                </c:pt>
                <c:pt idx="29">
                  <c:v>334</c:v>
                </c:pt>
                <c:pt idx="30">
                  <c:v>342.5</c:v>
                </c:pt>
                <c:pt idx="31">
                  <c:v>356</c:v>
                </c:pt>
                <c:pt idx="32">
                  <c:v>355</c:v>
                </c:pt>
                <c:pt idx="33">
                  <c:v>346</c:v>
                </c:pt>
                <c:pt idx="34">
                  <c:v>338</c:v>
                </c:pt>
                <c:pt idx="35">
                  <c:v>330.63</c:v>
                </c:pt>
                <c:pt idx="36">
                  <c:v>325</c:v>
                </c:pt>
                <c:pt idx="37">
                  <c:v>312</c:v>
                </c:pt>
                <c:pt idx="38">
                  <c:v>301.88</c:v>
                </c:pt>
                <c:pt idx="39">
                  <c:v>270</c:v>
                </c:pt>
                <c:pt idx="40">
                  <c:v>276</c:v>
                </c:pt>
                <c:pt idx="41">
                  <c:v>199.8</c:v>
                </c:pt>
                <c:pt idx="42">
                  <c:v>157.32</c:v>
                </c:pt>
                <c:pt idx="43">
                  <c:v>157.32</c:v>
                </c:pt>
                <c:pt idx="44">
                  <c:v>247.8</c:v>
                </c:pt>
                <c:pt idx="45">
                  <c:v>192</c:v>
                </c:pt>
                <c:pt idx="46">
                  <c:v>204.33</c:v>
                </c:pt>
                <c:pt idx="47">
                  <c:v>44.07</c:v>
                </c:pt>
                <c:pt idx="48">
                  <c:v>98.4</c:v>
                </c:pt>
                <c:pt idx="49">
                  <c:v>136.19999999999999</c:v>
                </c:pt>
                <c:pt idx="50">
                  <c:v>157.32</c:v>
                </c:pt>
                <c:pt idx="51">
                  <c:v>131.04</c:v>
                </c:pt>
                <c:pt idx="52">
                  <c:v>183.6</c:v>
                </c:pt>
                <c:pt idx="53">
                  <c:v>157.32</c:v>
                </c:pt>
                <c:pt idx="54">
                  <c:v>152.32</c:v>
                </c:pt>
                <c:pt idx="55">
                  <c:v>162.32</c:v>
                </c:pt>
                <c:pt idx="56">
                  <c:v>162.32</c:v>
                </c:pt>
                <c:pt idx="57">
                  <c:v>228.6</c:v>
                </c:pt>
                <c:pt idx="58">
                  <c:v>298</c:v>
                </c:pt>
                <c:pt idx="59">
                  <c:v>303.33</c:v>
                </c:pt>
                <c:pt idx="60">
                  <c:v>315</c:v>
                </c:pt>
                <c:pt idx="61">
                  <c:v>327.43</c:v>
                </c:pt>
                <c:pt idx="62">
                  <c:v>336.33</c:v>
                </c:pt>
                <c:pt idx="63">
                  <c:v>341.75</c:v>
                </c:pt>
                <c:pt idx="64">
                  <c:v>358</c:v>
                </c:pt>
                <c:pt idx="65">
                  <c:v>367.8</c:v>
                </c:pt>
                <c:pt idx="66">
                  <c:v>371.7</c:v>
                </c:pt>
                <c:pt idx="67">
                  <c:v>373.5</c:v>
                </c:pt>
                <c:pt idx="68">
                  <c:v>371</c:v>
                </c:pt>
                <c:pt idx="69">
                  <c:v>371</c:v>
                </c:pt>
                <c:pt idx="70">
                  <c:v>371</c:v>
                </c:pt>
                <c:pt idx="71">
                  <c:v>371</c:v>
                </c:pt>
                <c:pt idx="72">
                  <c:v>371</c:v>
                </c:pt>
                <c:pt idx="73">
                  <c:v>371</c:v>
                </c:pt>
                <c:pt idx="74">
                  <c:v>371</c:v>
                </c:pt>
                <c:pt idx="75">
                  <c:v>371</c:v>
                </c:pt>
                <c:pt idx="76">
                  <c:v>371</c:v>
                </c:pt>
                <c:pt idx="77">
                  <c:v>371</c:v>
                </c:pt>
                <c:pt idx="78">
                  <c:v>371</c:v>
                </c:pt>
                <c:pt idx="79">
                  <c:v>371</c:v>
                </c:pt>
                <c:pt idx="80">
                  <c:v>371</c:v>
                </c:pt>
                <c:pt idx="81">
                  <c:v>371</c:v>
                </c:pt>
                <c:pt idx="82">
                  <c:v>371</c:v>
                </c:pt>
                <c:pt idx="83">
                  <c:v>371</c:v>
                </c:pt>
                <c:pt idx="84">
                  <c:v>371</c:v>
                </c:pt>
                <c:pt idx="85">
                  <c:v>371</c:v>
                </c:pt>
                <c:pt idx="86">
                  <c:v>367.75</c:v>
                </c:pt>
                <c:pt idx="87">
                  <c:v>358.5</c:v>
                </c:pt>
                <c:pt idx="88">
                  <c:v>350</c:v>
                </c:pt>
                <c:pt idx="89">
                  <c:v>347.38</c:v>
                </c:pt>
                <c:pt idx="90">
                  <c:v>344.5</c:v>
                </c:pt>
                <c:pt idx="91">
                  <c:v>341</c:v>
                </c:pt>
                <c:pt idx="92">
                  <c:v>345.38</c:v>
                </c:pt>
                <c:pt idx="93">
                  <c:v>340</c:v>
                </c:pt>
                <c:pt idx="94">
                  <c:v>335.85</c:v>
                </c:pt>
                <c:pt idx="95">
                  <c:v>332.5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FA-4C58-A670-5F8C3E05B41C}"/>
            </c:ext>
          </c:extLst>
        </c:ser>
        <c:ser>
          <c:idx val="1"/>
          <c:order val="1"/>
          <c:tx>
            <c:strRef>
              <c:f>[12]报价及预中标!$K$1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[12]报价及预中标!$I$2:$I$97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[12]报价及预中标!$K$2:$K$97</c:f>
              <c:numCache>
                <c:formatCode>General</c:formatCode>
                <c:ptCount val="96"/>
                <c:pt idx="0">
                  <c:v>330</c:v>
                </c:pt>
                <c:pt idx="1">
                  <c:v>328</c:v>
                </c:pt>
                <c:pt idx="2">
                  <c:v>328</c:v>
                </c:pt>
                <c:pt idx="3">
                  <c:v>326</c:v>
                </c:pt>
                <c:pt idx="4">
                  <c:v>325</c:v>
                </c:pt>
                <c:pt idx="5">
                  <c:v>324</c:v>
                </c:pt>
                <c:pt idx="6">
                  <c:v>322</c:v>
                </c:pt>
                <c:pt idx="7">
                  <c:v>322</c:v>
                </c:pt>
                <c:pt idx="8">
                  <c:v>332.5</c:v>
                </c:pt>
                <c:pt idx="9">
                  <c:v>330</c:v>
                </c:pt>
                <c:pt idx="10">
                  <c:v>329.38</c:v>
                </c:pt>
                <c:pt idx="11">
                  <c:v>328</c:v>
                </c:pt>
                <c:pt idx="12">
                  <c:v>326</c:v>
                </c:pt>
                <c:pt idx="13">
                  <c:v>322</c:v>
                </c:pt>
                <c:pt idx="14">
                  <c:v>322</c:v>
                </c:pt>
                <c:pt idx="15">
                  <c:v>321.88</c:v>
                </c:pt>
                <c:pt idx="16">
                  <c:v>320</c:v>
                </c:pt>
                <c:pt idx="17">
                  <c:v>322</c:v>
                </c:pt>
                <c:pt idx="18">
                  <c:v>322</c:v>
                </c:pt>
                <c:pt idx="19">
                  <c:v>324</c:v>
                </c:pt>
                <c:pt idx="20">
                  <c:v>327.73</c:v>
                </c:pt>
                <c:pt idx="21">
                  <c:v>322</c:v>
                </c:pt>
                <c:pt idx="22">
                  <c:v>318.33</c:v>
                </c:pt>
                <c:pt idx="23">
                  <c:v>317</c:v>
                </c:pt>
                <c:pt idx="24">
                  <c:v>316</c:v>
                </c:pt>
                <c:pt idx="25">
                  <c:v>319</c:v>
                </c:pt>
                <c:pt idx="26">
                  <c:v>321</c:v>
                </c:pt>
                <c:pt idx="27">
                  <c:v>322</c:v>
                </c:pt>
                <c:pt idx="28">
                  <c:v>325</c:v>
                </c:pt>
                <c:pt idx="29">
                  <c:v>334</c:v>
                </c:pt>
                <c:pt idx="30">
                  <c:v>342.5</c:v>
                </c:pt>
                <c:pt idx="31">
                  <c:v>356</c:v>
                </c:pt>
                <c:pt idx="32">
                  <c:v>355</c:v>
                </c:pt>
                <c:pt idx="33">
                  <c:v>346</c:v>
                </c:pt>
                <c:pt idx="34">
                  <c:v>338</c:v>
                </c:pt>
                <c:pt idx="35">
                  <c:v>330.63</c:v>
                </c:pt>
                <c:pt idx="36">
                  <c:v>325</c:v>
                </c:pt>
                <c:pt idx="37">
                  <c:v>312</c:v>
                </c:pt>
                <c:pt idx="38">
                  <c:v>301.88</c:v>
                </c:pt>
                <c:pt idx="39">
                  <c:v>270</c:v>
                </c:pt>
                <c:pt idx="40">
                  <c:v>276</c:v>
                </c:pt>
                <c:pt idx="41">
                  <c:v>199.8</c:v>
                </c:pt>
                <c:pt idx="42">
                  <c:v>157.32</c:v>
                </c:pt>
                <c:pt idx="43">
                  <c:v>157.32</c:v>
                </c:pt>
                <c:pt idx="44">
                  <c:v>247.8</c:v>
                </c:pt>
                <c:pt idx="45">
                  <c:v>192</c:v>
                </c:pt>
                <c:pt idx="46">
                  <c:v>204.33</c:v>
                </c:pt>
                <c:pt idx="47">
                  <c:v>44.07</c:v>
                </c:pt>
                <c:pt idx="48">
                  <c:v>98.4</c:v>
                </c:pt>
                <c:pt idx="49">
                  <c:v>136.19999999999999</c:v>
                </c:pt>
                <c:pt idx="50">
                  <c:v>157.32</c:v>
                </c:pt>
                <c:pt idx="51">
                  <c:v>131.04</c:v>
                </c:pt>
                <c:pt idx="52">
                  <c:v>183.6</c:v>
                </c:pt>
                <c:pt idx="53">
                  <c:v>157.32</c:v>
                </c:pt>
                <c:pt idx="54">
                  <c:v>152.32</c:v>
                </c:pt>
                <c:pt idx="55">
                  <c:v>162.32</c:v>
                </c:pt>
                <c:pt idx="56">
                  <c:v>162.32</c:v>
                </c:pt>
                <c:pt idx="57">
                  <c:v>228.6</c:v>
                </c:pt>
                <c:pt idx="58">
                  <c:v>298</c:v>
                </c:pt>
                <c:pt idx="59">
                  <c:v>303.33</c:v>
                </c:pt>
                <c:pt idx="60">
                  <c:v>315</c:v>
                </c:pt>
                <c:pt idx="61">
                  <c:v>327.43</c:v>
                </c:pt>
                <c:pt idx="62">
                  <c:v>336.33</c:v>
                </c:pt>
                <c:pt idx="63">
                  <c:v>341.75</c:v>
                </c:pt>
                <c:pt idx="64">
                  <c:v>358</c:v>
                </c:pt>
                <c:pt idx="65">
                  <c:v>367.8</c:v>
                </c:pt>
                <c:pt idx="66">
                  <c:v>371.7</c:v>
                </c:pt>
                <c:pt idx="67">
                  <c:v>373.5</c:v>
                </c:pt>
                <c:pt idx="68">
                  <c:v>371</c:v>
                </c:pt>
                <c:pt idx="69">
                  <c:v>371</c:v>
                </c:pt>
                <c:pt idx="70">
                  <c:v>371</c:v>
                </c:pt>
                <c:pt idx="71">
                  <c:v>371</c:v>
                </c:pt>
                <c:pt idx="72">
                  <c:v>371</c:v>
                </c:pt>
                <c:pt idx="73">
                  <c:v>371</c:v>
                </c:pt>
                <c:pt idx="74">
                  <c:v>371</c:v>
                </c:pt>
                <c:pt idx="75">
                  <c:v>371</c:v>
                </c:pt>
                <c:pt idx="76">
                  <c:v>371</c:v>
                </c:pt>
                <c:pt idx="77">
                  <c:v>371</c:v>
                </c:pt>
                <c:pt idx="78">
                  <c:v>371</c:v>
                </c:pt>
                <c:pt idx="79">
                  <c:v>371</c:v>
                </c:pt>
                <c:pt idx="80">
                  <c:v>371</c:v>
                </c:pt>
                <c:pt idx="81">
                  <c:v>371</c:v>
                </c:pt>
                <c:pt idx="82">
                  <c:v>371</c:v>
                </c:pt>
                <c:pt idx="83">
                  <c:v>371</c:v>
                </c:pt>
                <c:pt idx="84">
                  <c:v>371</c:v>
                </c:pt>
                <c:pt idx="85">
                  <c:v>371</c:v>
                </c:pt>
                <c:pt idx="86">
                  <c:v>367.75</c:v>
                </c:pt>
                <c:pt idx="87">
                  <c:v>358.5</c:v>
                </c:pt>
                <c:pt idx="88">
                  <c:v>350</c:v>
                </c:pt>
                <c:pt idx="89">
                  <c:v>347.38</c:v>
                </c:pt>
                <c:pt idx="90">
                  <c:v>344.5</c:v>
                </c:pt>
                <c:pt idx="91">
                  <c:v>341</c:v>
                </c:pt>
                <c:pt idx="92">
                  <c:v>345.38</c:v>
                </c:pt>
                <c:pt idx="93">
                  <c:v>340</c:v>
                </c:pt>
                <c:pt idx="94">
                  <c:v>335.85</c:v>
                </c:pt>
                <c:pt idx="95">
                  <c:v>332.5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FA-4C58-A670-5F8C3E05B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[13]报价及预中标!$N$1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-95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64.849999999999994</c:v>
                </c:pt>
                <c:pt idx="72">
                  <c:v>64.849999999999994</c:v>
                </c:pt>
                <c:pt idx="73">
                  <c:v>64.849999999999994</c:v>
                </c:pt>
                <c:pt idx="74">
                  <c:v>64.849999999999994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E2-42AD-916E-4A5211C12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[13]报价及预中标!$J$1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[13]报价及预中标!$J$2:$J$97</c:f>
              <c:numCache>
                <c:formatCode>General</c:formatCode>
                <c:ptCount val="96"/>
                <c:pt idx="0">
                  <c:v>315</c:v>
                </c:pt>
                <c:pt idx="1">
                  <c:v>312</c:v>
                </c:pt>
                <c:pt idx="2">
                  <c:v>310</c:v>
                </c:pt>
                <c:pt idx="3">
                  <c:v>308</c:v>
                </c:pt>
                <c:pt idx="4">
                  <c:v>308</c:v>
                </c:pt>
                <c:pt idx="5">
                  <c:v>308</c:v>
                </c:pt>
                <c:pt idx="6">
                  <c:v>306</c:v>
                </c:pt>
                <c:pt idx="7">
                  <c:v>306</c:v>
                </c:pt>
                <c:pt idx="8">
                  <c:v>315</c:v>
                </c:pt>
                <c:pt idx="9">
                  <c:v>315</c:v>
                </c:pt>
                <c:pt idx="10">
                  <c:v>315</c:v>
                </c:pt>
                <c:pt idx="11">
                  <c:v>312</c:v>
                </c:pt>
                <c:pt idx="12">
                  <c:v>310</c:v>
                </c:pt>
                <c:pt idx="13">
                  <c:v>309.38</c:v>
                </c:pt>
                <c:pt idx="14">
                  <c:v>310</c:v>
                </c:pt>
                <c:pt idx="15">
                  <c:v>309</c:v>
                </c:pt>
                <c:pt idx="16">
                  <c:v>310</c:v>
                </c:pt>
                <c:pt idx="17">
                  <c:v>312</c:v>
                </c:pt>
                <c:pt idx="18">
                  <c:v>313.75</c:v>
                </c:pt>
                <c:pt idx="19">
                  <c:v>316</c:v>
                </c:pt>
                <c:pt idx="20">
                  <c:v>319</c:v>
                </c:pt>
                <c:pt idx="21">
                  <c:v>313.13</c:v>
                </c:pt>
                <c:pt idx="22">
                  <c:v>310</c:v>
                </c:pt>
                <c:pt idx="23">
                  <c:v>306</c:v>
                </c:pt>
                <c:pt idx="24">
                  <c:v>306.25</c:v>
                </c:pt>
                <c:pt idx="25">
                  <c:v>308.13</c:v>
                </c:pt>
                <c:pt idx="26">
                  <c:v>314</c:v>
                </c:pt>
                <c:pt idx="27">
                  <c:v>314</c:v>
                </c:pt>
                <c:pt idx="28">
                  <c:v>316</c:v>
                </c:pt>
                <c:pt idx="29">
                  <c:v>330</c:v>
                </c:pt>
                <c:pt idx="30">
                  <c:v>344.33</c:v>
                </c:pt>
                <c:pt idx="31">
                  <c:v>354</c:v>
                </c:pt>
                <c:pt idx="32">
                  <c:v>357.5</c:v>
                </c:pt>
                <c:pt idx="33">
                  <c:v>350.75</c:v>
                </c:pt>
                <c:pt idx="34">
                  <c:v>344</c:v>
                </c:pt>
                <c:pt idx="35">
                  <c:v>334</c:v>
                </c:pt>
                <c:pt idx="36">
                  <c:v>328</c:v>
                </c:pt>
                <c:pt idx="37">
                  <c:v>317.04000000000002</c:v>
                </c:pt>
                <c:pt idx="38">
                  <c:v>309.27</c:v>
                </c:pt>
                <c:pt idx="39">
                  <c:v>302</c:v>
                </c:pt>
                <c:pt idx="40">
                  <c:v>303.13</c:v>
                </c:pt>
                <c:pt idx="41">
                  <c:v>295.91000000000003</c:v>
                </c:pt>
                <c:pt idx="42">
                  <c:v>286</c:v>
                </c:pt>
                <c:pt idx="43">
                  <c:v>279</c:v>
                </c:pt>
                <c:pt idx="44">
                  <c:v>291.88</c:v>
                </c:pt>
                <c:pt idx="45">
                  <c:v>219.6</c:v>
                </c:pt>
                <c:pt idx="46">
                  <c:v>219.6</c:v>
                </c:pt>
                <c:pt idx="47">
                  <c:v>181.71</c:v>
                </c:pt>
                <c:pt idx="48">
                  <c:v>177.86</c:v>
                </c:pt>
                <c:pt idx="49">
                  <c:v>167.46</c:v>
                </c:pt>
                <c:pt idx="50">
                  <c:v>181.71</c:v>
                </c:pt>
                <c:pt idx="51">
                  <c:v>184.05</c:v>
                </c:pt>
                <c:pt idx="52">
                  <c:v>224</c:v>
                </c:pt>
                <c:pt idx="53">
                  <c:v>215.55</c:v>
                </c:pt>
                <c:pt idx="54">
                  <c:v>215.55</c:v>
                </c:pt>
                <c:pt idx="55">
                  <c:v>266.88</c:v>
                </c:pt>
                <c:pt idx="56">
                  <c:v>282</c:v>
                </c:pt>
                <c:pt idx="57">
                  <c:v>300</c:v>
                </c:pt>
                <c:pt idx="58">
                  <c:v>305.45</c:v>
                </c:pt>
                <c:pt idx="59">
                  <c:v>305</c:v>
                </c:pt>
                <c:pt idx="60">
                  <c:v>310</c:v>
                </c:pt>
                <c:pt idx="61">
                  <c:v>320</c:v>
                </c:pt>
                <c:pt idx="62">
                  <c:v>327.43</c:v>
                </c:pt>
                <c:pt idx="63">
                  <c:v>330.63</c:v>
                </c:pt>
                <c:pt idx="64">
                  <c:v>342</c:v>
                </c:pt>
                <c:pt idx="65">
                  <c:v>352.5</c:v>
                </c:pt>
                <c:pt idx="66">
                  <c:v>361.25</c:v>
                </c:pt>
                <c:pt idx="67">
                  <c:v>361.25</c:v>
                </c:pt>
                <c:pt idx="68">
                  <c:v>361.25</c:v>
                </c:pt>
                <c:pt idx="69">
                  <c:v>361.25</c:v>
                </c:pt>
                <c:pt idx="70">
                  <c:v>361.25</c:v>
                </c:pt>
                <c:pt idx="71">
                  <c:v>361.25</c:v>
                </c:pt>
                <c:pt idx="72">
                  <c:v>361.25</c:v>
                </c:pt>
                <c:pt idx="73">
                  <c:v>361.25</c:v>
                </c:pt>
                <c:pt idx="74">
                  <c:v>361.25</c:v>
                </c:pt>
                <c:pt idx="75">
                  <c:v>361.25</c:v>
                </c:pt>
                <c:pt idx="76">
                  <c:v>361.25</c:v>
                </c:pt>
                <c:pt idx="77">
                  <c:v>361.25</c:v>
                </c:pt>
                <c:pt idx="78">
                  <c:v>361.25</c:v>
                </c:pt>
                <c:pt idx="79">
                  <c:v>358.13</c:v>
                </c:pt>
                <c:pt idx="80">
                  <c:v>357.5</c:v>
                </c:pt>
                <c:pt idx="81">
                  <c:v>355.38</c:v>
                </c:pt>
                <c:pt idx="82">
                  <c:v>354</c:v>
                </c:pt>
                <c:pt idx="83">
                  <c:v>353.75</c:v>
                </c:pt>
                <c:pt idx="84">
                  <c:v>358</c:v>
                </c:pt>
                <c:pt idx="85">
                  <c:v>354.3</c:v>
                </c:pt>
                <c:pt idx="86">
                  <c:v>348.88</c:v>
                </c:pt>
                <c:pt idx="87">
                  <c:v>340.78</c:v>
                </c:pt>
                <c:pt idx="88">
                  <c:v>335.38</c:v>
                </c:pt>
                <c:pt idx="89">
                  <c:v>334.89</c:v>
                </c:pt>
                <c:pt idx="90">
                  <c:v>333</c:v>
                </c:pt>
                <c:pt idx="91">
                  <c:v>330.63</c:v>
                </c:pt>
                <c:pt idx="92">
                  <c:v>335</c:v>
                </c:pt>
                <c:pt idx="93">
                  <c:v>330</c:v>
                </c:pt>
                <c:pt idx="94">
                  <c:v>326.33</c:v>
                </c:pt>
                <c:pt idx="95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1-4218-8381-FB87FDFF74B7}"/>
            </c:ext>
          </c:extLst>
        </c:ser>
        <c:ser>
          <c:idx val="1"/>
          <c:order val="1"/>
          <c:tx>
            <c:strRef>
              <c:f>[13]报价及预中标!$K$1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[13]报价及预中标!$I$2:$I$97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[13]报价及预中标!$K$2:$K$97</c:f>
              <c:numCache>
                <c:formatCode>General</c:formatCode>
                <c:ptCount val="96"/>
                <c:pt idx="0">
                  <c:v>315</c:v>
                </c:pt>
                <c:pt idx="1">
                  <c:v>312</c:v>
                </c:pt>
                <c:pt idx="2">
                  <c:v>310</c:v>
                </c:pt>
                <c:pt idx="3">
                  <c:v>308</c:v>
                </c:pt>
                <c:pt idx="4">
                  <c:v>308</c:v>
                </c:pt>
                <c:pt idx="5">
                  <c:v>308</c:v>
                </c:pt>
                <c:pt idx="6">
                  <c:v>306</c:v>
                </c:pt>
                <c:pt idx="7">
                  <c:v>306</c:v>
                </c:pt>
                <c:pt idx="8">
                  <c:v>315</c:v>
                </c:pt>
                <c:pt idx="9">
                  <c:v>315</c:v>
                </c:pt>
                <c:pt idx="10">
                  <c:v>315</c:v>
                </c:pt>
                <c:pt idx="11">
                  <c:v>312</c:v>
                </c:pt>
                <c:pt idx="12">
                  <c:v>310</c:v>
                </c:pt>
                <c:pt idx="13">
                  <c:v>309.38</c:v>
                </c:pt>
                <c:pt idx="14">
                  <c:v>310</c:v>
                </c:pt>
                <c:pt idx="15">
                  <c:v>309</c:v>
                </c:pt>
                <c:pt idx="16">
                  <c:v>310</c:v>
                </c:pt>
                <c:pt idx="17">
                  <c:v>312</c:v>
                </c:pt>
                <c:pt idx="18">
                  <c:v>313.75</c:v>
                </c:pt>
                <c:pt idx="19">
                  <c:v>316</c:v>
                </c:pt>
                <c:pt idx="20">
                  <c:v>319</c:v>
                </c:pt>
                <c:pt idx="21">
                  <c:v>313.13</c:v>
                </c:pt>
                <c:pt idx="22">
                  <c:v>310</c:v>
                </c:pt>
                <c:pt idx="23">
                  <c:v>306</c:v>
                </c:pt>
                <c:pt idx="24">
                  <c:v>306.25</c:v>
                </c:pt>
                <c:pt idx="25">
                  <c:v>308.13</c:v>
                </c:pt>
                <c:pt idx="26">
                  <c:v>314</c:v>
                </c:pt>
                <c:pt idx="27">
                  <c:v>314</c:v>
                </c:pt>
                <c:pt idx="28">
                  <c:v>316</c:v>
                </c:pt>
                <c:pt idx="29">
                  <c:v>330</c:v>
                </c:pt>
                <c:pt idx="30">
                  <c:v>344.33</c:v>
                </c:pt>
                <c:pt idx="31">
                  <c:v>354</c:v>
                </c:pt>
                <c:pt idx="32">
                  <c:v>357.5</c:v>
                </c:pt>
                <c:pt idx="33">
                  <c:v>350.75</c:v>
                </c:pt>
                <c:pt idx="34">
                  <c:v>344</c:v>
                </c:pt>
                <c:pt idx="35">
                  <c:v>334</c:v>
                </c:pt>
                <c:pt idx="36">
                  <c:v>328</c:v>
                </c:pt>
                <c:pt idx="37">
                  <c:v>317.04000000000002</c:v>
                </c:pt>
                <c:pt idx="38">
                  <c:v>309.27</c:v>
                </c:pt>
                <c:pt idx="39">
                  <c:v>302</c:v>
                </c:pt>
                <c:pt idx="40">
                  <c:v>303.13</c:v>
                </c:pt>
                <c:pt idx="41">
                  <c:v>295.91000000000003</c:v>
                </c:pt>
                <c:pt idx="42">
                  <c:v>286</c:v>
                </c:pt>
                <c:pt idx="43">
                  <c:v>279</c:v>
                </c:pt>
                <c:pt idx="44">
                  <c:v>291.88</c:v>
                </c:pt>
                <c:pt idx="45">
                  <c:v>219.6</c:v>
                </c:pt>
                <c:pt idx="46">
                  <c:v>219.6</c:v>
                </c:pt>
                <c:pt idx="47">
                  <c:v>181.71</c:v>
                </c:pt>
                <c:pt idx="48">
                  <c:v>177.86</c:v>
                </c:pt>
                <c:pt idx="49">
                  <c:v>167.46</c:v>
                </c:pt>
                <c:pt idx="50">
                  <c:v>181.71</c:v>
                </c:pt>
                <c:pt idx="51">
                  <c:v>184.05</c:v>
                </c:pt>
                <c:pt idx="52">
                  <c:v>224</c:v>
                </c:pt>
                <c:pt idx="53">
                  <c:v>215.55</c:v>
                </c:pt>
                <c:pt idx="54">
                  <c:v>215.55</c:v>
                </c:pt>
                <c:pt idx="55">
                  <c:v>266.88</c:v>
                </c:pt>
                <c:pt idx="56">
                  <c:v>282</c:v>
                </c:pt>
                <c:pt idx="57">
                  <c:v>300</c:v>
                </c:pt>
                <c:pt idx="58">
                  <c:v>305.45</c:v>
                </c:pt>
                <c:pt idx="59">
                  <c:v>305</c:v>
                </c:pt>
                <c:pt idx="60">
                  <c:v>310</c:v>
                </c:pt>
                <c:pt idx="61">
                  <c:v>320</c:v>
                </c:pt>
                <c:pt idx="62">
                  <c:v>327.43</c:v>
                </c:pt>
                <c:pt idx="63">
                  <c:v>330.63</c:v>
                </c:pt>
                <c:pt idx="64">
                  <c:v>342</c:v>
                </c:pt>
                <c:pt idx="65">
                  <c:v>352.5</c:v>
                </c:pt>
                <c:pt idx="66">
                  <c:v>361.25</c:v>
                </c:pt>
                <c:pt idx="67">
                  <c:v>361.25</c:v>
                </c:pt>
                <c:pt idx="68">
                  <c:v>361.25</c:v>
                </c:pt>
                <c:pt idx="69">
                  <c:v>361.25</c:v>
                </c:pt>
                <c:pt idx="70">
                  <c:v>361.25</c:v>
                </c:pt>
                <c:pt idx="71">
                  <c:v>361.25</c:v>
                </c:pt>
                <c:pt idx="72">
                  <c:v>361.25</c:v>
                </c:pt>
                <c:pt idx="73">
                  <c:v>361.25</c:v>
                </c:pt>
                <c:pt idx="74">
                  <c:v>361.25</c:v>
                </c:pt>
                <c:pt idx="75">
                  <c:v>361.25</c:v>
                </c:pt>
                <c:pt idx="76">
                  <c:v>361.25</c:v>
                </c:pt>
                <c:pt idx="77">
                  <c:v>361.25</c:v>
                </c:pt>
                <c:pt idx="78">
                  <c:v>361.25</c:v>
                </c:pt>
                <c:pt idx="79">
                  <c:v>358.13</c:v>
                </c:pt>
                <c:pt idx="80">
                  <c:v>357.5</c:v>
                </c:pt>
                <c:pt idx="81">
                  <c:v>355.38</c:v>
                </c:pt>
                <c:pt idx="82">
                  <c:v>354</c:v>
                </c:pt>
                <c:pt idx="83">
                  <c:v>353.75</c:v>
                </c:pt>
                <c:pt idx="84">
                  <c:v>358</c:v>
                </c:pt>
                <c:pt idx="85">
                  <c:v>354.3</c:v>
                </c:pt>
                <c:pt idx="86">
                  <c:v>348.88</c:v>
                </c:pt>
                <c:pt idx="87">
                  <c:v>340.78</c:v>
                </c:pt>
                <c:pt idx="88">
                  <c:v>335.38</c:v>
                </c:pt>
                <c:pt idx="89">
                  <c:v>334.89</c:v>
                </c:pt>
                <c:pt idx="90">
                  <c:v>333</c:v>
                </c:pt>
                <c:pt idx="91">
                  <c:v>330.63</c:v>
                </c:pt>
                <c:pt idx="92">
                  <c:v>335</c:v>
                </c:pt>
                <c:pt idx="93">
                  <c:v>330</c:v>
                </c:pt>
                <c:pt idx="94">
                  <c:v>326.33</c:v>
                </c:pt>
                <c:pt idx="95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1-4218-8381-FB87FDFF7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[14]报价及预中标!$N$1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-11.83</c:v>
                </c:pt>
                <c:pt idx="16">
                  <c:v>-11.83</c:v>
                </c:pt>
                <c:pt idx="17">
                  <c:v>-11.83</c:v>
                </c:pt>
                <c:pt idx="18">
                  <c:v>-11.83</c:v>
                </c:pt>
                <c:pt idx="19">
                  <c:v>-11.83</c:v>
                </c:pt>
                <c:pt idx="20">
                  <c:v>-11.83</c:v>
                </c:pt>
                <c:pt idx="21">
                  <c:v>-95</c:v>
                </c:pt>
                <c:pt idx="22">
                  <c:v>-95</c:v>
                </c:pt>
                <c:pt idx="23">
                  <c:v>-95</c:v>
                </c:pt>
                <c:pt idx="24">
                  <c:v>-95</c:v>
                </c:pt>
                <c:pt idx="25">
                  <c:v>-95</c:v>
                </c:pt>
                <c:pt idx="26">
                  <c:v>-95</c:v>
                </c:pt>
                <c:pt idx="27">
                  <c:v>-95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6.84</c:v>
                </c:pt>
                <c:pt idx="36">
                  <c:v>6.84</c:v>
                </c:pt>
                <c:pt idx="37">
                  <c:v>6.84</c:v>
                </c:pt>
                <c:pt idx="38">
                  <c:v>6.84</c:v>
                </c:pt>
                <c:pt idx="39">
                  <c:v>6.84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4-4082-B9DF-6E0C5C153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[14]报价及预中标!$J$1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[14]报价及预中标!$J$2:$J$97</c:f>
              <c:numCache>
                <c:formatCode>General</c:formatCode>
                <c:ptCount val="96"/>
                <c:pt idx="0">
                  <c:v>328</c:v>
                </c:pt>
                <c:pt idx="1">
                  <c:v>328</c:v>
                </c:pt>
                <c:pt idx="2">
                  <c:v>328</c:v>
                </c:pt>
                <c:pt idx="3">
                  <c:v>328</c:v>
                </c:pt>
                <c:pt idx="4">
                  <c:v>328</c:v>
                </c:pt>
                <c:pt idx="5">
                  <c:v>328</c:v>
                </c:pt>
                <c:pt idx="6">
                  <c:v>328</c:v>
                </c:pt>
                <c:pt idx="7">
                  <c:v>328</c:v>
                </c:pt>
                <c:pt idx="8">
                  <c:v>330</c:v>
                </c:pt>
                <c:pt idx="9">
                  <c:v>328.25</c:v>
                </c:pt>
                <c:pt idx="10">
                  <c:v>328</c:v>
                </c:pt>
                <c:pt idx="11">
                  <c:v>328</c:v>
                </c:pt>
                <c:pt idx="12">
                  <c:v>328</c:v>
                </c:pt>
                <c:pt idx="13">
                  <c:v>328</c:v>
                </c:pt>
                <c:pt idx="14">
                  <c:v>328</c:v>
                </c:pt>
                <c:pt idx="15">
                  <c:v>328</c:v>
                </c:pt>
                <c:pt idx="16">
                  <c:v>328</c:v>
                </c:pt>
                <c:pt idx="17">
                  <c:v>328</c:v>
                </c:pt>
                <c:pt idx="18">
                  <c:v>328</c:v>
                </c:pt>
                <c:pt idx="19">
                  <c:v>328</c:v>
                </c:pt>
                <c:pt idx="20">
                  <c:v>328</c:v>
                </c:pt>
                <c:pt idx="21">
                  <c:v>328</c:v>
                </c:pt>
                <c:pt idx="22">
                  <c:v>328</c:v>
                </c:pt>
                <c:pt idx="23">
                  <c:v>328</c:v>
                </c:pt>
                <c:pt idx="24">
                  <c:v>328</c:v>
                </c:pt>
                <c:pt idx="25">
                  <c:v>328</c:v>
                </c:pt>
                <c:pt idx="26">
                  <c:v>328</c:v>
                </c:pt>
                <c:pt idx="27">
                  <c:v>326</c:v>
                </c:pt>
                <c:pt idx="28">
                  <c:v>322</c:v>
                </c:pt>
                <c:pt idx="29">
                  <c:v>325.33</c:v>
                </c:pt>
                <c:pt idx="30">
                  <c:v>330.42</c:v>
                </c:pt>
                <c:pt idx="31">
                  <c:v>336.25</c:v>
                </c:pt>
                <c:pt idx="32">
                  <c:v>682.8</c:v>
                </c:pt>
                <c:pt idx="33">
                  <c:v>682.8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290</c:v>
                </c:pt>
                <c:pt idx="48">
                  <c:v>850</c:v>
                </c:pt>
                <c:pt idx="49">
                  <c:v>682.8</c:v>
                </c:pt>
                <c:pt idx="50">
                  <c:v>682.8</c:v>
                </c:pt>
                <c:pt idx="51">
                  <c:v>300</c:v>
                </c:pt>
                <c:pt idx="52">
                  <c:v>850</c:v>
                </c:pt>
                <c:pt idx="53">
                  <c:v>682.8</c:v>
                </c:pt>
                <c:pt idx="54">
                  <c:v>682.8</c:v>
                </c:pt>
                <c:pt idx="55">
                  <c:v>682.8</c:v>
                </c:pt>
                <c:pt idx="56">
                  <c:v>682.8</c:v>
                </c:pt>
                <c:pt idx="57">
                  <c:v>682.8</c:v>
                </c:pt>
                <c:pt idx="58">
                  <c:v>682.8</c:v>
                </c:pt>
                <c:pt idx="59">
                  <c:v>320</c:v>
                </c:pt>
                <c:pt idx="60">
                  <c:v>359.09</c:v>
                </c:pt>
                <c:pt idx="61">
                  <c:v>330.56</c:v>
                </c:pt>
                <c:pt idx="62">
                  <c:v>330.56</c:v>
                </c:pt>
                <c:pt idx="63">
                  <c:v>330.56</c:v>
                </c:pt>
                <c:pt idx="64">
                  <c:v>330.56</c:v>
                </c:pt>
                <c:pt idx="65">
                  <c:v>334</c:v>
                </c:pt>
                <c:pt idx="66">
                  <c:v>340</c:v>
                </c:pt>
                <c:pt idx="67">
                  <c:v>344.36</c:v>
                </c:pt>
                <c:pt idx="68">
                  <c:v>346</c:v>
                </c:pt>
                <c:pt idx="69">
                  <c:v>354</c:v>
                </c:pt>
                <c:pt idx="70">
                  <c:v>354</c:v>
                </c:pt>
                <c:pt idx="71">
                  <c:v>353</c:v>
                </c:pt>
                <c:pt idx="72">
                  <c:v>348.11</c:v>
                </c:pt>
                <c:pt idx="73">
                  <c:v>346.22</c:v>
                </c:pt>
                <c:pt idx="74">
                  <c:v>343.11</c:v>
                </c:pt>
                <c:pt idx="75">
                  <c:v>340.78</c:v>
                </c:pt>
                <c:pt idx="76">
                  <c:v>344</c:v>
                </c:pt>
                <c:pt idx="77">
                  <c:v>340</c:v>
                </c:pt>
                <c:pt idx="78">
                  <c:v>339.23</c:v>
                </c:pt>
                <c:pt idx="79">
                  <c:v>336</c:v>
                </c:pt>
                <c:pt idx="80">
                  <c:v>335.69</c:v>
                </c:pt>
                <c:pt idx="81">
                  <c:v>335</c:v>
                </c:pt>
                <c:pt idx="82">
                  <c:v>333.71</c:v>
                </c:pt>
                <c:pt idx="83">
                  <c:v>332.5</c:v>
                </c:pt>
                <c:pt idx="84">
                  <c:v>338</c:v>
                </c:pt>
                <c:pt idx="85">
                  <c:v>336</c:v>
                </c:pt>
                <c:pt idx="86">
                  <c:v>330</c:v>
                </c:pt>
                <c:pt idx="87">
                  <c:v>326.88</c:v>
                </c:pt>
                <c:pt idx="88">
                  <c:v>324</c:v>
                </c:pt>
                <c:pt idx="89">
                  <c:v>323.70999999999998</c:v>
                </c:pt>
                <c:pt idx="90">
                  <c:v>322</c:v>
                </c:pt>
                <c:pt idx="91">
                  <c:v>320</c:v>
                </c:pt>
                <c:pt idx="92">
                  <c:v>324</c:v>
                </c:pt>
                <c:pt idx="93">
                  <c:v>320</c:v>
                </c:pt>
                <c:pt idx="94">
                  <c:v>316</c:v>
                </c:pt>
                <c:pt idx="9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EC-446C-94F6-A43CCFD202B1}"/>
            </c:ext>
          </c:extLst>
        </c:ser>
        <c:ser>
          <c:idx val="1"/>
          <c:order val="1"/>
          <c:tx>
            <c:strRef>
              <c:f>[14]报价及预中标!$K$1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[14]报价及预中标!$I$2:$I$97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[14]报价及预中标!$K$2:$K$97</c:f>
              <c:numCache>
                <c:formatCode>General</c:formatCode>
                <c:ptCount val="96"/>
                <c:pt idx="0">
                  <c:v>328</c:v>
                </c:pt>
                <c:pt idx="1">
                  <c:v>328</c:v>
                </c:pt>
                <c:pt idx="2">
                  <c:v>328</c:v>
                </c:pt>
                <c:pt idx="3">
                  <c:v>328</c:v>
                </c:pt>
                <c:pt idx="4">
                  <c:v>328</c:v>
                </c:pt>
                <c:pt idx="5">
                  <c:v>328</c:v>
                </c:pt>
                <c:pt idx="6">
                  <c:v>328</c:v>
                </c:pt>
                <c:pt idx="7">
                  <c:v>328</c:v>
                </c:pt>
                <c:pt idx="8">
                  <c:v>330</c:v>
                </c:pt>
                <c:pt idx="9">
                  <c:v>328.25</c:v>
                </c:pt>
                <c:pt idx="10">
                  <c:v>328</c:v>
                </c:pt>
                <c:pt idx="11">
                  <c:v>328</c:v>
                </c:pt>
                <c:pt idx="12">
                  <c:v>328</c:v>
                </c:pt>
                <c:pt idx="13">
                  <c:v>328</c:v>
                </c:pt>
                <c:pt idx="14">
                  <c:v>328</c:v>
                </c:pt>
                <c:pt idx="15">
                  <c:v>328</c:v>
                </c:pt>
                <c:pt idx="16">
                  <c:v>328</c:v>
                </c:pt>
                <c:pt idx="17">
                  <c:v>328</c:v>
                </c:pt>
                <c:pt idx="18">
                  <c:v>328</c:v>
                </c:pt>
                <c:pt idx="19">
                  <c:v>328</c:v>
                </c:pt>
                <c:pt idx="20">
                  <c:v>328</c:v>
                </c:pt>
                <c:pt idx="21">
                  <c:v>328</c:v>
                </c:pt>
                <c:pt idx="22">
                  <c:v>328</c:v>
                </c:pt>
                <c:pt idx="23">
                  <c:v>328</c:v>
                </c:pt>
                <c:pt idx="24">
                  <c:v>328</c:v>
                </c:pt>
                <c:pt idx="25">
                  <c:v>328</c:v>
                </c:pt>
                <c:pt idx="26">
                  <c:v>328</c:v>
                </c:pt>
                <c:pt idx="27">
                  <c:v>326</c:v>
                </c:pt>
                <c:pt idx="28">
                  <c:v>322</c:v>
                </c:pt>
                <c:pt idx="29">
                  <c:v>325.33</c:v>
                </c:pt>
                <c:pt idx="30">
                  <c:v>330.42</c:v>
                </c:pt>
                <c:pt idx="31">
                  <c:v>336.25</c:v>
                </c:pt>
                <c:pt idx="32">
                  <c:v>682.8</c:v>
                </c:pt>
                <c:pt idx="33">
                  <c:v>682.8</c:v>
                </c:pt>
                <c:pt idx="34">
                  <c:v>1500</c:v>
                </c:pt>
                <c:pt idx="35">
                  <c:v>1500</c:v>
                </c:pt>
                <c:pt idx="36">
                  <c:v>1500</c:v>
                </c:pt>
                <c:pt idx="37">
                  <c:v>1500</c:v>
                </c:pt>
                <c:pt idx="38">
                  <c:v>1500</c:v>
                </c:pt>
                <c:pt idx="39">
                  <c:v>1500</c:v>
                </c:pt>
                <c:pt idx="40">
                  <c:v>1500</c:v>
                </c:pt>
                <c:pt idx="41">
                  <c:v>1500</c:v>
                </c:pt>
                <c:pt idx="42">
                  <c:v>1500</c:v>
                </c:pt>
                <c:pt idx="43">
                  <c:v>1500</c:v>
                </c:pt>
                <c:pt idx="44">
                  <c:v>1500</c:v>
                </c:pt>
                <c:pt idx="45">
                  <c:v>1500</c:v>
                </c:pt>
                <c:pt idx="46">
                  <c:v>1500</c:v>
                </c:pt>
                <c:pt idx="47">
                  <c:v>290</c:v>
                </c:pt>
                <c:pt idx="48">
                  <c:v>850</c:v>
                </c:pt>
                <c:pt idx="49">
                  <c:v>682.8</c:v>
                </c:pt>
                <c:pt idx="50">
                  <c:v>682.8</c:v>
                </c:pt>
                <c:pt idx="51">
                  <c:v>300</c:v>
                </c:pt>
                <c:pt idx="52">
                  <c:v>850</c:v>
                </c:pt>
                <c:pt idx="53">
                  <c:v>682.8</c:v>
                </c:pt>
                <c:pt idx="54">
                  <c:v>682.8</c:v>
                </c:pt>
                <c:pt idx="55">
                  <c:v>682.8</c:v>
                </c:pt>
                <c:pt idx="56">
                  <c:v>682.8</c:v>
                </c:pt>
                <c:pt idx="57">
                  <c:v>682.8</c:v>
                </c:pt>
                <c:pt idx="58">
                  <c:v>682.8</c:v>
                </c:pt>
                <c:pt idx="59">
                  <c:v>320</c:v>
                </c:pt>
                <c:pt idx="60">
                  <c:v>359.09</c:v>
                </c:pt>
                <c:pt idx="61">
                  <c:v>330.56</c:v>
                </c:pt>
                <c:pt idx="62">
                  <c:v>330.56</c:v>
                </c:pt>
                <c:pt idx="63">
                  <c:v>330.56</c:v>
                </c:pt>
                <c:pt idx="64">
                  <c:v>330.56</c:v>
                </c:pt>
                <c:pt idx="65">
                  <c:v>334</c:v>
                </c:pt>
                <c:pt idx="66">
                  <c:v>340</c:v>
                </c:pt>
                <c:pt idx="67">
                  <c:v>344.36</c:v>
                </c:pt>
                <c:pt idx="68">
                  <c:v>346</c:v>
                </c:pt>
                <c:pt idx="69">
                  <c:v>354</c:v>
                </c:pt>
                <c:pt idx="70">
                  <c:v>354</c:v>
                </c:pt>
                <c:pt idx="71">
                  <c:v>353</c:v>
                </c:pt>
                <c:pt idx="72">
                  <c:v>348.11</c:v>
                </c:pt>
                <c:pt idx="73">
                  <c:v>346.22</c:v>
                </c:pt>
                <c:pt idx="74">
                  <c:v>343.11</c:v>
                </c:pt>
                <c:pt idx="75">
                  <c:v>340.78</c:v>
                </c:pt>
                <c:pt idx="76">
                  <c:v>344</c:v>
                </c:pt>
                <c:pt idx="77">
                  <c:v>340</c:v>
                </c:pt>
                <c:pt idx="78">
                  <c:v>339.23</c:v>
                </c:pt>
                <c:pt idx="79">
                  <c:v>336</c:v>
                </c:pt>
                <c:pt idx="80">
                  <c:v>335.69</c:v>
                </c:pt>
                <c:pt idx="81">
                  <c:v>335</c:v>
                </c:pt>
                <c:pt idx="82">
                  <c:v>333.71</c:v>
                </c:pt>
                <c:pt idx="83">
                  <c:v>332.5</c:v>
                </c:pt>
                <c:pt idx="84">
                  <c:v>338</c:v>
                </c:pt>
                <c:pt idx="85">
                  <c:v>336</c:v>
                </c:pt>
                <c:pt idx="86">
                  <c:v>330</c:v>
                </c:pt>
                <c:pt idx="87">
                  <c:v>326.88</c:v>
                </c:pt>
                <c:pt idx="88">
                  <c:v>324</c:v>
                </c:pt>
                <c:pt idx="89">
                  <c:v>323.70999999999998</c:v>
                </c:pt>
                <c:pt idx="90">
                  <c:v>322</c:v>
                </c:pt>
                <c:pt idx="91">
                  <c:v>320</c:v>
                </c:pt>
                <c:pt idx="92">
                  <c:v>324</c:v>
                </c:pt>
                <c:pt idx="93">
                  <c:v>320</c:v>
                </c:pt>
                <c:pt idx="94">
                  <c:v>316</c:v>
                </c:pt>
                <c:pt idx="95">
                  <c:v>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EC-446C-94F6-A43CCFD20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-95</c:v>
                </c:pt>
                <c:pt idx="46">
                  <c:v>-95</c:v>
                </c:pt>
                <c:pt idx="47">
                  <c:v>-95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-95</c:v>
                </c:pt>
                <c:pt idx="52">
                  <c:v>-12.6</c:v>
                </c:pt>
                <c:pt idx="53">
                  <c:v>-12.6</c:v>
                </c:pt>
                <c:pt idx="54">
                  <c:v>-12.6</c:v>
                </c:pt>
                <c:pt idx="55">
                  <c:v>-12.6</c:v>
                </c:pt>
                <c:pt idx="56">
                  <c:v>-12.6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12.33</c:v>
                </c:pt>
                <c:pt idx="79">
                  <c:v>75.47</c:v>
                </c:pt>
                <c:pt idx="80">
                  <c:v>75.47</c:v>
                </c:pt>
                <c:pt idx="81">
                  <c:v>75.47</c:v>
                </c:pt>
                <c:pt idx="82">
                  <c:v>75.47</c:v>
                </c:pt>
                <c:pt idx="83">
                  <c:v>75.47</c:v>
                </c:pt>
                <c:pt idx="84">
                  <c:v>75.47</c:v>
                </c:pt>
                <c:pt idx="85">
                  <c:v>75.47</c:v>
                </c:pt>
                <c:pt idx="86">
                  <c:v>75.47</c:v>
                </c:pt>
                <c:pt idx="87">
                  <c:v>75.47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9-4707-9689-3224F7EA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[1]报价及预中标!$J$2:$J$97</c:f>
              <c:numCache>
                <c:formatCode>General</c:formatCode>
                <c:ptCount val="96"/>
                <c:pt idx="0">
                  <c:v>415.63</c:v>
                </c:pt>
                <c:pt idx="1">
                  <c:v>392.4</c:v>
                </c:pt>
                <c:pt idx="2">
                  <c:v>384.92</c:v>
                </c:pt>
                <c:pt idx="3">
                  <c:v>379.67</c:v>
                </c:pt>
                <c:pt idx="4">
                  <c:v>374</c:v>
                </c:pt>
                <c:pt idx="5">
                  <c:v>368.2</c:v>
                </c:pt>
                <c:pt idx="6">
                  <c:v>362</c:v>
                </c:pt>
                <c:pt idx="7">
                  <c:v>358.5</c:v>
                </c:pt>
                <c:pt idx="8">
                  <c:v>382</c:v>
                </c:pt>
                <c:pt idx="9">
                  <c:v>382</c:v>
                </c:pt>
                <c:pt idx="10">
                  <c:v>379.56</c:v>
                </c:pt>
                <c:pt idx="11">
                  <c:v>371.6</c:v>
                </c:pt>
                <c:pt idx="12">
                  <c:v>365.66</c:v>
                </c:pt>
                <c:pt idx="13">
                  <c:v>362</c:v>
                </c:pt>
                <c:pt idx="14">
                  <c:v>361.6</c:v>
                </c:pt>
                <c:pt idx="15">
                  <c:v>358.4</c:v>
                </c:pt>
                <c:pt idx="16">
                  <c:v>361.6</c:v>
                </c:pt>
                <c:pt idx="17">
                  <c:v>361.6</c:v>
                </c:pt>
                <c:pt idx="18">
                  <c:v>365.76</c:v>
                </c:pt>
                <c:pt idx="19">
                  <c:v>366.94</c:v>
                </c:pt>
                <c:pt idx="20">
                  <c:v>369.94</c:v>
                </c:pt>
                <c:pt idx="21">
                  <c:v>356</c:v>
                </c:pt>
                <c:pt idx="22">
                  <c:v>343.98</c:v>
                </c:pt>
                <c:pt idx="23">
                  <c:v>332</c:v>
                </c:pt>
                <c:pt idx="24">
                  <c:v>321</c:v>
                </c:pt>
                <c:pt idx="25">
                  <c:v>322</c:v>
                </c:pt>
                <c:pt idx="26">
                  <c:v>325</c:v>
                </c:pt>
                <c:pt idx="27">
                  <c:v>326.67</c:v>
                </c:pt>
                <c:pt idx="28">
                  <c:v>333.56</c:v>
                </c:pt>
                <c:pt idx="29">
                  <c:v>355.64</c:v>
                </c:pt>
                <c:pt idx="30">
                  <c:v>374</c:v>
                </c:pt>
                <c:pt idx="31">
                  <c:v>380</c:v>
                </c:pt>
                <c:pt idx="32">
                  <c:v>370.36</c:v>
                </c:pt>
                <c:pt idx="33">
                  <c:v>359.56</c:v>
                </c:pt>
                <c:pt idx="34">
                  <c:v>340</c:v>
                </c:pt>
                <c:pt idx="35">
                  <c:v>325</c:v>
                </c:pt>
                <c:pt idx="36">
                  <c:v>324.04000000000002</c:v>
                </c:pt>
                <c:pt idx="37">
                  <c:v>290</c:v>
                </c:pt>
                <c:pt idx="38">
                  <c:v>213.18</c:v>
                </c:pt>
                <c:pt idx="39">
                  <c:v>0</c:v>
                </c:pt>
                <c:pt idx="40">
                  <c:v>0</c:v>
                </c:pt>
                <c:pt idx="41">
                  <c:v>-26.8</c:v>
                </c:pt>
                <c:pt idx="42">
                  <c:v>-80</c:v>
                </c:pt>
                <c:pt idx="43">
                  <c:v>-80</c:v>
                </c:pt>
                <c:pt idx="44">
                  <c:v>-80.81</c:v>
                </c:pt>
                <c:pt idx="45">
                  <c:v>-80.81</c:v>
                </c:pt>
                <c:pt idx="46">
                  <c:v>-80.81</c:v>
                </c:pt>
                <c:pt idx="47">
                  <c:v>-80.81</c:v>
                </c:pt>
                <c:pt idx="48">
                  <c:v>-80.81</c:v>
                </c:pt>
                <c:pt idx="49">
                  <c:v>-80.81</c:v>
                </c:pt>
                <c:pt idx="50">
                  <c:v>-80.81</c:v>
                </c:pt>
                <c:pt idx="51">
                  <c:v>-80.81</c:v>
                </c:pt>
                <c:pt idx="52">
                  <c:v>-80.81</c:v>
                </c:pt>
                <c:pt idx="53">
                  <c:v>-80.81</c:v>
                </c:pt>
                <c:pt idx="54">
                  <c:v>-80.81</c:v>
                </c:pt>
                <c:pt idx="55">
                  <c:v>-80.81</c:v>
                </c:pt>
                <c:pt idx="56">
                  <c:v>-80.81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17.2</c:v>
                </c:pt>
                <c:pt idx="61">
                  <c:v>218</c:v>
                </c:pt>
                <c:pt idx="62">
                  <c:v>302</c:v>
                </c:pt>
                <c:pt idx="63">
                  <c:v>320.27999999999997</c:v>
                </c:pt>
                <c:pt idx="64">
                  <c:v>328.96</c:v>
                </c:pt>
                <c:pt idx="65">
                  <c:v>369.14</c:v>
                </c:pt>
                <c:pt idx="66">
                  <c:v>427</c:v>
                </c:pt>
                <c:pt idx="67">
                  <c:v>438</c:v>
                </c:pt>
                <c:pt idx="68">
                  <c:v>438</c:v>
                </c:pt>
                <c:pt idx="69">
                  <c:v>440.12</c:v>
                </c:pt>
                <c:pt idx="70">
                  <c:v>438.92</c:v>
                </c:pt>
                <c:pt idx="71">
                  <c:v>438.76</c:v>
                </c:pt>
                <c:pt idx="72">
                  <c:v>438.76</c:v>
                </c:pt>
                <c:pt idx="73">
                  <c:v>438.76</c:v>
                </c:pt>
                <c:pt idx="74">
                  <c:v>438.76</c:v>
                </c:pt>
                <c:pt idx="75">
                  <c:v>438.76</c:v>
                </c:pt>
                <c:pt idx="76">
                  <c:v>438.76</c:v>
                </c:pt>
                <c:pt idx="77">
                  <c:v>438.76</c:v>
                </c:pt>
                <c:pt idx="78">
                  <c:v>438.76</c:v>
                </c:pt>
                <c:pt idx="79">
                  <c:v>438.76</c:v>
                </c:pt>
                <c:pt idx="80">
                  <c:v>438.76</c:v>
                </c:pt>
                <c:pt idx="81">
                  <c:v>438.76</c:v>
                </c:pt>
                <c:pt idx="82">
                  <c:v>438.76</c:v>
                </c:pt>
                <c:pt idx="83">
                  <c:v>438.76</c:v>
                </c:pt>
                <c:pt idx="84">
                  <c:v>438.76</c:v>
                </c:pt>
                <c:pt idx="85">
                  <c:v>438.76</c:v>
                </c:pt>
                <c:pt idx="86">
                  <c:v>438.76</c:v>
                </c:pt>
                <c:pt idx="87">
                  <c:v>438.76</c:v>
                </c:pt>
                <c:pt idx="88">
                  <c:v>438.76</c:v>
                </c:pt>
                <c:pt idx="89">
                  <c:v>436</c:v>
                </c:pt>
                <c:pt idx="90">
                  <c:v>432</c:v>
                </c:pt>
                <c:pt idx="91">
                  <c:v>424</c:v>
                </c:pt>
                <c:pt idx="92">
                  <c:v>427</c:v>
                </c:pt>
                <c:pt idx="93">
                  <c:v>411.38</c:v>
                </c:pt>
                <c:pt idx="94">
                  <c:v>392.38</c:v>
                </c:pt>
                <c:pt idx="95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B1-4710-B593-692F2A93DAEF}"/>
            </c:ext>
          </c:extLst>
        </c:ser>
        <c:ser>
          <c:idx val="1"/>
          <c:order val="1"/>
          <c:tx>
            <c:strRef>
              <c:f>[1]报价及预中标!$K$1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[1]报价及预中标!$I$2:$I$97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[1]报价及预中标!$K$2:$K$97</c:f>
              <c:numCache>
                <c:formatCode>General</c:formatCode>
                <c:ptCount val="96"/>
                <c:pt idx="0">
                  <c:v>415.63</c:v>
                </c:pt>
                <c:pt idx="1">
                  <c:v>392.4</c:v>
                </c:pt>
                <c:pt idx="2">
                  <c:v>384.92</c:v>
                </c:pt>
                <c:pt idx="3">
                  <c:v>379.67</c:v>
                </c:pt>
                <c:pt idx="4">
                  <c:v>374</c:v>
                </c:pt>
                <c:pt idx="5">
                  <c:v>368.2</c:v>
                </c:pt>
                <c:pt idx="6">
                  <c:v>362</c:v>
                </c:pt>
                <c:pt idx="7">
                  <c:v>358.5</c:v>
                </c:pt>
                <c:pt idx="8">
                  <c:v>382</c:v>
                </c:pt>
                <c:pt idx="9">
                  <c:v>382</c:v>
                </c:pt>
                <c:pt idx="10">
                  <c:v>379.56</c:v>
                </c:pt>
                <c:pt idx="11">
                  <c:v>371.6</c:v>
                </c:pt>
                <c:pt idx="12">
                  <c:v>365.66</c:v>
                </c:pt>
                <c:pt idx="13">
                  <c:v>362</c:v>
                </c:pt>
                <c:pt idx="14">
                  <c:v>361.6</c:v>
                </c:pt>
                <c:pt idx="15">
                  <c:v>358.4</c:v>
                </c:pt>
                <c:pt idx="16">
                  <c:v>361.6</c:v>
                </c:pt>
                <c:pt idx="17">
                  <c:v>361.6</c:v>
                </c:pt>
                <c:pt idx="18">
                  <c:v>365.76</c:v>
                </c:pt>
                <c:pt idx="19">
                  <c:v>366.94</c:v>
                </c:pt>
                <c:pt idx="20">
                  <c:v>369.94</c:v>
                </c:pt>
                <c:pt idx="21">
                  <c:v>356</c:v>
                </c:pt>
                <c:pt idx="22">
                  <c:v>343.98</c:v>
                </c:pt>
                <c:pt idx="23">
                  <c:v>332</c:v>
                </c:pt>
                <c:pt idx="24">
                  <c:v>321</c:v>
                </c:pt>
                <c:pt idx="25">
                  <c:v>322</c:v>
                </c:pt>
                <c:pt idx="26">
                  <c:v>325</c:v>
                </c:pt>
                <c:pt idx="27">
                  <c:v>326.67</c:v>
                </c:pt>
                <c:pt idx="28">
                  <c:v>333.56</c:v>
                </c:pt>
                <c:pt idx="29">
                  <c:v>355.64</c:v>
                </c:pt>
                <c:pt idx="30">
                  <c:v>374</c:v>
                </c:pt>
                <c:pt idx="31">
                  <c:v>380</c:v>
                </c:pt>
                <c:pt idx="32">
                  <c:v>370.36</c:v>
                </c:pt>
                <c:pt idx="33">
                  <c:v>359.56</c:v>
                </c:pt>
                <c:pt idx="34">
                  <c:v>340</c:v>
                </c:pt>
                <c:pt idx="35">
                  <c:v>325</c:v>
                </c:pt>
                <c:pt idx="36">
                  <c:v>324.04000000000002</c:v>
                </c:pt>
                <c:pt idx="37">
                  <c:v>290</c:v>
                </c:pt>
                <c:pt idx="38">
                  <c:v>213.18</c:v>
                </c:pt>
                <c:pt idx="39">
                  <c:v>0</c:v>
                </c:pt>
                <c:pt idx="40">
                  <c:v>0</c:v>
                </c:pt>
                <c:pt idx="41">
                  <c:v>-26.8</c:v>
                </c:pt>
                <c:pt idx="42">
                  <c:v>-80</c:v>
                </c:pt>
                <c:pt idx="43">
                  <c:v>-80</c:v>
                </c:pt>
                <c:pt idx="44">
                  <c:v>-80.81</c:v>
                </c:pt>
                <c:pt idx="45">
                  <c:v>-80.81</c:v>
                </c:pt>
                <c:pt idx="46">
                  <c:v>-80.81</c:v>
                </c:pt>
                <c:pt idx="47">
                  <c:v>-80.81</c:v>
                </c:pt>
                <c:pt idx="48">
                  <c:v>-80.81</c:v>
                </c:pt>
                <c:pt idx="49">
                  <c:v>-80.81</c:v>
                </c:pt>
                <c:pt idx="50">
                  <c:v>-80.81</c:v>
                </c:pt>
                <c:pt idx="51">
                  <c:v>-80.81</c:v>
                </c:pt>
                <c:pt idx="52">
                  <c:v>-80.81</c:v>
                </c:pt>
                <c:pt idx="53">
                  <c:v>-80.81</c:v>
                </c:pt>
                <c:pt idx="54">
                  <c:v>-80.81</c:v>
                </c:pt>
                <c:pt idx="55">
                  <c:v>-80.81</c:v>
                </c:pt>
                <c:pt idx="56">
                  <c:v>-80.81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17.2</c:v>
                </c:pt>
                <c:pt idx="61">
                  <c:v>218</c:v>
                </c:pt>
                <c:pt idx="62">
                  <c:v>302</c:v>
                </c:pt>
                <c:pt idx="63">
                  <c:v>320.27999999999997</c:v>
                </c:pt>
                <c:pt idx="64">
                  <c:v>328.96</c:v>
                </c:pt>
                <c:pt idx="65">
                  <c:v>369.14</c:v>
                </c:pt>
                <c:pt idx="66">
                  <c:v>427</c:v>
                </c:pt>
                <c:pt idx="67">
                  <c:v>438</c:v>
                </c:pt>
                <c:pt idx="68">
                  <c:v>438</c:v>
                </c:pt>
                <c:pt idx="69">
                  <c:v>440.12</c:v>
                </c:pt>
                <c:pt idx="70">
                  <c:v>438.92</c:v>
                </c:pt>
                <c:pt idx="71">
                  <c:v>438.76</c:v>
                </c:pt>
                <c:pt idx="72">
                  <c:v>438.76</c:v>
                </c:pt>
                <c:pt idx="73">
                  <c:v>438.76</c:v>
                </c:pt>
                <c:pt idx="74">
                  <c:v>438.76</c:v>
                </c:pt>
                <c:pt idx="75">
                  <c:v>438.76</c:v>
                </c:pt>
                <c:pt idx="76">
                  <c:v>438.76</c:v>
                </c:pt>
                <c:pt idx="77">
                  <c:v>438.76</c:v>
                </c:pt>
                <c:pt idx="78">
                  <c:v>438.76</c:v>
                </c:pt>
                <c:pt idx="79">
                  <c:v>438.76</c:v>
                </c:pt>
                <c:pt idx="80">
                  <c:v>438.76</c:v>
                </c:pt>
                <c:pt idx="81">
                  <c:v>438.76</c:v>
                </c:pt>
                <c:pt idx="82">
                  <c:v>438.76</c:v>
                </c:pt>
                <c:pt idx="83">
                  <c:v>438.76</c:v>
                </c:pt>
                <c:pt idx="84">
                  <c:v>438.76</c:v>
                </c:pt>
                <c:pt idx="85">
                  <c:v>438.76</c:v>
                </c:pt>
                <c:pt idx="86">
                  <c:v>438.76</c:v>
                </c:pt>
                <c:pt idx="87">
                  <c:v>438.76</c:v>
                </c:pt>
                <c:pt idx="88">
                  <c:v>438.76</c:v>
                </c:pt>
                <c:pt idx="89">
                  <c:v>436</c:v>
                </c:pt>
                <c:pt idx="90">
                  <c:v>432</c:v>
                </c:pt>
                <c:pt idx="91">
                  <c:v>424</c:v>
                </c:pt>
                <c:pt idx="92">
                  <c:v>427</c:v>
                </c:pt>
                <c:pt idx="93">
                  <c:v>411.38</c:v>
                </c:pt>
                <c:pt idx="94">
                  <c:v>392.38</c:v>
                </c:pt>
                <c:pt idx="95">
                  <c:v>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B1-4710-B593-692F2A93D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0.3</c:v>
                </c:pt>
                <c:pt idx="57">
                  <c:v>0.3</c:v>
                </c:pt>
                <c:pt idx="58">
                  <c:v>0.3</c:v>
                </c:pt>
                <c:pt idx="59">
                  <c:v>0.3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1.7</c:v>
                </c:pt>
                <c:pt idx="81">
                  <c:v>1.7</c:v>
                </c:pt>
                <c:pt idx="82">
                  <c:v>1.7</c:v>
                </c:pt>
                <c:pt idx="83">
                  <c:v>1.7</c:v>
                </c:pt>
                <c:pt idx="84">
                  <c:v>1.7</c:v>
                </c:pt>
                <c:pt idx="85">
                  <c:v>1.7</c:v>
                </c:pt>
                <c:pt idx="86">
                  <c:v>1.7</c:v>
                </c:pt>
                <c:pt idx="87">
                  <c:v>1.7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1-4848-AA8D-3ADCFAC43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18" Type="http://schemas.openxmlformats.org/officeDocument/2006/relationships/chart" Target="../charts/chart20.xml"/><Relationship Id="rId26" Type="http://schemas.openxmlformats.org/officeDocument/2006/relationships/chart" Target="../charts/chart28.xml"/><Relationship Id="rId3" Type="http://schemas.openxmlformats.org/officeDocument/2006/relationships/chart" Target="../charts/chart5.xml"/><Relationship Id="rId21" Type="http://schemas.openxmlformats.org/officeDocument/2006/relationships/chart" Target="../charts/chart23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17" Type="http://schemas.openxmlformats.org/officeDocument/2006/relationships/chart" Target="../charts/chart19.xml"/><Relationship Id="rId25" Type="http://schemas.openxmlformats.org/officeDocument/2006/relationships/chart" Target="../charts/chart27.xml"/><Relationship Id="rId2" Type="http://schemas.openxmlformats.org/officeDocument/2006/relationships/chart" Target="../charts/chart4.xml"/><Relationship Id="rId16" Type="http://schemas.openxmlformats.org/officeDocument/2006/relationships/chart" Target="../charts/chart18.xml"/><Relationship Id="rId20" Type="http://schemas.openxmlformats.org/officeDocument/2006/relationships/chart" Target="../charts/chart22.xml"/><Relationship Id="rId29" Type="http://schemas.openxmlformats.org/officeDocument/2006/relationships/chart" Target="../charts/chart31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24" Type="http://schemas.openxmlformats.org/officeDocument/2006/relationships/chart" Target="../charts/chart26.xml"/><Relationship Id="rId5" Type="http://schemas.openxmlformats.org/officeDocument/2006/relationships/chart" Target="../charts/chart7.xml"/><Relationship Id="rId15" Type="http://schemas.openxmlformats.org/officeDocument/2006/relationships/chart" Target="../charts/chart17.xml"/><Relationship Id="rId23" Type="http://schemas.openxmlformats.org/officeDocument/2006/relationships/chart" Target="../charts/chart25.xml"/><Relationship Id="rId28" Type="http://schemas.openxmlformats.org/officeDocument/2006/relationships/chart" Target="../charts/chart30.xml"/><Relationship Id="rId10" Type="http://schemas.openxmlformats.org/officeDocument/2006/relationships/chart" Target="../charts/chart12.xml"/><Relationship Id="rId19" Type="http://schemas.openxmlformats.org/officeDocument/2006/relationships/chart" Target="../charts/chart21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Relationship Id="rId22" Type="http://schemas.openxmlformats.org/officeDocument/2006/relationships/chart" Target="../charts/chart24.xml"/><Relationship Id="rId27" Type="http://schemas.openxmlformats.org/officeDocument/2006/relationships/chart" Target="../charts/chart29.xml"/><Relationship Id="rId30" Type="http://schemas.openxmlformats.org/officeDocument/2006/relationships/chart" Target="../charts/chart3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1013460</xdr:colOff>
      <xdr:row>4</xdr:row>
      <xdr:rowOff>87630</xdr:rowOff>
    </xdr:from>
    <xdr:to>
      <xdr:col>27</xdr:col>
      <xdr:colOff>533400</xdr:colOff>
      <xdr:row>20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251460</xdr:colOff>
      <xdr:row>4</xdr:row>
      <xdr:rowOff>148590</xdr:rowOff>
    </xdr:from>
    <xdr:to>
      <xdr:col>35</xdr:col>
      <xdr:colOff>388620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498230</xdr:colOff>
      <xdr:row>6</xdr:row>
      <xdr:rowOff>114299</xdr:rowOff>
    </xdr:from>
    <xdr:to>
      <xdr:col>15</xdr:col>
      <xdr:colOff>480645</xdr:colOff>
      <xdr:row>20</xdr:row>
      <xdr:rowOff>149469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M16" sqref="M16"/>
    </sheetView>
  </sheetViews>
  <sheetFormatPr defaultColWidth="9" defaultRowHeight="13.8"/>
  <cols>
    <col min="1" max="17" width="11.77734375" style="72" customWidth="1"/>
  </cols>
  <sheetData>
    <row r="1" spans="1:18">
      <c r="A1" s="108" t="s">
        <v>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6"/>
    </row>
    <row r="2" spans="1:18" ht="20.399999999999999" customHeight="1">
      <c r="A2" s="104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6"/>
      <c r="L2" s="107" t="s">
        <v>2</v>
      </c>
      <c r="M2" s="105"/>
      <c r="N2" s="106"/>
      <c r="O2" s="37" t="s">
        <v>3</v>
      </c>
      <c r="P2" s="109" t="s">
        <v>4</v>
      </c>
      <c r="Q2" s="106"/>
      <c r="R2" s="89"/>
    </row>
    <row r="3" spans="1:18" ht="27.6" customHeight="1">
      <c r="A3" s="29" t="s">
        <v>5</v>
      </c>
      <c r="B3" s="29" t="s">
        <v>6</v>
      </c>
      <c r="C3" s="29" t="s">
        <v>7</v>
      </c>
      <c r="D3" s="29" t="s">
        <v>8</v>
      </c>
      <c r="E3" s="29" t="s">
        <v>9</v>
      </c>
      <c r="F3" s="29" t="s">
        <v>10</v>
      </c>
      <c r="G3" s="29" t="s">
        <v>11</v>
      </c>
      <c r="H3" s="29" t="s">
        <v>12</v>
      </c>
      <c r="I3" s="29" t="s">
        <v>13</v>
      </c>
      <c r="J3" s="29" t="s">
        <v>14</v>
      </c>
      <c r="K3" s="29" t="s">
        <v>15</v>
      </c>
      <c r="L3" s="33" t="s">
        <v>16</v>
      </c>
      <c r="M3" s="33" t="s">
        <v>17</v>
      </c>
      <c r="N3" s="33" t="s">
        <v>18</v>
      </c>
      <c r="O3" s="37" t="s">
        <v>19</v>
      </c>
      <c r="P3" s="90" t="s">
        <v>20</v>
      </c>
      <c r="Q3" s="39" t="s">
        <v>21</v>
      </c>
    </row>
    <row r="4" spans="1:18" ht="22.2" customHeight="1">
      <c r="A4" s="30">
        <f>充电日清算费用!AA29</f>
        <v>-70.566573458735988</v>
      </c>
      <c r="B4" s="30">
        <f>-充电日清算费用!Z29</f>
        <v>-193.51</v>
      </c>
      <c r="C4" s="30">
        <f>-充电日清算费用!AB29</f>
        <v>13655.33763</v>
      </c>
      <c r="D4" s="30">
        <f>$B$4*I12</f>
        <v>-677.28499999999997</v>
      </c>
      <c r="E4" s="30">
        <f>$B$4*I13</f>
        <v>-638.58299999999997</v>
      </c>
      <c r="F4" s="30">
        <f>B4*(1-P4)*I8</f>
        <v>-6056.3640000000023</v>
      </c>
      <c r="G4" s="30">
        <f>B4*(1-P4)*I9</f>
        <v>-857.42208000000028</v>
      </c>
      <c r="H4" s="30">
        <f>$B$4*I14</f>
        <v>561.17899999999997</v>
      </c>
      <c r="I4" s="30">
        <f>B4*J4*70.5</f>
        <v>-1585.9062302739464</v>
      </c>
      <c r="J4" s="30">
        <v>0.1162478623</v>
      </c>
      <c r="K4" s="34">
        <f>C4+D4+E4+F4+G4+H4+I4</f>
        <v>4400.9563197260504</v>
      </c>
      <c r="L4" s="30">
        <f>放电日清算费用!P101</f>
        <v>615.33888958320472</v>
      </c>
      <c r="M4" s="30">
        <f>放电日清算费用!AJ101</f>
        <v>161.94999999999999</v>
      </c>
      <c r="N4" s="34">
        <f>放电日清算费用!AK101</f>
        <v>99652.853168000001</v>
      </c>
      <c r="O4" s="34">
        <f>N4+K4</f>
        <v>104053.80948772604</v>
      </c>
      <c r="P4" s="38">
        <f>-M4/B4</f>
        <v>0.83690765335124795</v>
      </c>
      <c r="Q4" s="30">
        <f>L4-A4</f>
        <v>685.90546304194072</v>
      </c>
    </row>
    <row r="6" spans="1:18">
      <c r="A6" s="42" t="s">
        <v>22</v>
      </c>
      <c r="B6" s="31" t="s">
        <v>23</v>
      </c>
      <c r="C6" s="31"/>
      <c r="K6" s="35" t="str">
        <f>K3</f>
        <v>充电总
费用(元)</v>
      </c>
      <c r="N6" s="89" t="s">
        <v>24</v>
      </c>
      <c r="O6" s="95">
        <f>N4+C4</f>
        <v>113308.190798</v>
      </c>
    </row>
    <row r="7" spans="1:18">
      <c r="A7" s="42">
        <v>1</v>
      </c>
      <c r="B7" s="32" t="s">
        <v>25</v>
      </c>
      <c r="C7" s="32"/>
      <c r="K7" t="str">
        <f>C3</f>
        <v>交易充电
费用(元)</v>
      </c>
      <c r="N7" s="89" t="s">
        <v>26</v>
      </c>
      <c r="O7" s="95">
        <f>放电日清算费用!AE101</f>
        <v>0</v>
      </c>
    </row>
    <row r="8" spans="1:18">
      <c r="A8" s="42">
        <v>2</v>
      </c>
      <c r="B8" s="32" t="s">
        <v>27</v>
      </c>
      <c r="C8" s="32"/>
      <c r="I8" s="36">
        <v>191.9</v>
      </c>
      <c r="J8" t="s">
        <v>28</v>
      </c>
      <c r="K8" t="str">
        <f>D3</f>
        <v>优发优购(元)</v>
      </c>
      <c r="N8" s="89" t="s">
        <v>29</v>
      </c>
      <c r="O8" s="95">
        <f>O6-O7</f>
        <v>113308.190798</v>
      </c>
    </row>
    <row r="9" spans="1:18">
      <c r="A9" s="42">
        <v>3</v>
      </c>
      <c r="B9" s="32" t="s">
        <v>30</v>
      </c>
      <c r="C9" s="32"/>
      <c r="I9" s="36">
        <v>27.167999999999999</v>
      </c>
      <c r="J9" t="s">
        <v>28</v>
      </c>
      <c r="K9" t="str">
        <f>E3</f>
        <v>上网线损(元)</v>
      </c>
    </row>
    <row r="10" spans="1:18">
      <c r="A10" s="42">
        <v>4</v>
      </c>
      <c r="B10" s="32" t="s">
        <v>31</v>
      </c>
      <c r="C10" s="32"/>
      <c r="K10" t="str">
        <f>F3</f>
        <v>输配电费(元)</v>
      </c>
    </row>
    <row r="11" spans="1:18">
      <c r="A11" s="42">
        <v>5</v>
      </c>
      <c r="B11" s="32" t="s">
        <v>32</v>
      </c>
      <c r="C11" s="32"/>
      <c r="K11" t="str">
        <f>G3</f>
        <v>政府基金(元)</v>
      </c>
    </row>
    <row r="12" spans="1:18">
      <c r="A12" s="42">
        <v>6</v>
      </c>
      <c r="B12" s="32" t="s">
        <v>33</v>
      </c>
      <c r="C12" s="32"/>
      <c r="I12" s="36">
        <v>3.5</v>
      </c>
      <c r="J12" t="s">
        <v>34</v>
      </c>
      <c r="K12" t="str">
        <f>H3</f>
        <v>系统运行(元)</v>
      </c>
    </row>
    <row r="13" spans="1:18">
      <c r="A13" s="42">
        <v>7</v>
      </c>
      <c r="B13" s="32" t="s">
        <v>35</v>
      </c>
      <c r="C13" s="32"/>
      <c r="I13" s="36">
        <v>3.3</v>
      </c>
      <c r="J13" t="s">
        <v>34</v>
      </c>
      <c r="K13" t="str">
        <f>I3</f>
        <v>容量分摊(元)</v>
      </c>
    </row>
    <row r="14" spans="1:18">
      <c r="A14" s="42">
        <v>8</v>
      </c>
      <c r="B14" s="32" t="s">
        <v>36</v>
      </c>
      <c r="C14" s="32"/>
      <c r="I14" s="36">
        <v>-2.9</v>
      </c>
      <c r="J14" t="s">
        <v>34</v>
      </c>
    </row>
    <row r="15" spans="1:18">
      <c r="A15" s="42">
        <v>9</v>
      </c>
      <c r="B15" s="32" t="s">
        <v>37</v>
      </c>
      <c r="C15" s="32"/>
      <c r="M15" s="89"/>
      <c r="N15" s="88"/>
    </row>
    <row r="16" spans="1:18">
      <c r="A16" s="42">
        <v>10</v>
      </c>
      <c r="B16" s="32" t="s">
        <v>38</v>
      </c>
      <c r="C16" s="32"/>
      <c r="N16" s="42"/>
      <c r="O16" s="42"/>
    </row>
    <row r="17" spans="13:16">
      <c r="N17" s="42"/>
      <c r="O17" s="42"/>
    </row>
    <row r="18" spans="13:16">
      <c r="N18" s="42"/>
      <c r="O18" s="42"/>
    </row>
    <row r="19" spans="13:16">
      <c r="N19" s="96"/>
      <c r="O19" s="42"/>
      <c r="P19" s="89"/>
    </row>
    <row r="20" spans="13:16">
      <c r="M20" s="89"/>
      <c r="N20" s="96"/>
      <c r="O20" s="42"/>
    </row>
    <row r="21" spans="13:16">
      <c r="N21" s="42"/>
      <c r="O21" s="42"/>
    </row>
  </sheetData>
  <mergeCells count="4">
    <mergeCell ref="A2:K2"/>
    <mergeCell ref="L2:N2"/>
    <mergeCell ref="A1:Q1"/>
    <mergeCell ref="P2:Q2"/>
  </mergeCells>
  <phoneticPr fontId="7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9"/>
  <sheetViews>
    <sheetView topLeftCell="U3" workbookViewId="0">
      <selection activeCell="U3" sqref="A1:XFD1048576"/>
    </sheetView>
  </sheetViews>
  <sheetFormatPr defaultColWidth="9.77734375" defaultRowHeight="13.8"/>
  <cols>
    <col min="1" max="7" width="18" style="59" customWidth="1"/>
    <col min="8" max="8" width="20.6640625" style="59" customWidth="1"/>
    <col min="9" max="11" width="18" style="59" customWidth="1"/>
    <col min="12" max="12" width="26" style="59" customWidth="1"/>
    <col min="13" max="15" width="18" style="59" customWidth="1"/>
    <col min="16" max="16" width="20.6640625" style="59" customWidth="1"/>
    <col min="17" max="19" width="18" style="59" customWidth="1"/>
    <col min="20" max="20" width="20.6640625" style="59" customWidth="1"/>
    <col min="21" max="22" width="18" style="59" customWidth="1"/>
    <col min="23" max="25" width="18.88671875" style="59" customWidth="1"/>
    <col min="26" max="27" width="18" style="59" customWidth="1"/>
    <col min="28" max="28" width="25.109375" style="59" customWidth="1"/>
    <col min="29" max="29" width="10.21875" style="59" customWidth="1"/>
    <col min="30" max="40" width="9.77734375" style="59" customWidth="1"/>
    <col min="41" max="16384" width="9.77734375" style="59"/>
  </cols>
  <sheetData>
    <row r="1" spans="1:28" ht="22.65" customHeight="1">
      <c r="A1" s="70"/>
      <c r="B1" s="70"/>
      <c r="C1" s="91"/>
      <c r="D1" s="91"/>
      <c r="E1" s="91"/>
      <c r="F1" s="118" t="s">
        <v>39</v>
      </c>
      <c r="G1" s="117"/>
      <c r="H1" s="117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</row>
    <row r="2" spans="1:28" ht="22.65" customHeight="1">
      <c r="A2" s="116" t="s">
        <v>40</v>
      </c>
      <c r="B2" s="117"/>
      <c r="C2" s="117"/>
      <c r="D2" s="117"/>
      <c r="E2" s="117"/>
      <c r="F2" s="70"/>
      <c r="G2" s="91"/>
      <c r="H2" s="70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63" t="s">
        <v>41</v>
      </c>
    </row>
    <row r="3" spans="1:28" ht="16.5" customHeight="1">
      <c r="A3" s="113" t="s">
        <v>42</v>
      </c>
      <c r="B3" s="119"/>
      <c r="C3" s="113" t="s">
        <v>43</v>
      </c>
      <c r="D3" s="114"/>
      <c r="E3" s="111"/>
      <c r="F3" s="113" t="s">
        <v>44</v>
      </c>
      <c r="G3" s="114"/>
      <c r="H3" s="114"/>
      <c r="I3" s="111"/>
      <c r="J3" s="113" t="s">
        <v>45</v>
      </c>
      <c r="K3" s="114"/>
      <c r="L3" s="114"/>
      <c r="M3" s="111"/>
      <c r="N3" s="115" t="s">
        <v>46</v>
      </c>
      <c r="O3" s="114"/>
      <c r="P3" s="114"/>
      <c r="Q3" s="114"/>
      <c r="R3" s="114"/>
      <c r="S3" s="114"/>
      <c r="T3" s="114"/>
      <c r="U3" s="111"/>
      <c r="V3" s="115" t="s">
        <v>47</v>
      </c>
      <c r="W3" s="111"/>
      <c r="X3" s="97" t="s">
        <v>48</v>
      </c>
      <c r="Y3" s="97" t="s">
        <v>49</v>
      </c>
      <c r="Z3" s="113" t="s">
        <v>50</v>
      </c>
      <c r="AA3" s="114"/>
      <c r="AB3" s="111"/>
    </row>
    <row r="4" spans="1:28" ht="21.15" customHeight="1">
      <c r="A4" s="120"/>
      <c r="B4" s="121"/>
      <c r="C4" s="64" t="s">
        <v>51</v>
      </c>
      <c r="D4" s="64" t="s">
        <v>52</v>
      </c>
      <c r="E4" s="64" t="s">
        <v>53</v>
      </c>
      <c r="F4" s="64" t="s">
        <v>54</v>
      </c>
      <c r="G4" s="64" t="s">
        <v>55</v>
      </c>
      <c r="H4" s="64" t="s">
        <v>56</v>
      </c>
      <c r="I4" s="64" t="s">
        <v>57</v>
      </c>
      <c r="J4" s="64" t="s">
        <v>58</v>
      </c>
      <c r="K4" s="64" t="s">
        <v>59</v>
      </c>
      <c r="L4" s="64" t="s">
        <v>60</v>
      </c>
      <c r="M4" s="64" t="s">
        <v>61</v>
      </c>
      <c r="N4" s="64" t="s">
        <v>62</v>
      </c>
      <c r="O4" s="64" t="s">
        <v>63</v>
      </c>
      <c r="P4" s="64" t="s">
        <v>56</v>
      </c>
      <c r="Q4" s="64" t="s">
        <v>64</v>
      </c>
      <c r="R4" s="64" t="s">
        <v>65</v>
      </c>
      <c r="S4" s="64" t="s">
        <v>66</v>
      </c>
      <c r="T4" s="64" t="s">
        <v>56</v>
      </c>
      <c r="U4" s="64" t="s">
        <v>67</v>
      </c>
      <c r="V4" s="98" t="s">
        <v>68</v>
      </c>
      <c r="W4" s="98" t="s">
        <v>69</v>
      </c>
      <c r="X4" s="98" t="s">
        <v>70</v>
      </c>
      <c r="Y4" s="98" t="s">
        <v>71</v>
      </c>
      <c r="Z4" s="64" t="s">
        <v>72</v>
      </c>
      <c r="AA4" s="64" t="s">
        <v>73</v>
      </c>
      <c r="AB4" s="64" t="s">
        <v>74</v>
      </c>
    </row>
    <row r="5" spans="1:28" ht="14.25" customHeight="1">
      <c r="A5" s="112" t="s">
        <v>75</v>
      </c>
      <c r="B5" s="111"/>
      <c r="C5" s="99">
        <v>0.26400000000000001</v>
      </c>
      <c r="D5" s="99">
        <v>442.72199999999998</v>
      </c>
      <c r="E5" s="68">
        <v>116.878608</v>
      </c>
      <c r="F5" s="99">
        <v>0</v>
      </c>
      <c r="G5" s="99">
        <v>0</v>
      </c>
      <c r="H5" s="99">
        <v>442.72199999999998</v>
      </c>
      <c r="I5" s="68">
        <v>0</v>
      </c>
      <c r="J5" s="99">
        <v>0</v>
      </c>
      <c r="K5" s="99">
        <v>0</v>
      </c>
      <c r="L5" s="99">
        <v>0</v>
      </c>
      <c r="M5" s="68">
        <v>0</v>
      </c>
      <c r="N5" s="99">
        <v>0</v>
      </c>
      <c r="O5" s="68">
        <v>0</v>
      </c>
      <c r="P5" s="99">
        <v>442.72199999999998</v>
      </c>
      <c r="Q5" s="68">
        <v>0</v>
      </c>
      <c r="R5" s="99">
        <v>0</v>
      </c>
      <c r="S5" s="68">
        <v>0</v>
      </c>
      <c r="T5" s="99">
        <v>442.72199999999998</v>
      </c>
      <c r="U5" s="68">
        <v>0</v>
      </c>
      <c r="V5" s="68">
        <v>0</v>
      </c>
      <c r="W5" s="68">
        <v>0</v>
      </c>
      <c r="X5" s="68">
        <v>0</v>
      </c>
      <c r="Y5" s="68">
        <v>0</v>
      </c>
      <c r="Z5" s="99">
        <v>0.26400000000000001</v>
      </c>
      <c r="AA5" s="99">
        <v>442.72199999999998</v>
      </c>
      <c r="AB5" s="68">
        <v>116.878608</v>
      </c>
    </row>
    <row r="6" spans="1:28" ht="14.25" customHeight="1">
      <c r="A6" s="110" t="s">
        <v>76</v>
      </c>
      <c r="B6" s="111"/>
      <c r="C6" s="98">
        <v>0.26400000000000001</v>
      </c>
      <c r="D6" s="98">
        <v>413.02</v>
      </c>
      <c r="E6" s="65">
        <v>109.03728</v>
      </c>
      <c r="F6" s="98">
        <v>0</v>
      </c>
      <c r="G6" s="98">
        <v>0</v>
      </c>
      <c r="H6" s="98">
        <v>413.02</v>
      </c>
      <c r="I6" s="65">
        <v>0</v>
      </c>
      <c r="J6" s="98">
        <v>0</v>
      </c>
      <c r="K6" s="98">
        <v>0</v>
      </c>
      <c r="L6" s="98">
        <v>0</v>
      </c>
      <c r="M6" s="65">
        <v>0</v>
      </c>
      <c r="N6" s="98">
        <v>0</v>
      </c>
      <c r="O6" s="65">
        <v>0</v>
      </c>
      <c r="P6" s="98">
        <v>413.02</v>
      </c>
      <c r="Q6" s="65">
        <v>0</v>
      </c>
      <c r="R6" s="98">
        <v>0</v>
      </c>
      <c r="S6" s="65">
        <v>0</v>
      </c>
      <c r="T6" s="98">
        <v>413.02</v>
      </c>
      <c r="U6" s="65">
        <v>0</v>
      </c>
      <c r="V6" s="65">
        <v>0</v>
      </c>
      <c r="W6" s="65">
        <v>0</v>
      </c>
      <c r="X6" s="65">
        <v>0</v>
      </c>
      <c r="Y6" s="65">
        <v>0</v>
      </c>
      <c r="Z6" s="98">
        <v>0.26400000000000001</v>
      </c>
      <c r="AA6" s="98">
        <v>413.02</v>
      </c>
      <c r="AB6" s="65">
        <v>109.03728</v>
      </c>
    </row>
    <row r="7" spans="1:28" ht="14.25" customHeight="1">
      <c r="A7" s="112" t="s">
        <v>77</v>
      </c>
      <c r="B7" s="111"/>
      <c r="C7" s="99">
        <v>0.35199999999999998</v>
      </c>
      <c r="D7" s="99">
        <v>392.87</v>
      </c>
      <c r="E7" s="68">
        <v>138.29024000000001</v>
      </c>
      <c r="F7" s="99">
        <v>0</v>
      </c>
      <c r="G7" s="99">
        <v>0</v>
      </c>
      <c r="H7" s="99">
        <v>392.87</v>
      </c>
      <c r="I7" s="68">
        <v>0</v>
      </c>
      <c r="J7" s="99">
        <v>0</v>
      </c>
      <c r="K7" s="99">
        <v>0</v>
      </c>
      <c r="L7" s="99">
        <v>0</v>
      </c>
      <c r="M7" s="68">
        <v>0</v>
      </c>
      <c r="N7" s="99">
        <v>0</v>
      </c>
      <c r="O7" s="68">
        <v>0</v>
      </c>
      <c r="P7" s="99">
        <v>392.87</v>
      </c>
      <c r="Q7" s="68">
        <v>0</v>
      </c>
      <c r="R7" s="99">
        <v>0</v>
      </c>
      <c r="S7" s="68">
        <v>0</v>
      </c>
      <c r="T7" s="99">
        <v>392.87</v>
      </c>
      <c r="U7" s="68">
        <v>0</v>
      </c>
      <c r="V7" s="68">
        <v>0</v>
      </c>
      <c r="W7" s="68">
        <v>0</v>
      </c>
      <c r="X7" s="68">
        <v>0</v>
      </c>
      <c r="Y7" s="68">
        <v>0</v>
      </c>
      <c r="Z7" s="99">
        <v>0.35199999999999998</v>
      </c>
      <c r="AA7" s="99">
        <v>392.87</v>
      </c>
      <c r="AB7" s="68">
        <v>138.29024000000001</v>
      </c>
    </row>
    <row r="8" spans="1:28" ht="14.25" customHeight="1">
      <c r="A8" s="110" t="s">
        <v>78</v>
      </c>
      <c r="B8" s="111"/>
      <c r="C8" s="98">
        <v>0.26400000000000001</v>
      </c>
      <c r="D8" s="98">
        <v>374.35</v>
      </c>
      <c r="E8" s="65">
        <v>98.828400000000002</v>
      </c>
      <c r="F8" s="98">
        <v>0</v>
      </c>
      <c r="G8" s="98">
        <v>0</v>
      </c>
      <c r="H8" s="98">
        <v>374.35</v>
      </c>
      <c r="I8" s="65">
        <v>0</v>
      </c>
      <c r="J8" s="98">
        <v>0</v>
      </c>
      <c r="K8" s="98">
        <v>0</v>
      </c>
      <c r="L8" s="98">
        <v>0</v>
      </c>
      <c r="M8" s="65">
        <v>0</v>
      </c>
      <c r="N8" s="98">
        <v>0</v>
      </c>
      <c r="O8" s="65">
        <v>0</v>
      </c>
      <c r="P8" s="98">
        <v>374.35</v>
      </c>
      <c r="Q8" s="65">
        <v>0</v>
      </c>
      <c r="R8" s="98">
        <v>0</v>
      </c>
      <c r="S8" s="65">
        <v>0</v>
      </c>
      <c r="T8" s="98">
        <v>374.35</v>
      </c>
      <c r="U8" s="65">
        <v>0</v>
      </c>
      <c r="V8" s="65">
        <v>0</v>
      </c>
      <c r="W8" s="65">
        <v>0</v>
      </c>
      <c r="X8" s="65">
        <v>0</v>
      </c>
      <c r="Y8" s="65">
        <v>0</v>
      </c>
      <c r="Z8" s="98">
        <v>0.26400000000000001</v>
      </c>
      <c r="AA8" s="98">
        <v>374.35</v>
      </c>
      <c r="AB8" s="65">
        <v>98.828400000000002</v>
      </c>
    </row>
    <row r="9" spans="1:28" ht="14.25" customHeight="1">
      <c r="A9" s="112" t="s">
        <v>79</v>
      </c>
      <c r="B9" s="111"/>
      <c r="C9" s="99">
        <v>0.26400000000000001</v>
      </c>
      <c r="D9" s="99">
        <v>391.84</v>
      </c>
      <c r="E9" s="68">
        <v>103.44576000000001</v>
      </c>
      <c r="F9" s="99">
        <v>0</v>
      </c>
      <c r="G9" s="99">
        <v>0</v>
      </c>
      <c r="H9" s="99">
        <v>391.84</v>
      </c>
      <c r="I9" s="68">
        <v>0</v>
      </c>
      <c r="J9" s="99">
        <v>0</v>
      </c>
      <c r="K9" s="99">
        <v>0</v>
      </c>
      <c r="L9" s="99">
        <v>0</v>
      </c>
      <c r="M9" s="68">
        <v>0</v>
      </c>
      <c r="N9" s="99">
        <v>0</v>
      </c>
      <c r="O9" s="68">
        <v>0</v>
      </c>
      <c r="P9" s="99">
        <v>391.84</v>
      </c>
      <c r="Q9" s="68">
        <v>0</v>
      </c>
      <c r="R9" s="99">
        <v>0</v>
      </c>
      <c r="S9" s="68">
        <v>0</v>
      </c>
      <c r="T9" s="99">
        <v>391.84</v>
      </c>
      <c r="U9" s="68">
        <v>0</v>
      </c>
      <c r="V9" s="68">
        <v>0</v>
      </c>
      <c r="W9" s="68">
        <v>0</v>
      </c>
      <c r="X9" s="68">
        <v>0</v>
      </c>
      <c r="Y9" s="68">
        <v>0</v>
      </c>
      <c r="Z9" s="99">
        <v>0.26400000000000001</v>
      </c>
      <c r="AA9" s="99">
        <v>391.84</v>
      </c>
      <c r="AB9" s="68">
        <v>103.44576000000001</v>
      </c>
    </row>
    <row r="10" spans="1:28" ht="14.25" customHeight="1">
      <c r="A10" s="110" t="s">
        <v>80</v>
      </c>
      <c r="B10" s="111"/>
      <c r="C10" s="98">
        <v>0.26400000000000001</v>
      </c>
      <c r="D10" s="98">
        <v>392.15</v>
      </c>
      <c r="E10" s="65">
        <v>103.52760000000001</v>
      </c>
      <c r="F10" s="98">
        <v>0</v>
      </c>
      <c r="G10" s="98">
        <v>0</v>
      </c>
      <c r="H10" s="98">
        <v>392.15</v>
      </c>
      <c r="I10" s="65">
        <v>0</v>
      </c>
      <c r="J10" s="98">
        <v>0</v>
      </c>
      <c r="K10" s="98">
        <v>0</v>
      </c>
      <c r="L10" s="98">
        <v>0</v>
      </c>
      <c r="M10" s="65">
        <v>0</v>
      </c>
      <c r="N10" s="98">
        <v>0</v>
      </c>
      <c r="O10" s="65">
        <v>0</v>
      </c>
      <c r="P10" s="98">
        <v>392.15</v>
      </c>
      <c r="Q10" s="65">
        <v>0</v>
      </c>
      <c r="R10" s="98">
        <v>0</v>
      </c>
      <c r="S10" s="65">
        <v>0</v>
      </c>
      <c r="T10" s="98">
        <v>392.15</v>
      </c>
      <c r="U10" s="65">
        <v>0</v>
      </c>
      <c r="V10" s="65">
        <v>0</v>
      </c>
      <c r="W10" s="65">
        <v>0</v>
      </c>
      <c r="X10" s="65">
        <v>0</v>
      </c>
      <c r="Y10" s="65">
        <v>0</v>
      </c>
      <c r="Z10" s="98">
        <v>0.26400000000000001</v>
      </c>
      <c r="AA10" s="98">
        <v>392.15</v>
      </c>
      <c r="AB10" s="65">
        <v>103.52760000000001</v>
      </c>
    </row>
    <row r="11" spans="1:28" ht="14.25" customHeight="1">
      <c r="A11" s="112" t="s">
        <v>81</v>
      </c>
      <c r="B11" s="111"/>
      <c r="C11" s="99">
        <v>0.35199999999999998</v>
      </c>
      <c r="D11" s="99">
        <v>350</v>
      </c>
      <c r="E11" s="68">
        <v>123.2</v>
      </c>
      <c r="F11" s="99">
        <v>0</v>
      </c>
      <c r="G11" s="99">
        <v>0</v>
      </c>
      <c r="H11" s="99">
        <v>350</v>
      </c>
      <c r="I11" s="68">
        <v>0</v>
      </c>
      <c r="J11" s="99">
        <v>0</v>
      </c>
      <c r="K11" s="99">
        <v>0</v>
      </c>
      <c r="L11" s="99">
        <v>0</v>
      </c>
      <c r="M11" s="68">
        <v>0</v>
      </c>
      <c r="N11" s="99">
        <v>0</v>
      </c>
      <c r="O11" s="68">
        <v>0</v>
      </c>
      <c r="P11" s="99">
        <v>350</v>
      </c>
      <c r="Q11" s="68">
        <v>0</v>
      </c>
      <c r="R11" s="99">
        <v>0</v>
      </c>
      <c r="S11" s="68">
        <v>0</v>
      </c>
      <c r="T11" s="99">
        <v>350</v>
      </c>
      <c r="U11" s="68">
        <v>0</v>
      </c>
      <c r="V11" s="68">
        <v>0</v>
      </c>
      <c r="W11" s="68">
        <v>0</v>
      </c>
      <c r="X11" s="68">
        <v>0</v>
      </c>
      <c r="Y11" s="68">
        <v>0</v>
      </c>
      <c r="Z11" s="99">
        <v>0.35199999999999998</v>
      </c>
      <c r="AA11" s="99">
        <v>350</v>
      </c>
      <c r="AB11" s="68">
        <v>123.2</v>
      </c>
    </row>
    <row r="12" spans="1:28" ht="14.25" customHeight="1">
      <c r="A12" s="110" t="s">
        <v>82</v>
      </c>
      <c r="B12" s="111"/>
      <c r="C12" s="98">
        <v>0.26400000000000001</v>
      </c>
      <c r="D12" s="98">
        <v>-80</v>
      </c>
      <c r="E12" s="65">
        <v>-21.12</v>
      </c>
      <c r="F12" s="98">
        <v>0</v>
      </c>
      <c r="G12" s="98">
        <v>0</v>
      </c>
      <c r="H12" s="98">
        <v>-80</v>
      </c>
      <c r="I12" s="65">
        <v>0</v>
      </c>
      <c r="J12" s="98">
        <v>0</v>
      </c>
      <c r="K12" s="98">
        <v>0</v>
      </c>
      <c r="L12" s="98">
        <v>0</v>
      </c>
      <c r="M12" s="65">
        <v>0</v>
      </c>
      <c r="N12" s="98">
        <v>0</v>
      </c>
      <c r="O12" s="65">
        <v>0</v>
      </c>
      <c r="P12" s="98">
        <v>-80</v>
      </c>
      <c r="Q12" s="65">
        <v>0</v>
      </c>
      <c r="R12" s="98">
        <v>0</v>
      </c>
      <c r="S12" s="65">
        <v>0</v>
      </c>
      <c r="T12" s="98">
        <v>-80</v>
      </c>
      <c r="U12" s="65">
        <v>0</v>
      </c>
      <c r="V12" s="65">
        <v>0</v>
      </c>
      <c r="W12" s="65">
        <v>0</v>
      </c>
      <c r="X12" s="65">
        <v>0</v>
      </c>
      <c r="Y12" s="65">
        <v>0</v>
      </c>
      <c r="Z12" s="98">
        <v>0.26400000000000001</v>
      </c>
      <c r="AA12" s="98">
        <v>-80</v>
      </c>
      <c r="AB12" s="65">
        <v>-21.12</v>
      </c>
    </row>
    <row r="13" spans="1:28" ht="14.25" customHeight="1">
      <c r="A13" s="112" t="s">
        <v>83</v>
      </c>
      <c r="B13" s="111"/>
      <c r="C13" s="99">
        <v>0.35199999999999998</v>
      </c>
      <c r="D13" s="99">
        <v>-80</v>
      </c>
      <c r="E13" s="68">
        <v>-28.16</v>
      </c>
      <c r="F13" s="99">
        <v>0</v>
      </c>
      <c r="G13" s="99">
        <v>0</v>
      </c>
      <c r="H13" s="99">
        <v>-80</v>
      </c>
      <c r="I13" s="68">
        <v>0</v>
      </c>
      <c r="J13" s="99">
        <v>0</v>
      </c>
      <c r="K13" s="99">
        <v>0</v>
      </c>
      <c r="L13" s="99">
        <v>0</v>
      </c>
      <c r="M13" s="68">
        <v>0</v>
      </c>
      <c r="N13" s="99">
        <v>0</v>
      </c>
      <c r="O13" s="68">
        <v>0</v>
      </c>
      <c r="P13" s="99">
        <v>-80</v>
      </c>
      <c r="Q13" s="68">
        <v>0</v>
      </c>
      <c r="R13" s="99">
        <v>0</v>
      </c>
      <c r="S13" s="68">
        <v>0</v>
      </c>
      <c r="T13" s="99">
        <v>-80</v>
      </c>
      <c r="U13" s="68">
        <v>0</v>
      </c>
      <c r="V13" s="68">
        <v>0</v>
      </c>
      <c r="W13" s="68">
        <v>0</v>
      </c>
      <c r="X13" s="68">
        <v>0</v>
      </c>
      <c r="Y13" s="68">
        <v>0</v>
      </c>
      <c r="Z13" s="99">
        <v>0.35199999999999998</v>
      </c>
      <c r="AA13" s="99">
        <v>-80</v>
      </c>
      <c r="AB13" s="68">
        <v>-28.16</v>
      </c>
    </row>
    <row r="14" spans="1:28" ht="14.25" customHeight="1">
      <c r="A14" s="110" t="s">
        <v>84</v>
      </c>
      <c r="B14" s="111"/>
      <c r="C14" s="98">
        <v>0.35199999999999998</v>
      </c>
      <c r="D14" s="98">
        <v>-80</v>
      </c>
      <c r="E14" s="65">
        <v>-28.16</v>
      </c>
      <c r="F14" s="98">
        <v>0</v>
      </c>
      <c r="G14" s="98">
        <v>0</v>
      </c>
      <c r="H14" s="98">
        <v>-80</v>
      </c>
      <c r="I14" s="65">
        <v>0</v>
      </c>
      <c r="J14" s="98">
        <v>0</v>
      </c>
      <c r="K14" s="98">
        <v>0</v>
      </c>
      <c r="L14" s="98">
        <v>0</v>
      </c>
      <c r="M14" s="65">
        <v>0</v>
      </c>
      <c r="N14" s="98">
        <v>0</v>
      </c>
      <c r="O14" s="65">
        <v>0</v>
      </c>
      <c r="P14" s="98">
        <v>-80</v>
      </c>
      <c r="Q14" s="65">
        <v>0</v>
      </c>
      <c r="R14" s="98">
        <v>0</v>
      </c>
      <c r="S14" s="65">
        <v>0</v>
      </c>
      <c r="T14" s="98">
        <v>-80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Z14" s="98">
        <v>0.35199999999999998</v>
      </c>
      <c r="AA14" s="98">
        <v>-80</v>
      </c>
      <c r="AB14" s="65">
        <v>-28.16</v>
      </c>
    </row>
    <row r="15" spans="1:28" ht="14.25" customHeight="1">
      <c r="A15" s="112" t="s">
        <v>85</v>
      </c>
      <c r="B15" s="111"/>
      <c r="C15" s="99">
        <v>8.8070000000000004</v>
      </c>
      <c r="D15" s="99">
        <v>-80</v>
      </c>
      <c r="E15" s="68">
        <v>-704.56</v>
      </c>
      <c r="F15" s="99">
        <v>0</v>
      </c>
      <c r="G15" s="99">
        <v>0</v>
      </c>
      <c r="H15" s="99">
        <v>-80</v>
      </c>
      <c r="I15" s="68">
        <v>0</v>
      </c>
      <c r="J15" s="99">
        <v>0</v>
      </c>
      <c r="K15" s="99">
        <v>0</v>
      </c>
      <c r="L15" s="99">
        <v>0</v>
      </c>
      <c r="M15" s="68">
        <v>0</v>
      </c>
      <c r="N15" s="99">
        <v>0</v>
      </c>
      <c r="O15" s="68">
        <v>0</v>
      </c>
      <c r="P15" s="99">
        <v>-80</v>
      </c>
      <c r="Q15" s="68">
        <v>0</v>
      </c>
      <c r="R15" s="99">
        <v>0</v>
      </c>
      <c r="S15" s="68">
        <v>0</v>
      </c>
      <c r="T15" s="99">
        <v>-80</v>
      </c>
      <c r="U15" s="68">
        <v>0</v>
      </c>
      <c r="V15" s="68">
        <v>0</v>
      </c>
      <c r="W15" s="68">
        <v>0</v>
      </c>
      <c r="X15" s="68">
        <v>0</v>
      </c>
      <c r="Y15" s="68">
        <v>0</v>
      </c>
      <c r="Z15" s="99">
        <v>8.8070000000000004</v>
      </c>
      <c r="AA15" s="99">
        <v>-80</v>
      </c>
      <c r="AB15" s="68">
        <v>-704.56</v>
      </c>
    </row>
    <row r="16" spans="1:28" ht="14.25" customHeight="1">
      <c r="A16" s="110" t="s">
        <v>86</v>
      </c>
      <c r="B16" s="111"/>
      <c r="C16" s="98">
        <v>81.561999999999998</v>
      </c>
      <c r="D16" s="98">
        <v>-80</v>
      </c>
      <c r="E16" s="65">
        <v>-6524.96</v>
      </c>
      <c r="F16" s="98">
        <v>0</v>
      </c>
      <c r="G16" s="98">
        <v>0</v>
      </c>
      <c r="H16" s="98">
        <v>-80</v>
      </c>
      <c r="I16" s="65">
        <v>0</v>
      </c>
      <c r="J16" s="98">
        <v>0</v>
      </c>
      <c r="K16" s="98">
        <v>0</v>
      </c>
      <c r="L16" s="98">
        <v>0</v>
      </c>
      <c r="M16" s="65">
        <v>0</v>
      </c>
      <c r="N16" s="98">
        <v>0</v>
      </c>
      <c r="O16" s="65">
        <v>0</v>
      </c>
      <c r="P16" s="98">
        <v>-80</v>
      </c>
      <c r="Q16" s="65">
        <v>0</v>
      </c>
      <c r="R16" s="98">
        <v>0</v>
      </c>
      <c r="S16" s="65">
        <v>0</v>
      </c>
      <c r="T16" s="98">
        <v>-80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98">
        <v>81.561999999999998</v>
      </c>
      <c r="AA16" s="98">
        <v>-80</v>
      </c>
      <c r="AB16" s="65">
        <v>-6524.96</v>
      </c>
    </row>
    <row r="17" spans="1:28" ht="14.25" customHeight="1">
      <c r="A17" s="112" t="s">
        <v>87</v>
      </c>
      <c r="B17" s="111"/>
      <c r="C17" s="99">
        <v>89.313000000000002</v>
      </c>
      <c r="D17" s="99">
        <v>-80</v>
      </c>
      <c r="E17" s="68">
        <v>-7145.04</v>
      </c>
      <c r="F17" s="99">
        <v>0</v>
      </c>
      <c r="G17" s="99">
        <v>0</v>
      </c>
      <c r="H17" s="99">
        <v>-80</v>
      </c>
      <c r="I17" s="68">
        <v>0</v>
      </c>
      <c r="J17" s="99">
        <v>0</v>
      </c>
      <c r="K17" s="99">
        <v>0</v>
      </c>
      <c r="L17" s="99">
        <v>0</v>
      </c>
      <c r="M17" s="68">
        <v>0</v>
      </c>
      <c r="N17" s="99">
        <v>0</v>
      </c>
      <c r="O17" s="68">
        <v>0</v>
      </c>
      <c r="P17" s="99">
        <v>-80</v>
      </c>
      <c r="Q17" s="68">
        <v>0</v>
      </c>
      <c r="R17" s="99">
        <v>0</v>
      </c>
      <c r="S17" s="68">
        <v>0</v>
      </c>
      <c r="T17" s="99">
        <v>-80</v>
      </c>
      <c r="U17" s="68">
        <v>0</v>
      </c>
      <c r="V17" s="68">
        <v>0</v>
      </c>
      <c r="W17" s="68">
        <v>0</v>
      </c>
      <c r="X17" s="68">
        <v>0</v>
      </c>
      <c r="Y17" s="68">
        <v>0</v>
      </c>
      <c r="Z17" s="99">
        <v>89.313000000000002</v>
      </c>
      <c r="AA17" s="99">
        <v>-80</v>
      </c>
      <c r="AB17" s="68">
        <v>-7145.04</v>
      </c>
    </row>
    <row r="18" spans="1:28" ht="14.25" customHeight="1">
      <c r="A18" s="110" t="s">
        <v>88</v>
      </c>
      <c r="B18" s="111"/>
      <c r="C18" s="98">
        <v>4.4039999999999999</v>
      </c>
      <c r="D18" s="98">
        <v>-80</v>
      </c>
      <c r="E18" s="65">
        <v>-352.32</v>
      </c>
      <c r="F18" s="98">
        <v>0</v>
      </c>
      <c r="G18" s="98">
        <v>0</v>
      </c>
      <c r="H18" s="98">
        <v>-80</v>
      </c>
      <c r="I18" s="65">
        <v>0</v>
      </c>
      <c r="J18" s="98">
        <v>0</v>
      </c>
      <c r="K18" s="98">
        <v>0</v>
      </c>
      <c r="L18" s="98">
        <v>0</v>
      </c>
      <c r="M18" s="65">
        <v>0</v>
      </c>
      <c r="N18" s="98">
        <v>0</v>
      </c>
      <c r="O18" s="65">
        <v>0</v>
      </c>
      <c r="P18" s="98">
        <v>-80</v>
      </c>
      <c r="Q18" s="65">
        <v>0</v>
      </c>
      <c r="R18" s="98">
        <v>0</v>
      </c>
      <c r="S18" s="65">
        <v>0</v>
      </c>
      <c r="T18" s="98">
        <v>-80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98">
        <v>4.4039999999999999</v>
      </c>
      <c r="AA18" s="98">
        <v>-80</v>
      </c>
      <c r="AB18" s="65">
        <v>-352.32</v>
      </c>
    </row>
    <row r="19" spans="1:28" ht="14.25" customHeight="1">
      <c r="A19" s="112" t="s">
        <v>89</v>
      </c>
      <c r="B19" s="111"/>
      <c r="C19" s="99">
        <v>0.61699999999999999</v>
      </c>
      <c r="D19" s="99">
        <v>-80</v>
      </c>
      <c r="E19" s="68">
        <v>-49.36</v>
      </c>
      <c r="F19" s="99">
        <v>0</v>
      </c>
      <c r="G19" s="99">
        <v>0</v>
      </c>
      <c r="H19" s="99">
        <v>-80</v>
      </c>
      <c r="I19" s="68">
        <v>0</v>
      </c>
      <c r="J19" s="99">
        <v>0</v>
      </c>
      <c r="K19" s="99">
        <v>0</v>
      </c>
      <c r="L19" s="99">
        <v>0</v>
      </c>
      <c r="M19" s="68">
        <v>0</v>
      </c>
      <c r="N19" s="99">
        <v>0</v>
      </c>
      <c r="O19" s="68">
        <v>0</v>
      </c>
      <c r="P19" s="99">
        <v>-80</v>
      </c>
      <c r="Q19" s="68">
        <v>0</v>
      </c>
      <c r="R19" s="99">
        <v>0</v>
      </c>
      <c r="S19" s="68">
        <v>0</v>
      </c>
      <c r="T19" s="99">
        <v>-80</v>
      </c>
      <c r="U19" s="68">
        <v>0</v>
      </c>
      <c r="V19" s="68">
        <v>0</v>
      </c>
      <c r="W19" s="68">
        <v>0</v>
      </c>
      <c r="X19" s="68">
        <v>0</v>
      </c>
      <c r="Y19" s="68">
        <v>0</v>
      </c>
      <c r="Z19" s="99">
        <v>0.61699999999999999</v>
      </c>
      <c r="AA19" s="99">
        <v>-80</v>
      </c>
      <c r="AB19" s="68">
        <v>-49.36</v>
      </c>
    </row>
    <row r="20" spans="1:28" ht="14.25" customHeight="1">
      <c r="A20" s="110" t="s">
        <v>90</v>
      </c>
      <c r="B20" s="111"/>
      <c r="C20" s="98">
        <v>4.5810000000000004</v>
      </c>
      <c r="D20" s="98">
        <v>-80</v>
      </c>
      <c r="E20" s="65">
        <v>-366.48</v>
      </c>
      <c r="F20" s="98">
        <v>0</v>
      </c>
      <c r="G20" s="98">
        <v>0</v>
      </c>
      <c r="H20" s="98">
        <v>-80</v>
      </c>
      <c r="I20" s="65">
        <v>0</v>
      </c>
      <c r="J20" s="98">
        <v>0</v>
      </c>
      <c r="K20" s="98">
        <v>0</v>
      </c>
      <c r="L20" s="98">
        <v>0</v>
      </c>
      <c r="M20" s="65">
        <v>0</v>
      </c>
      <c r="N20" s="98">
        <v>0</v>
      </c>
      <c r="O20" s="65">
        <v>0</v>
      </c>
      <c r="P20" s="98">
        <v>-80</v>
      </c>
      <c r="Q20" s="65">
        <v>0</v>
      </c>
      <c r="R20" s="98">
        <v>0</v>
      </c>
      <c r="S20" s="65">
        <v>0</v>
      </c>
      <c r="T20" s="98">
        <v>-80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98">
        <v>4.5810000000000004</v>
      </c>
      <c r="AA20" s="98">
        <v>-80</v>
      </c>
      <c r="AB20" s="65">
        <v>-366.48</v>
      </c>
    </row>
    <row r="21" spans="1:28" ht="14.25" customHeight="1">
      <c r="A21" s="112" t="s">
        <v>91</v>
      </c>
      <c r="B21" s="111"/>
      <c r="C21" s="99">
        <v>0.35299999999999998</v>
      </c>
      <c r="D21" s="99">
        <v>354.05</v>
      </c>
      <c r="E21" s="68">
        <v>124.97965000000001</v>
      </c>
      <c r="F21" s="99">
        <v>0</v>
      </c>
      <c r="G21" s="99">
        <v>0</v>
      </c>
      <c r="H21" s="99">
        <v>354.05</v>
      </c>
      <c r="I21" s="68">
        <v>0</v>
      </c>
      <c r="J21" s="99">
        <v>0</v>
      </c>
      <c r="K21" s="99">
        <v>0</v>
      </c>
      <c r="L21" s="99">
        <v>0</v>
      </c>
      <c r="M21" s="68">
        <v>0</v>
      </c>
      <c r="N21" s="99">
        <v>0</v>
      </c>
      <c r="O21" s="68">
        <v>0</v>
      </c>
      <c r="P21" s="99">
        <v>354.05</v>
      </c>
      <c r="Q21" s="68">
        <v>0</v>
      </c>
      <c r="R21" s="99">
        <v>0</v>
      </c>
      <c r="S21" s="68">
        <v>0</v>
      </c>
      <c r="T21" s="99">
        <v>354.05</v>
      </c>
      <c r="U21" s="68">
        <v>0</v>
      </c>
      <c r="V21" s="68">
        <v>0</v>
      </c>
      <c r="W21" s="68">
        <v>0</v>
      </c>
      <c r="X21" s="68">
        <v>0</v>
      </c>
      <c r="Y21" s="68">
        <v>0</v>
      </c>
      <c r="Z21" s="99">
        <v>0.35299999999999998</v>
      </c>
      <c r="AA21" s="99">
        <v>354.05</v>
      </c>
      <c r="AB21" s="68">
        <v>124.97965000000001</v>
      </c>
    </row>
    <row r="22" spans="1:28" ht="14.25" customHeight="1">
      <c r="A22" s="110" t="s">
        <v>92</v>
      </c>
      <c r="B22" s="111"/>
      <c r="C22" s="98">
        <v>0.35299999999999998</v>
      </c>
      <c r="D22" s="98">
        <v>538</v>
      </c>
      <c r="E22" s="65">
        <v>189.91399999999999</v>
      </c>
      <c r="F22" s="98">
        <v>0</v>
      </c>
      <c r="G22" s="98">
        <v>0</v>
      </c>
      <c r="H22" s="98">
        <v>538</v>
      </c>
      <c r="I22" s="65">
        <v>0</v>
      </c>
      <c r="J22" s="98">
        <v>0</v>
      </c>
      <c r="K22" s="98">
        <v>0</v>
      </c>
      <c r="L22" s="98">
        <v>0</v>
      </c>
      <c r="M22" s="65">
        <v>0</v>
      </c>
      <c r="N22" s="98">
        <v>0</v>
      </c>
      <c r="O22" s="65">
        <v>0</v>
      </c>
      <c r="P22" s="98">
        <v>538</v>
      </c>
      <c r="Q22" s="65">
        <v>0</v>
      </c>
      <c r="R22" s="98">
        <v>0</v>
      </c>
      <c r="S22" s="65">
        <v>0</v>
      </c>
      <c r="T22" s="98">
        <v>538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98">
        <v>0.35299999999999998</v>
      </c>
      <c r="AA22" s="98">
        <v>538</v>
      </c>
      <c r="AB22" s="65">
        <v>189.91399999999999</v>
      </c>
    </row>
    <row r="23" spans="1:28" ht="14.25" customHeight="1">
      <c r="A23" s="112" t="s">
        <v>93</v>
      </c>
      <c r="B23" s="111"/>
      <c r="C23" s="99">
        <v>0.26400000000000001</v>
      </c>
      <c r="D23" s="99">
        <v>592</v>
      </c>
      <c r="E23" s="68">
        <v>156.28800000000001</v>
      </c>
      <c r="F23" s="99">
        <v>0</v>
      </c>
      <c r="G23" s="99">
        <v>0</v>
      </c>
      <c r="H23" s="99">
        <v>592</v>
      </c>
      <c r="I23" s="68">
        <v>0</v>
      </c>
      <c r="J23" s="99">
        <v>0</v>
      </c>
      <c r="K23" s="99">
        <v>0</v>
      </c>
      <c r="L23" s="99">
        <v>0</v>
      </c>
      <c r="M23" s="68">
        <v>0</v>
      </c>
      <c r="N23" s="99">
        <v>0</v>
      </c>
      <c r="O23" s="68">
        <v>0</v>
      </c>
      <c r="P23" s="99">
        <v>592</v>
      </c>
      <c r="Q23" s="68">
        <v>0</v>
      </c>
      <c r="R23" s="99">
        <v>0</v>
      </c>
      <c r="S23" s="68">
        <v>0</v>
      </c>
      <c r="T23" s="99">
        <v>592</v>
      </c>
      <c r="U23" s="68">
        <v>0</v>
      </c>
      <c r="V23" s="68">
        <v>0</v>
      </c>
      <c r="W23" s="68">
        <v>0</v>
      </c>
      <c r="X23" s="68">
        <v>0</v>
      </c>
      <c r="Y23" s="68">
        <v>0</v>
      </c>
      <c r="Z23" s="99">
        <v>0.26400000000000001</v>
      </c>
      <c r="AA23" s="99">
        <v>592</v>
      </c>
      <c r="AB23" s="68">
        <v>156.28800000000001</v>
      </c>
    </row>
    <row r="24" spans="1:28" ht="14.25" customHeight="1">
      <c r="A24" s="110" t="s">
        <v>94</v>
      </c>
      <c r="B24" s="111"/>
      <c r="C24" s="98">
        <v>8.7999999999999995E-2</v>
      </c>
      <c r="D24" s="98">
        <v>606.71400000000006</v>
      </c>
      <c r="E24" s="65">
        <v>53.390832000000003</v>
      </c>
      <c r="F24" s="98">
        <v>0</v>
      </c>
      <c r="G24" s="98">
        <v>0</v>
      </c>
      <c r="H24" s="98">
        <v>606.71400000000006</v>
      </c>
      <c r="I24" s="65">
        <v>0</v>
      </c>
      <c r="J24" s="98">
        <v>0</v>
      </c>
      <c r="K24" s="98">
        <v>0</v>
      </c>
      <c r="L24" s="98">
        <v>0</v>
      </c>
      <c r="M24" s="65">
        <v>0</v>
      </c>
      <c r="N24" s="98">
        <v>0</v>
      </c>
      <c r="O24" s="65">
        <v>0</v>
      </c>
      <c r="P24" s="98">
        <v>606.71400000000006</v>
      </c>
      <c r="Q24" s="65">
        <v>0</v>
      </c>
      <c r="R24" s="98">
        <v>0</v>
      </c>
      <c r="S24" s="65">
        <v>0</v>
      </c>
      <c r="T24" s="98">
        <v>606.71400000000006</v>
      </c>
      <c r="U24" s="65">
        <v>0</v>
      </c>
      <c r="V24" s="65">
        <v>0</v>
      </c>
      <c r="W24" s="65">
        <v>0</v>
      </c>
      <c r="X24" s="65">
        <v>0</v>
      </c>
      <c r="Y24" s="65">
        <v>0</v>
      </c>
      <c r="Z24" s="98">
        <v>8.7999999999999995E-2</v>
      </c>
      <c r="AA24" s="98">
        <v>606.71400000000006</v>
      </c>
      <c r="AB24" s="65">
        <v>53.390832000000003</v>
      </c>
    </row>
    <row r="25" spans="1:28" ht="14.25" customHeight="1">
      <c r="A25" s="112" t="s">
        <v>95</v>
      </c>
      <c r="B25" s="111"/>
      <c r="C25" s="99">
        <v>0</v>
      </c>
      <c r="D25" s="99">
        <v>609.75</v>
      </c>
      <c r="E25" s="68">
        <v>0</v>
      </c>
      <c r="F25" s="99">
        <v>0</v>
      </c>
      <c r="G25" s="99">
        <v>0</v>
      </c>
      <c r="H25" s="99">
        <v>609.75</v>
      </c>
      <c r="I25" s="68">
        <v>0</v>
      </c>
      <c r="J25" s="99">
        <v>0</v>
      </c>
      <c r="K25" s="99">
        <v>0</v>
      </c>
      <c r="L25" s="99">
        <v>0</v>
      </c>
      <c r="M25" s="68">
        <v>0</v>
      </c>
      <c r="N25" s="99">
        <v>0</v>
      </c>
      <c r="O25" s="68">
        <v>0</v>
      </c>
      <c r="P25" s="99">
        <v>609.75</v>
      </c>
      <c r="Q25" s="68">
        <v>0</v>
      </c>
      <c r="R25" s="99">
        <v>0</v>
      </c>
      <c r="S25" s="68">
        <v>0</v>
      </c>
      <c r="T25" s="99">
        <v>609.75</v>
      </c>
      <c r="U25" s="68">
        <v>0</v>
      </c>
      <c r="V25" s="68">
        <v>0</v>
      </c>
      <c r="W25" s="68">
        <v>0</v>
      </c>
      <c r="X25" s="68">
        <v>0</v>
      </c>
      <c r="Y25" s="68">
        <v>0</v>
      </c>
      <c r="Z25" s="99">
        <v>0</v>
      </c>
      <c r="AA25" s="99" t="s">
        <v>96</v>
      </c>
      <c r="AB25" s="68">
        <v>0</v>
      </c>
    </row>
    <row r="26" spans="1:28" ht="14.25" customHeight="1">
      <c r="A26" s="110" t="s">
        <v>97</v>
      </c>
      <c r="B26" s="111"/>
      <c r="C26" s="98">
        <v>0</v>
      </c>
      <c r="D26" s="98">
        <v>619.10699999999997</v>
      </c>
      <c r="E26" s="65">
        <v>0</v>
      </c>
      <c r="F26" s="98">
        <v>0</v>
      </c>
      <c r="G26" s="98">
        <v>0</v>
      </c>
      <c r="H26" s="98">
        <v>619.10699999999997</v>
      </c>
      <c r="I26" s="65">
        <v>0</v>
      </c>
      <c r="J26" s="98">
        <v>0</v>
      </c>
      <c r="K26" s="98">
        <v>0</v>
      </c>
      <c r="L26" s="98">
        <v>0</v>
      </c>
      <c r="M26" s="65">
        <v>0</v>
      </c>
      <c r="N26" s="98">
        <v>0</v>
      </c>
      <c r="O26" s="65">
        <v>0</v>
      </c>
      <c r="P26" s="98">
        <v>619.10699999999997</v>
      </c>
      <c r="Q26" s="65">
        <v>0</v>
      </c>
      <c r="R26" s="98">
        <v>0</v>
      </c>
      <c r="S26" s="65">
        <v>0</v>
      </c>
      <c r="T26" s="98">
        <v>619.10699999999997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98">
        <v>0</v>
      </c>
      <c r="AA26" s="98" t="s">
        <v>96</v>
      </c>
      <c r="AB26" s="65">
        <v>0</v>
      </c>
    </row>
    <row r="27" spans="1:28" ht="14.25" customHeight="1">
      <c r="A27" s="112" t="s">
        <v>98</v>
      </c>
      <c r="B27" s="111"/>
      <c r="C27" s="99">
        <v>0</v>
      </c>
      <c r="D27" s="99">
        <v>617.57000000000005</v>
      </c>
      <c r="E27" s="68">
        <v>0</v>
      </c>
      <c r="F27" s="99">
        <v>0</v>
      </c>
      <c r="G27" s="99">
        <v>0</v>
      </c>
      <c r="H27" s="99">
        <v>617.57000000000005</v>
      </c>
      <c r="I27" s="68">
        <v>0</v>
      </c>
      <c r="J27" s="99">
        <v>0</v>
      </c>
      <c r="K27" s="99">
        <v>0</v>
      </c>
      <c r="L27" s="99">
        <v>0</v>
      </c>
      <c r="M27" s="68">
        <v>0</v>
      </c>
      <c r="N27" s="99">
        <v>0</v>
      </c>
      <c r="O27" s="68">
        <v>0</v>
      </c>
      <c r="P27" s="99">
        <v>617.57000000000005</v>
      </c>
      <c r="Q27" s="68">
        <v>0</v>
      </c>
      <c r="R27" s="99">
        <v>0</v>
      </c>
      <c r="S27" s="68">
        <v>0</v>
      </c>
      <c r="T27" s="99">
        <v>617.57000000000005</v>
      </c>
      <c r="U27" s="68">
        <v>0</v>
      </c>
      <c r="V27" s="68">
        <v>0</v>
      </c>
      <c r="W27" s="68">
        <v>0</v>
      </c>
      <c r="X27" s="68">
        <v>0</v>
      </c>
      <c r="Y27" s="68">
        <v>0</v>
      </c>
      <c r="Z27" s="99">
        <v>0</v>
      </c>
      <c r="AA27" s="99" t="s">
        <v>96</v>
      </c>
      <c r="AB27" s="68">
        <v>0</v>
      </c>
    </row>
    <row r="28" spans="1:28" ht="14.25" customHeight="1">
      <c r="A28" s="110" t="s">
        <v>99</v>
      </c>
      <c r="B28" s="111"/>
      <c r="C28" s="98">
        <v>0.17599999999999999</v>
      </c>
      <c r="D28" s="98">
        <v>612</v>
      </c>
      <c r="E28" s="65">
        <v>107.712</v>
      </c>
      <c r="F28" s="98">
        <v>0</v>
      </c>
      <c r="G28" s="98">
        <v>0</v>
      </c>
      <c r="H28" s="98">
        <v>612</v>
      </c>
      <c r="I28" s="65">
        <v>0</v>
      </c>
      <c r="J28" s="98">
        <v>0</v>
      </c>
      <c r="K28" s="98">
        <v>0</v>
      </c>
      <c r="L28" s="98">
        <v>0</v>
      </c>
      <c r="M28" s="65">
        <v>0</v>
      </c>
      <c r="N28" s="98">
        <v>0</v>
      </c>
      <c r="O28" s="65">
        <v>0</v>
      </c>
      <c r="P28" s="98">
        <v>612</v>
      </c>
      <c r="Q28" s="65">
        <v>0</v>
      </c>
      <c r="R28" s="98">
        <v>0</v>
      </c>
      <c r="S28" s="65">
        <v>0</v>
      </c>
      <c r="T28" s="98">
        <v>612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98">
        <v>0.17599999999999999</v>
      </c>
      <c r="AA28" s="98">
        <v>612</v>
      </c>
      <c r="AB28" s="65">
        <v>107.712</v>
      </c>
    </row>
    <row r="29" spans="1:28" ht="14.25" customHeight="1">
      <c r="A29" s="110" t="s">
        <v>100</v>
      </c>
      <c r="B29" s="111"/>
      <c r="C29" s="99">
        <v>193.51</v>
      </c>
      <c r="D29" s="99">
        <v>-71.286587928272439</v>
      </c>
      <c r="E29" s="68">
        <v>-13794.66763</v>
      </c>
      <c r="F29" s="99">
        <v>0</v>
      </c>
      <c r="G29" s="99" t="s">
        <v>96</v>
      </c>
      <c r="H29" s="99" t="s">
        <v>96</v>
      </c>
      <c r="I29" s="68">
        <v>0</v>
      </c>
      <c r="J29" s="99">
        <v>0</v>
      </c>
      <c r="K29" s="68" t="s">
        <v>96</v>
      </c>
      <c r="L29" s="68" t="s">
        <v>96</v>
      </c>
      <c r="M29" s="68">
        <v>0</v>
      </c>
      <c r="N29" s="99">
        <v>0</v>
      </c>
      <c r="O29" s="99" t="s">
        <v>96</v>
      </c>
      <c r="P29" s="99" t="s">
        <v>96</v>
      </c>
      <c r="Q29" s="68">
        <v>0</v>
      </c>
      <c r="R29" s="99">
        <v>0</v>
      </c>
      <c r="S29" s="99" t="s">
        <v>96</v>
      </c>
      <c r="T29" s="99" t="s">
        <v>96</v>
      </c>
      <c r="U29" s="68">
        <v>0</v>
      </c>
      <c r="V29" s="68">
        <v>0</v>
      </c>
      <c r="W29" s="68">
        <v>139.33000000000001</v>
      </c>
      <c r="X29" s="68">
        <v>0</v>
      </c>
      <c r="Y29" s="68">
        <v>0</v>
      </c>
      <c r="Z29" s="99">
        <v>193.51</v>
      </c>
      <c r="AA29" s="99">
        <v>-70.566573458735988</v>
      </c>
      <c r="AB29" s="68">
        <v>-13655.33763</v>
      </c>
    </row>
  </sheetData>
  <mergeCells count="34">
    <mergeCell ref="A29:B29"/>
    <mergeCell ref="A19:B19"/>
    <mergeCell ref="A10:B10"/>
    <mergeCell ref="A28:B28"/>
    <mergeCell ref="A13:B13"/>
    <mergeCell ref="A2:E2"/>
    <mergeCell ref="F3:I3"/>
    <mergeCell ref="F1:H1"/>
    <mergeCell ref="A5:B5"/>
    <mergeCell ref="C3:E3"/>
    <mergeCell ref="A3:B4"/>
    <mergeCell ref="A25:B25"/>
    <mergeCell ref="N3:U3"/>
    <mergeCell ref="A18:B18"/>
    <mergeCell ref="A27:B27"/>
    <mergeCell ref="A12:B12"/>
    <mergeCell ref="A26:B26"/>
    <mergeCell ref="A21:B21"/>
    <mergeCell ref="A14:B14"/>
    <mergeCell ref="A17:B17"/>
    <mergeCell ref="A23:B23"/>
    <mergeCell ref="A8:B8"/>
    <mergeCell ref="A22:B22"/>
    <mergeCell ref="A20:B20"/>
    <mergeCell ref="A9:B9"/>
    <mergeCell ref="A24:B24"/>
    <mergeCell ref="A15:B15"/>
    <mergeCell ref="A11:B11"/>
    <mergeCell ref="J3:M3"/>
    <mergeCell ref="Z3:AB3"/>
    <mergeCell ref="A6:B6"/>
    <mergeCell ref="A16:B16"/>
    <mergeCell ref="A7:B7"/>
    <mergeCell ref="V3:W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08"/>
  <sheetViews>
    <sheetView topLeftCell="AC80" workbookViewId="0">
      <selection activeCell="AC80" sqref="A1:XFD1048576"/>
    </sheetView>
  </sheetViews>
  <sheetFormatPr defaultColWidth="9.77734375" defaultRowHeight="13.8"/>
  <cols>
    <col min="1" max="1" width="32.21875" style="59" customWidth="1"/>
    <col min="2" max="7" width="18.33203125" style="59" customWidth="1"/>
    <col min="8" max="10" width="20.21875" style="59" customWidth="1"/>
    <col min="11" max="18" width="18.33203125" style="59" customWidth="1"/>
    <col min="19" max="19" width="23.109375" style="59" customWidth="1"/>
    <col min="20" max="20" width="22.109375" style="59" customWidth="1"/>
    <col min="21" max="23" width="18.33203125" style="59" customWidth="1"/>
    <col min="24" max="24" width="27.88671875" style="59" customWidth="1"/>
    <col min="25" max="30" width="18.33203125" style="59" customWidth="1"/>
    <col min="31" max="35" width="20.21875" style="59" customWidth="1"/>
    <col min="36" max="36" width="18.33203125" style="59" customWidth="1"/>
    <col min="37" max="37" width="25.109375" style="59" customWidth="1"/>
    <col min="38" max="39" width="13.88671875" style="59" customWidth="1"/>
    <col min="40" max="40" width="9.77734375" style="59" customWidth="1"/>
    <col min="41" max="16384" width="9.77734375" style="59"/>
  </cols>
  <sheetData>
    <row r="1" spans="1:37" ht="22.65" customHeight="1">
      <c r="A1" s="125" t="s">
        <v>101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37" ht="34.65" customHeight="1">
      <c r="A2" s="116" t="s">
        <v>102</v>
      </c>
      <c r="B2" s="117"/>
      <c r="C2" s="117"/>
      <c r="D2" s="117"/>
      <c r="E2" s="117"/>
      <c r="F2" s="117"/>
      <c r="G2" s="117"/>
      <c r="H2" s="117"/>
      <c r="I2" s="117"/>
      <c r="J2" s="117"/>
      <c r="K2" s="91"/>
      <c r="L2" s="91"/>
      <c r="M2" s="91"/>
      <c r="O2" s="60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61"/>
      <c r="AB2" s="61"/>
      <c r="AC2" s="61"/>
      <c r="AD2" s="61"/>
      <c r="AE2" s="62"/>
      <c r="AF2" s="91"/>
      <c r="AG2" s="91"/>
      <c r="AH2" s="91"/>
      <c r="AI2" s="91"/>
      <c r="AJ2" s="91"/>
      <c r="AK2" s="63" t="s">
        <v>41</v>
      </c>
    </row>
    <row r="3" spans="1:37" ht="19.95" customHeight="1">
      <c r="A3" s="122" t="s">
        <v>42</v>
      </c>
      <c r="B3" s="122" t="s">
        <v>103</v>
      </c>
      <c r="C3" s="114"/>
      <c r="D3" s="114"/>
      <c r="E3" s="114"/>
      <c r="F3" s="114"/>
      <c r="G3" s="114"/>
      <c r="H3" s="114"/>
      <c r="I3" s="114"/>
      <c r="J3" s="111"/>
      <c r="K3" s="122" t="s">
        <v>104</v>
      </c>
      <c r="L3" s="114"/>
      <c r="M3" s="111"/>
      <c r="N3" s="92" t="s">
        <v>105</v>
      </c>
      <c r="O3" s="122" t="s">
        <v>43</v>
      </c>
      <c r="P3" s="114"/>
      <c r="Q3" s="111"/>
      <c r="R3" s="122" t="s">
        <v>44</v>
      </c>
      <c r="S3" s="114"/>
      <c r="T3" s="114"/>
      <c r="U3" s="111"/>
      <c r="V3" s="122" t="s">
        <v>45</v>
      </c>
      <c r="W3" s="114"/>
      <c r="X3" s="114"/>
      <c r="Y3" s="111"/>
      <c r="Z3" s="122" t="s">
        <v>106</v>
      </c>
      <c r="AA3" s="111"/>
      <c r="AB3" s="122" t="s">
        <v>107</v>
      </c>
      <c r="AC3" s="111"/>
      <c r="AD3" s="100" t="s">
        <v>108</v>
      </c>
      <c r="AE3" s="122" t="s">
        <v>109</v>
      </c>
      <c r="AF3" s="111"/>
      <c r="AG3" s="122" t="s">
        <v>110</v>
      </c>
      <c r="AH3" s="114"/>
      <c r="AI3" s="111"/>
      <c r="AJ3" s="122" t="s">
        <v>111</v>
      </c>
      <c r="AK3" s="111"/>
    </row>
    <row r="4" spans="1:37" ht="19.95" customHeight="1">
      <c r="A4" s="124"/>
      <c r="B4" s="92" t="s">
        <v>112</v>
      </c>
      <c r="C4" s="92" t="s">
        <v>113</v>
      </c>
      <c r="D4" s="92" t="s">
        <v>114</v>
      </c>
      <c r="E4" s="100" t="s">
        <v>115</v>
      </c>
      <c r="F4" s="100" t="s">
        <v>116</v>
      </c>
      <c r="G4" s="100" t="s">
        <v>117</v>
      </c>
      <c r="H4" s="100" t="s">
        <v>118</v>
      </c>
      <c r="I4" s="100" t="s">
        <v>119</v>
      </c>
      <c r="J4" s="100" t="s">
        <v>120</v>
      </c>
      <c r="K4" s="100" t="s">
        <v>121</v>
      </c>
      <c r="L4" s="100" t="s">
        <v>122</v>
      </c>
      <c r="M4" s="100" t="s">
        <v>123</v>
      </c>
      <c r="N4" s="100" t="s">
        <v>124</v>
      </c>
      <c r="O4" s="100" t="s">
        <v>125</v>
      </c>
      <c r="P4" s="100" t="s">
        <v>126</v>
      </c>
      <c r="Q4" s="100" t="s">
        <v>53</v>
      </c>
      <c r="R4" s="100" t="s">
        <v>54</v>
      </c>
      <c r="S4" s="100" t="s">
        <v>55</v>
      </c>
      <c r="T4" s="100" t="s">
        <v>56</v>
      </c>
      <c r="U4" s="100" t="s">
        <v>57</v>
      </c>
      <c r="V4" s="100" t="s">
        <v>58</v>
      </c>
      <c r="W4" s="100" t="s">
        <v>127</v>
      </c>
      <c r="X4" s="100" t="s">
        <v>60</v>
      </c>
      <c r="Y4" s="100" t="s">
        <v>61</v>
      </c>
      <c r="Z4" s="100" t="s">
        <v>68</v>
      </c>
      <c r="AA4" s="100" t="s">
        <v>128</v>
      </c>
      <c r="AB4" s="100" t="s">
        <v>129</v>
      </c>
      <c r="AC4" s="100" t="s">
        <v>130</v>
      </c>
      <c r="AD4" s="100" t="s">
        <v>108</v>
      </c>
      <c r="AE4" s="100" t="s">
        <v>131</v>
      </c>
      <c r="AF4" s="100" t="s">
        <v>132</v>
      </c>
      <c r="AG4" s="92" t="s">
        <v>133</v>
      </c>
      <c r="AH4" s="92" t="s">
        <v>134</v>
      </c>
      <c r="AI4" s="100" t="s">
        <v>135</v>
      </c>
      <c r="AJ4" s="100" t="s">
        <v>72</v>
      </c>
      <c r="AK4" s="100" t="s">
        <v>74</v>
      </c>
    </row>
    <row r="5" spans="1:37" ht="14.25" customHeight="1">
      <c r="A5" s="67" t="s">
        <v>136</v>
      </c>
      <c r="B5" s="99">
        <v>0</v>
      </c>
      <c r="C5" s="99">
        <v>0</v>
      </c>
      <c r="D5" s="68">
        <v>0</v>
      </c>
      <c r="E5" s="99">
        <v>0</v>
      </c>
      <c r="F5" s="99">
        <v>0</v>
      </c>
      <c r="G5" s="68">
        <v>0</v>
      </c>
      <c r="H5" s="101"/>
      <c r="I5" s="101"/>
      <c r="J5" s="69"/>
      <c r="K5" s="99">
        <v>0</v>
      </c>
      <c r="L5" s="99">
        <v>0</v>
      </c>
      <c r="M5" s="68">
        <v>0</v>
      </c>
      <c r="N5" s="68">
        <v>0</v>
      </c>
      <c r="O5" s="99">
        <v>0</v>
      </c>
      <c r="P5" s="99">
        <v>438.88900000000001</v>
      </c>
      <c r="Q5" s="68">
        <v>0</v>
      </c>
      <c r="R5" s="99">
        <v>0</v>
      </c>
      <c r="S5" s="99">
        <v>0</v>
      </c>
      <c r="T5" s="99">
        <v>438.89</v>
      </c>
      <c r="U5" s="68">
        <v>0</v>
      </c>
      <c r="V5" s="99">
        <v>0</v>
      </c>
      <c r="W5" s="99">
        <v>0</v>
      </c>
      <c r="X5" s="99">
        <v>0</v>
      </c>
      <c r="Y5" s="68">
        <v>0</v>
      </c>
      <c r="Z5" s="68">
        <v>0</v>
      </c>
      <c r="AA5" s="68">
        <v>0</v>
      </c>
      <c r="AB5" s="68">
        <v>0</v>
      </c>
      <c r="AC5" s="68">
        <v>0</v>
      </c>
      <c r="AD5" s="68">
        <v>0</v>
      </c>
      <c r="AE5" s="68">
        <v>0</v>
      </c>
      <c r="AF5" s="68">
        <v>0</v>
      </c>
      <c r="AG5" s="68">
        <v>0</v>
      </c>
      <c r="AH5" s="68">
        <v>0</v>
      </c>
      <c r="AI5" s="68">
        <v>0</v>
      </c>
      <c r="AJ5" s="99">
        <v>0</v>
      </c>
      <c r="AK5" s="68">
        <v>0</v>
      </c>
    </row>
    <row r="6" spans="1:37" ht="14.25" customHeight="1">
      <c r="A6" s="64" t="s">
        <v>137</v>
      </c>
      <c r="B6" s="98">
        <v>0</v>
      </c>
      <c r="C6" s="98">
        <v>0</v>
      </c>
      <c r="D6" s="65">
        <v>0</v>
      </c>
      <c r="E6" s="98">
        <v>0</v>
      </c>
      <c r="F6" s="98">
        <v>0</v>
      </c>
      <c r="G6" s="65">
        <v>0</v>
      </c>
      <c r="H6" s="102"/>
      <c r="I6" s="102"/>
      <c r="J6" s="66"/>
      <c r="K6" s="98">
        <v>0</v>
      </c>
      <c r="L6" s="98">
        <v>0</v>
      </c>
      <c r="M6" s="65">
        <v>0</v>
      </c>
      <c r="N6" s="65">
        <v>0</v>
      </c>
      <c r="O6" s="98">
        <v>0</v>
      </c>
      <c r="P6" s="98">
        <v>437.6</v>
      </c>
      <c r="Q6" s="65">
        <v>0</v>
      </c>
      <c r="R6" s="98">
        <v>0</v>
      </c>
      <c r="S6" s="98">
        <v>0</v>
      </c>
      <c r="T6" s="98">
        <v>437.6</v>
      </c>
      <c r="U6" s="65">
        <v>0</v>
      </c>
      <c r="V6" s="98">
        <v>0</v>
      </c>
      <c r="W6" s="98">
        <v>0</v>
      </c>
      <c r="X6" s="98">
        <v>0</v>
      </c>
      <c r="Y6" s="65">
        <v>0</v>
      </c>
      <c r="Z6" s="65">
        <v>0</v>
      </c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5">
        <v>0</v>
      </c>
      <c r="AJ6" s="98">
        <v>0</v>
      </c>
      <c r="AK6" s="65">
        <v>0</v>
      </c>
    </row>
    <row r="7" spans="1:37" ht="14.25" customHeight="1">
      <c r="A7" s="67" t="s">
        <v>138</v>
      </c>
      <c r="B7" s="99">
        <v>0</v>
      </c>
      <c r="C7" s="99">
        <v>0</v>
      </c>
      <c r="D7" s="68">
        <v>0</v>
      </c>
      <c r="E7" s="99">
        <v>0</v>
      </c>
      <c r="F7" s="99">
        <v>0</v>
      </c>
      <c r="G7" s="68">
        <v>0</v>
      </c>
      <c r="H7" s="101"/>
      <c r="I7" s="101"/>
      <c r="J7" s="69"/>
      <c r="K7" s="99">
        <v>0</v>
      </c>
      <c r="L7" s="99">
        <v>0</v>
      </c>
      <c r="M7" s="68">
        <v>0</v>
      </c>
      <c r="N7" s="68">
        <v>0</v>
      </c>
      <c r="O7" s="99">
        <v>0</v>
      </c>
      <c r="P7" s="99">
        <v>462.4</v>
      </c>
      <c r="Q7" s="68">
        <v>0</v>
      </c>
      <c r="R7" s="99">
        <v>0</v>
      </c>
      <c r="S7" s="99">
        <v>0</v>
      </c>
      <c r="T7" s="99">
        <v>462.4</v>
      </c>
      <c r="U7" s="68">
        <v>0</v>
      </c>
      <c r="V7" s="99">
        <v>0</v>
      </c>
      <c r="W7" s="99">
        <v>0</v>
      </c>
      <c r="X7" s="99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0</v>
      </c>
      <c r="AE7" s="68">
        <v>0</v>
      </c>
      <c r="AF7" s="68">
        <v>0</v>
      </c>
      <c r="AG7" s="68">
        <v>0</v>
      </c>
      <c r="AH7" s="68">
        <v>0</v>
      </c>
      <c r="AI7" s="68">
        <v>0</v>
      </c>
      <c r="AJ7" s="99">
        <v>0</v>
      </c>
      <c r="AK7" s="68">
        <v>0</v>
      </c>
    </row>
    <row r="8" spans="1:37" ht="14.25" customHeight="1">
      <c r="A8" s="64" t="s">
        <v>75</v>
      </c>
      <c r="B8" s="98">
        <v>0</v>
      </c>
      <c r="C8" s="98">
        <v>0</v>
      </c>
      <c r="D8" s="65">
        <v>0</v>
      </c>
      <c r="E8" s="98">
        <v>0</v>
      </c>
      <c r="F8" s="98">
        <v>0</v>
      </c>
      <c r="G8" s="65">
        <v>0</v>
      </c>
      <c r="H8" s="102"/>
      <c r="I8" s="102"/>
      <c r="J8" s="66"/>
      <c r="K8" s="98">
        <v>0</v>
      </c>
      <c r="L8" s="98">
        <v>0</v>
      </c>
      <c r="M8" s="65">
        <v>0</v>
      </c>
      <c r="N8" s="65">
        <v>0</v>
      </c>
      <c r="O8" s="98">
        <v>0</v>
      </c>
      <c r="P8" s="98">
        <v>432</v>
      </c>
      <c r="Q8" s="65">
        <v>0</v>
      </c>
      <c r="R8" s="98">
        <v>0</v>
      </c>
      <c r="S8" s="98">
        <v>0</v>
      </c>
      <c r="T8" s="98">
        <v>432</v>
      </c>
      <c r="U8" s="65">
        <v>0</v>
      </c>
      <c r="V8" s="98">
        <v>0</v>
      </c>
      <c r="W8" s="98">
        <v>0</v>
      </c>
      <c r="X8" s="98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98">
        <v>0</v>
      </c>
      <c r="AK8" s="65">
        <v>0</v>
      </c>
    </row>
    <row r="9" spans="1:37" ht="14.25" customHeight="1">
      <c r="A9" s="67" t="s">
        <v>139</v>
      </c>
      <c r="B9" s="99">
        <v>0</v>
      </c>
      <c r="C9" s="99">
        <v>0</v>
      </c>
      <c r="D9" s="68">
        <v>0</v>
      </c>
      <c r="E9" s="99">
        <v>0</v>
      </c>
      <c r="F9" s="99">
        <v>0</v>
      </c>
      <c r="G9" s="68">
        <v>0</v>
      </c>
      <c r="H9" s="101"/>
      <c r="I9" s="101"/>
      <c r="J9" s="69"/>
      <c r="K9" s="99">
        <v>0</v>
      </c>
      <c r="L9" s="99">
        <v>0</v>
      </c>
      <c r="M9" s="68">
        <v>0</v>
      </c>
      <c r="N9" s="68">
        <v>0</v>
      </c>
      <c r="O9" s="99">
        <v>0</v>
      </c>
      <c r="P9" s="99">
        <v>428</v>
      </c>
      <c r="Q9" s="68">
        <v>0</v>
      </c>
      <c r="R9" s="99">
        <v>0</v>
      </c>
      <c r="S9" s="99">
        <v>0</v>
      </c>
      <c r="T9" s="99">
        <v>428</v>
      </c>
      <c r="U9" s="68">
        <v>0</v>
      </c>
      <c r="V9" s="99">
        <v>0</v>
      </c>
      <c r="W9" s="99">
        <v>0</v>
      </c>
      <c r="X9" s="99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0</v>
      </c>
      <c r="AE9" s="68">
        <v>0</v>
      </c>
      <c r="AF9" s="68">
        <v>0</v>
      </c>
      <c r="AG9" s="68">
        <v>0</v>
      </c>
      <c r="AH9" s="68">
        <v>0</v>
      </c>
      <c r="AI9" s="68">
        <v>0</v>
      </c>
      <c r="AJ9" s="99">
        <v>0</v>
      </c>
      <c r="AK9" s="68">
        <v>0</v>
      </c>
    </row>
    <row r="10" spans="1:37" ht="14.25" customHeight="1">
      <c r="A10" s="64" t="s">
        <v>140</v>
      </c>
      <c r="B10" s="98">
        <v>0</v>
      </c>
      <c r="C10" s="98">
        <v>0</v>
      </c>
      <c r="D10" s="65">
        <v>0</v>
      </c>
      <c r="E10" s="98">
        <v>0</v>
      </c>
      <c r="F10" s="98">
        <v>0</v>
      </c>
      <c r="G10" s="65">
        <v>0</v>
      </c>
      <c r="H10" s="102"/>
      <c r="I10" s="102"/>
      <c r="J10" s="66"/>
      <c r="K10" s="98">
        <v>0</v>
      </c>
      <c r="L10" s="98">
        <v>0</v>
      </c>
      <c r="M10" s="65">
        <v>0</v>
      </c>
      <c r="N10" s="65">
        <v>0</v>
      </c>
      <c r="O10" s="98">
        <v>0</v>
      </c>
      <c r="P10" s="98">
        <v>409.4</v>
      </c>
      <c r="Q10" s="65">
        <v>0</v>
      </c>
      <c r="R10" s="98">
        <v>0</v>
      </c>
      <c r="S10" s="98">
        <v>0</v>
      </c>
      <c r="T10" s="98">
        <v>409.4</v>
      </c>
      <c r="U10" s="65">
        <v>0</v>
      </c>
      <c r="V10" s="98">
        <v>0</v>
      </c>
      <c r="W10" s="98">
        <v>0</v>
      </c>
      <c r="X10" s="98">
        <v>0</v>
      </c>
      <c r="Y10" s="65">
        <v>0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r="AF10" s="65">
        <v>0</v>
      </c>
      <c r="AG10" s="65">
        <v>0</v>
      </c>
      <c r="AH10" s="65">
        <v>0</v>
      </c>
      <c r="AI10" s="65">
        <v>0</v>
      </c>
      <c r="AJ10" s="98">
        <v>0</v>
      </c>
      <c r="AK10" s="65">
        <v>0</v>
      </c>
    </row>
    <row r="11" spans="1:37" ht="14.25" customHeight="1">
      <c r="A11" s="67" t="s">
        <v>141</v>
      </c>
      <c r="B11" s="99">
        <v>0</v>
      </c>
      <c r="C11" s="99">
        <v>0</v>
      </c>
      <c r="D11" s="68">
        <v>0</v>
      </c>
      <c r="E11" s="99">
        <v>0</v>
      </c>
      <c r="F11" s="99">
        <v>0</v>
      </c>
      <c r="G11" s="68">
        <v>0</v>
      </c>
      <c r="H11" s="101"/>
      <c r="I11" s="101"/>
      <c r="J11" s="69"/>
      <c r="K11" s="99">
        <v>0</v>
      </c>
      <c r="L11" s="99">
        <v>0</v>
      </c>
      <c r="M11" s="68">
        <v>0</v>
      </c>
      <c r="N11" s="68">
        <v>0</v>
      </c>
      <c r="O11" s="99">
        <v>0</v>
      </c>
      <c r="P11" s="99">
        <v>413.28</v>
      </c>
      <c r="Q11" s="68">
        <v>0</v>
      </c>
      <c r="R11" s="99">
        <v>0</v>
      </c>
      <c r="S11" s="99">
        <v>0</v>
      </c>
      <c r="T11" s="99">
        <v>413.28</v>
      </c>
      <c r="U11" s="68">
        <v>0</v>
      </c>
      <c r="V11" s="99">
        <v>0</v>
      </c>
      <c r="W11" s="99">
        <v>0</v>
      </c>
      <c r="X11" s="99">
        <v>0</v>
      </c>
      <c r="Y11" s="68">
        <v>0</v>
      </c>
      <c r="Z11" s="68">
        <v>0</v>
      </c>
      <c r="AA11" s="68">
        <v>0</v>
      </c>
      <c r="AB11" s="68">
        <v>0</v>
      </c>
      <c r="AC11" s="68">
        <v>0</v>
      </c>
      <c r="AD11" s="68">
        <v>0</v>
      </c>
      <c r="AE11" s="68">
        <v>0</v>
      </c>
      <c r="AF11" s="68">
        <v>0</v>
      </c>
      <c r="AG11" s="68">
        <v>0</v>
      </c>
      <c r="AH11" s="68">
        <v>0</v>
      </c>
      <c r="AI11" s="68">
        <v>0</v>
      </c>
      <c r="AJ11" s="99">
        <v>0</v>
      </c>
      <c r="AK11" s="68">
        <v>0</v>
      </c>
    </row>
    <row r="12" spans="1:37" ht="14.25" customHeight="1">
      <c r="A12" s="64" t="s">
        <v>76</v>
      </c>
      <c r="B12" s="98">
        <v>0</v>
      </c>
      <c r="C12" s="98">
        <v>0</v>
      </c>
      <c r="D12" s="65">
        <v>0</v>
      </c>
      <c r="E12" s="98">
        <v>0</v>
      </c>
      <c r="F12" s="98">
        <v>0</v>
      </c>
      <c r="G12" s="65">
        <v>0</v>
      </c>
      <c r="H12" s="102"/>
      <c r="I12" s="102"/>
      <c r="J12" s="66"/>
      <c r="K12" s="98">
        <v>0</v>
      </c>
      <c r="L12" s="98">
        <v>0</v>
      </c>
      <c r="M12" s="65">
        <v>0</v>
      </c>
      <c r="N12" s="65">
        <v>0</v>
      </c>
      <c r="O12" s="98">
        <v>0</v>
      </c>
      <c r="P12" s="98">
        <v>401.4</v>
      </c>
      <c r="Q12" s="65">
        <v>0</v>
      </c>
      <c r="R12" s="98">
        <v>0</v>
      </c>
      <c r="S12" s="98">
        <v>0</v>
      </c>
      <c r="T12" s="98">
        <v>401.4</v>
      </c>
      <c r="U12" s="65">
        <v>0</v>
      </c>
      <c r="V12" s="98">
        <v>0</v>
      </c>
      <c r="W12" s="98">
        <v>0</v>
      </c>
      <c r="X12" s="98">
        <v>0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r="AF12" s="65">
        <v>0</v>
      </c>
      <c r="AG12" s="65">
        <v>0</v>
      </c>
      <c r="AH12" s="65">
        <v>0</v>
      </c>
      <c r="AI12" s="65">
        <v>0</v>
      </c>
      <c r="AJ12" s="98">
        <v>0</v>
      </c>
      <c r="AK12" s="65">
        <v>0</v>
      </c>
    </row>
    <row r="13" spans="1:37" ht="14.25" customHeight="1">
      <c r="A13" s="67" t="s">
        <v>142</v>
      </c>
      <c r="B13" s="99">
        <v>0</v>
      </c>
      <c r="C13" s="99">
        <v>0</v>
      </c>
      <c r="D13" s="68">
        <v>0</v>
      </c>
      <c r="E13" s="99">
        <v>0</v>
      </c>
      <c r="F13" s="99">
        <v>0</v>
      </c>
      <c r="G13" s="68">
        <v>0</v>
      </c>
      <c r="H13" s="101"/>
      <c r="I13" s="101"/>
      <c r="J13" s="69"/>
      <c r="K13" s="99">
        <v>0</v>
      </c>
      <c r="L13" s="99">
        <v>0</v>
      </c>
      <c r="M13" s="68">
        <v>0</v>
      </c>
      <c r="N13" s="68">
        <v>0</v>
      </c>
      <c r="O13" s="99">
        <v>0</v>
      </c>
      <c r="P13" s="99">
        <v>402</v>
      </c>
      <c r="Q13" s="68">
        <v>0</v>
      </c>
      <c r="R13" s="99">
        <v>0</v>
      </c>
      <c r="S13" s="99">
        <v>0</v>
      </c>
      <c r="T13" s="99">
        <v>402</v>
      </c>
      <c r="U13" s="68">
        <v>0</v>
      </c>
      <c r="V13" s="99">
        <v>0</v>
      </c>
      <c r="W13" s="99">
        <v>0</v>
      </c>
      <c r="X13" s="99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0</v>
      </c>
      <c r="AE13" s="68">
        <v>0</v>
      </c>
      <c r="AF13" s="68">
        <v>0</v>
      </c>
      <c r="AG13" s="68">
        <v>0</v>
      </c>
      <c r="AH13" s="68">
        <v>0</v>
      </c>
      <c r="AI13" s="68">
        <v>0</v>
      </c>
      <c r="AJ13" s="99">
        <v>0</v>
      </c>
      <c r="AK13" s="68">
        <v>0</v>
      </c>
    </row>
    <row r="14" spans="1:37" ht="14.25" customHeight="1">
      <c r="A14" s="64" t="s">
        <v>143</v>
      </c>
      <c r="B14" s="98">
        <v>0</v>
      </c>
      <c r="C14" s="98">
        <v>0</v>
      </c>
      <c r="D14" s="65">
        <v>0</v>
      </c>
      <c r="E14" s="98">
        <v>0</v>
      </c>
      <c r="F14" s="98">
        <v>0</v>
      </c>
      <c r="G14" s="65">
        <v>0</v>
      </c>
      <c r="H14" s="102"/>
      <c r="I14" s="102"/>
      <c r="J14" s="66"/>
      <c r="K14" s="98">
        <v>0</v>
      </c>
      <c r="L14" s="98">
        <v>0</v>
      </c>
      <c r="M14" s="65">
        <v>0</v>
      </c>
      <c r="N14" s="65">
        <v>0</v>
      </c>
      <c r="O14" s="98">
        <v>0</v>
      </c>
      <c r="P14" s="98">
        <v>395.08</v>
      </c>
      <c r="Q14" s="65">
        <v>0</v>
      </c>
      <c r="R14" s="98">
        <v>0</v>
      </c>
      <c r="S14" s="98">
        <v>0</v>
      </c>
      <c r="T14" s="98">
        <v>395.08</v>
      </c>
      <c r="U14" s="65">
        <v>0</v>
      </c>
      <c r="V14" s="98">
        <v>0</v>
      </c>
      <c r="W14" s="98">
        <v>0</v>
      </c>
      <c r="X14" s="98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98">
        <v>0</v>
      </c>
      <c r="AK14" s="65">
        <v>0</v>
      </c>
    </row>
    <row r="15" spans="1:37" ht="14.25" customHeight="1">
      <c r="A15" s="67" t="s">
        <v>144</v>
      </c>
      <c r="B15" s="99">
        <v>0</v>
      </c>
      <c r="C15" s="99">
        <v>0</v>
      </c>
      <c r="D15" s="68">
        <v>0</v>
      </c>
      <c r="E15" s="99">
        <v>0</v>
      </c>
      <c r="F15" s="99">
        <v>0</v>
      </c>
      <c r="G15" s="68">
        <v>0</v>
      </c>
      <c r="H15" s="101"/>
      <c r="I15" s="101"/>
      <c r="J15" s="69"/>
      <c r="K15" s="99">
        <v>0</v>
      </c>
      <c r="L15" s="99">
        <v>0</v>
      </c>
      <c r="M15" s="68">
        <v>0</v>
      </c>
      <c r="N15" s="68">
        <v>0</v>
      </c>
      <c r="O15" s="99">
        <v>0</v>
      </c>
      <c r="P15" s="99">
        <v>392</v>
      </c>
      <c r="Q15" s="68">
        <v>0</v>
      </c>
      <c r="R15" s="99">
        <v>0</v>
      </c>
      <c r="S15" s="99">
        <v>0</v>
      </c>
      <c r="T15" s="99">
        <v>392</v>
      </c>
      <c r="U15" s="68">
        <v>0</v>
      </c>
      <c r="V15" s="99">
        <v>0</v>
      </c>
      <c r="W15" s="99">
        <v>0</v>
      </c>
      <c r="X15" s="99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0</v>
      </c>
      <c r="AD15" s="68">
        <v>0</v>
      </c>
      <c r="AE15" s="68">
        <v>0</v>
      </c>
      <c r="AF15" s="68">
        <v>0</v>
      </c>
      <c r="AG15" s="68">
        <v>0</v>
      </c>
      <c r="AH15" s="68">
        <v>0</v>
      </c>
      <c r="AI15" s="68">
        <v>0</v>
      </c>
      <c r="AJ15" s="99">
        <v>0</v>
      </c>
      <c r="AK15" s="68">
        <v>0</v>
      </c>
    </row>
    <row r="16" spans="1:37" ht="14.25" customHeight="1">
      <c r="A16" s="64" t="s">
        <v>77</v>
      </c>
      <c r="B16" s="98">
        <v>0</v>
      </c>
      <c r="C16" s="98">
        <v>0</v>
      </c>
      <c r="D16" s="65">
        <v>0</v>
      </c>
      <c r="E16" s="98">
        <v>0</v>
      </c>
      <c r="F16" s="98">
        <v>0</v>
      </c>
      <c r="G16" s="65">
        <v>0</v>
      </c>
      <c r="H16" s="102"/>
      <c r="I16" s="102"/>
      <c r="J16" s="66"/>
      <c r="K16" s="98">
        <v>0</v>
      </c>
      <c r="L16" s="98">
        <v>0</v>
      </c>
      <c r="M16" s="65">
        <v>0</v>
      </c>
      <c r="N16" s="65">
        <v>0</v>
      </c>
      <c r="O16" s="98">
        <v>0</v>
      </c>
      <c r="P16" s="98">
        <v>382.4</v>
      </c>
      <c r="Q16" s="65">
        <v>0</v>
      </c>
      <c r="R16" s="98">
        <v>0</v>
      </c>
      <c r="S16" s="98">
        <v>0</v>
      </c>
      <c r="T16" s="98">
        <v>382.4</v>
      </c>
      <c r="U16" s="65">
        <v>0</v>
      </c>
      <c r="V16" s="98">
        <v>0</v>
      </c>
      <c r="W16" s="98">
        <v>0</v>
      </c>
      <c r="X16" s="98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98">
        <v>0</v>
      </c>
      <c r="AK16" s="65">
        <v>0</v>
      </c>
    </row>
    <row r="17" spans="1:37" ht="14.25" customHeight="1">
      <c r="A17" s="67" t="s">
        <v>145</v>
      </c>
      <c r="B17" s="99">
        <v>0</v>
      </c>
      <c r="C17" s="99">
        <v>0</v>
      </c>
      <c r="D17" s="68">
        <v>0</v>
      </c>
      <c r="E17" s="99">
        <v>0</v>
      </c>
      <c r="F17" s="99">
        <v>0</v>
      </c>
      <c r="G17" s="68">
        <v>0</v>
      </c>
      <c r="H17" s="101"/>
      <c r="I17" s="101"/>
      <c r="J17" s="69"/>
      <c r="K17" s="99">
        <v>0</v>
      </c>
      <c r="L17" s="99">
        <v>0</v>
      </c>
      <c r="M17" s="68">
        <v>0</v>
      </c>
      <c r="N17" s="68">
        <v>0</v>
      </c>
      <c r="O17" s="99">
        <v>0</v>
      </c>
      <c r="P17" s="99">
        <v>373.52</v>
      </c>
      <c r="Q17" s="68">
        <v>0</v>
      </c>
      <c r="R17" s="99">
        <v>0</v>
      </c>
      <c r="S17" s="99">
        <v>0</v>
      </c>
      <c r="T17" s="99">
        <v>373.52</v>
      </c>
      <c r="U17" s="68">
        <v>0</v>
      </c>
      <c r="V17" s="99">
        <v>0</v>
      </c>
      <c r="W17" s="99">
        <v>0</v>
      </c>
      <c r="X17" s="99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0</v>
      </c>
      <c r="AE17" s="68">
        <v>0</v>
      </c>
      <c r="AF17" s="68">
        <v>0</v>
      </c>
      <c r="AG17" s="68">
        <v>0</v>
      </c>
      <c r="AH17" s="68">
        <v>0</v>
      </c>
      <c r="AI17" s="68">
        <v>0</v>
      </c>
      <c r="AJ17" s="99">
        <v>0</v>
      </c>
      <c r="AK17" s="68">
        <v>0</v>
      </c>
    </row>
    <row r="18" spans="1:37" ht="14.25" customHeight="1">
      <c r="A18" s="64" t="s">
        <v>146</v>
      </c>
      <c r="B18" s="98">
        <v>0</v>
      </c>
      <c r="C18" s="98">
        <v>0</v>
      </c>
      <c r="D18" s="65">
        <v>0</v>
      </c>
      <c r="E18" s="98">
        <v>0</v>
      </c>
      <c r="F18" s="98">
        <v>0</v>
      </c>
      <c r="G18" s="65">
        <v>0</v>
      </c>
      <c r="H18" s="102"/>
      <c r="I18" s="102"/>
      <c r="J18" s="66"/>
      <c r="K18" s="98">
        <v>0</v>
      </c>
      <c r="L18" s="98">
        <v>0</v>
      </c>
      <c r="M18" s="65">
        <v>0</v>
      </c>
      <c r="N18" s="65">
        <v>0</v>
      </c>
      <c r="O18" s="98">
        <v>0</v>
      </c>
      <c r="P18" s="98">
        <v>374</v>
      </c>
      <c r="Q18" s="65">
        <v>0</v>
      </c>
      <c r="R18" s="98">
        <v>0</v>
      </c>
      <c r="S18" s="98">
        <v>0</v>
      </c>
      <c r="T18" s="98">
        <v>374</v>
      </c>
      <c r="U18" s="65">
        <v>0</v>
      </c>
      <c r="V18" s="98">
        <v>0</v>
      </c>
      <c r="W18" s="98">
        <v>0</v>
      </c>
      <c r="X18" s="98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98">
        <v>0</v>
      </c>
      <c r="AK18" s="65">
        <v>0</v>
      </c>
    </row>
    <row r="19" spans="1:37" ht="14.25" customHeight="1">
      <c r="A19" s="67" t="s">
        <v>147</v>
      </c>
      <c r="B19" s="99">
        <v>0</v>
      </c>
      <c r="C19" s="99">
        <v>0</v>
      </c>
      <c r="D19" s="68">
        <v>0</v>
      </c>
      <c r="E19" s="99">
        <v>0</v>
      </c>
      <c r="F19" s="99">
        <v>0</v>
      </c>
      <c r="G19" s="68">
        <v>0</v>
      </c>
      <c r="H19" s="101"/>
      <c r="I19" s="101"/>
      <c r="J19" s="69"/>
      <c r="K19" s="99">
        <v>0</v>
      </c>
      <c r="L19" s="99">
        <v>0</v>
      </c>
      <c r="M19" s="68">
        <v>0</v>
      </c>
      <c r="N19" s="68">
        <v>0</v>
      </c>
      <c r="O19" s="99">
        <v>0</v>
      </c>
      <c r="P19" s="99">
        <v>373.88</v>
      </c>
      <c r="Q19" s="68">
        <v>0</v>
      </c>
      <c r="R19" s="99">
        <v>0</v>
      </c>
      <c r="S19" s="99">
        <v>0</v>
      </c>
      <c r="T19" s="99">
        <v>373.88</v>
      </c>
      <c r="U19" s="68">
        <v>0</v>
      </c>
      <c r="V19" s="99">
        <v>0</v>
      </c>
      <c r="W19" s="99">
        <v>0</v>
      </c>
      <c r="X19" s="99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0</v>
      </c>
      <c r="AD19" s="68">
        <v>0</v>
      </c>
      <c r="AE19" s="68">
        <v>0</v>
      </c>
      <c r="AF19" s="68">
        <v>0</v>
      </c>
      <c r="AG19" s="68">
        <v>0</v>
      </c>
      <c r="AH19" s="68">
        <v>0</v>
      </c>
      <c r="AI19" s="68">
        <v>0</v>
      </c>
      <c r="AJ19" s="99">
        <v>0</v>
      </c>
      <c r="AK19" s="68">
        <v>0</v>
      </c>
    </row>
    <row r="20" spans="1:37" ht="14.25" customHeight="1">
      <c r="A20" s="64" t="s">
        <v>78</v>
      </c>
      <c r="B20" s="98">
        <v>0</v>
      </c>
      <c r="C20" s="98">
        <v>0</v>
      </c>
      <c r="D20" s="65">
        <v>0</v>
      </c>
      <c r="E20" s="98">
        <v>0</v>
      </c>
      <c r="F20" s="98">
        <v>0</v>
      </c>
      <c r="G20" s="65">
        <v>0</v>
      </c>
      <c r="H20" s="102"/>
      <c r="I20" s="102"/>
      <c r="J20" s="66"/>
      <c r="K20" s="98">
        <v>0</v>
      </c>
      <c r="L20" s="98">
        <v>0</v>
      </c>
      <c r="M20" s="65">
        <v>0</v>
      </c>
      <c r="N20" s="65">
        <v>0</v>
      </c>
      <c r="O20" s="98">
        <v>0</v>
      </c>
      <c r="P20" s="98">
        <v>376</v>
      </c>
      <c r="Q20" s="65">
        <v>0</v>
      </c>
      <c r="R20" s="98">
        <v>0</v>
      </c>
      <c r="S20" s="98">
        <v>0</v>
      </c>
      <c r="T20" s="98">
        <v>376</v>
      </c>
      <c r="U20" s="65">
        <v>0</v>
      </c>
      <c r="V20" s="98">
        <v>0</v>
      </c>
      <c r="W20" s="98">
        <v>0</v>
      </c>
      <c r="X20" s="98">
        <v>0</v>
      </c>
      <c r="Y20" s="65">
        <v>0</v>
      </c>
      <c r="Z20" s="65">
        <v>0</v>
      </c>
      <c r="AA20" s="65">
        <v>0</v>
      </c>
      <c r="AB20" s="65">
        <v>0</v>
      </c>
      <c r="AC20" s="65">
        <v>0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98">
        <v>0</v>
      </c>
      <c r="AK20" s="65">
        <v>0</v>
      </c>
    </row>
    <row r="21" spans="1:37" ht="14.25" customHeight="1">
      <c r="A21" s="67" t="s">
        <v>148</v>
      </c>
      <c r="B21" s="99">
        <v>0</v>
      </c>
      <c r="C21" s="99">
        <v>0</v>
      </c>
      <c r="D21" s="68">
        <v>0</v>
      </c>
      <c r="E21" s="99">
        <v>0</v>
      </c>
      <c r="F21" s="99">
        <v>0</v>
      </c>
      <c r="G21" s="68">
        <v>0</v>
      </c>
      <c r="H21" s="101"/>
      <c r="I21" s="101"/>
      <c r="J21" s="69"/>
      <c r="K21" s="99">
        <v>0</v>
      </c>
      <c r="L21" s="99">
        <v>0</v>
      </c>
      <c r="M21" s="68">
        <v>0</v>
      </c>
      <c r="N21" s="68">
        <v>0</v>
      </c>
      <c r="O21" s="99">
        <v>0</v>
      </c>
      <c r="P21" s="99">
        <v>376</v>
      </c>
      <c r="Q21" s="68">
        <v>0</v>
      </c>
      <c r="R21" s="99">
        <v>0</v>
      </c>
      <c r="S21" s="99">
        <v>0</v>
      </c>
      <c r="T21" s="99">
        <v>376</v>
      </c>
      <c r="U21" s="68">
        <v>0</v>
      </c>
      <c r="V21" s="99">
        <v>0</v>
      </c>
      <c r="W21" s="99">
        <v>0</v>
      </c>
      <c r="X21" s="99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0</v>
      </c>
      <c r="AE21" s="68">
        <v>0</v>
      </c>
      <c r="AF21" s="68">
        <v>0</v>
      </c>
      <c r="AG21" s="68">
        <v>0</v>
      </c>
      <c r="AH21" s="68">
        <v>0</v>
      </c>
      <c r="AI21" s="68">
        <v>0</v>
      </c>
      <c r="AJ21" s="99">
        <v>0</v>
      </c>
      <c r="AK21" s="68">
        <v>0</v>
      </c>
    </row>
    <row r="22" spans="1:37" ht="14.25" customHeight="1">
      <c r="A22" s="64" t="s">
        <v>149</v>
      </c>
      <c r="B22" s="98">
        <v>0</v>
      </c>
      <c r="C22" s="98">
        <v>0</v>
      </c>
      <c r="D22" s="65">
        <v>0</v>
      </c>
      <c r="E22" s="98">
        <v>0</v>
      </c>
      <c r="F22" s="98">
        <v>0</v>
      </c>
      <c r="G22" s="65">
        <v>0</v>
      </c>
      <c r="H22" s="102"/>
      <c r="I22" s="102"/>
      <c r="J22" s="66"/>
      <c r="K22" s="98">
        <v>0</v>
      </c>
      <c r="L22" s="98">
        <v>0</v>
      </c>
      <c r="M22" s="65">
        <v>0</v>
      </c>
      <c r="N22" s="65">
        <v>0</v>
      </c>
      <c r="O22" s="98">
        <v>0</v>
      </c>
      <c r="P22" s="98">
        <v>385.36</v>
      </c>
      <c r="Q22" s="65">
        <v>0</v>
      </c>
      <c r="R22" s="98">
        <v>0</v>
      </c>
      <c r="S22" s="98">
        <v>0</v>
      </c>
      <c r="T22" s="98">
        <v>385.36</v>
      </c>
      <c r="U22" s="65">
        <v>0</v>
      </c>
      <c r="V22" s="98">
        <v>0</v>
      </c>
      <c r="W22" s="98">
        <v>0</v>
      </c>
      <c r="X22" s="98">
        <v>0</v>
      </c>
      <c r="Y22" s="65">
        <v>0</v>
      </c>
      <c r="Z22" s="65">
        <v>0</v>
      </c>
      <c r="AA22" s="65">
        <v>0</v>
      </c>
      <c r="AB22" s="65">
        <v>0</v>
      </c>
      <c r="AC22" s="65">
        <v>0</v>
      </c>
      <c r="AD22" s="65">
        <v>0</v>
      </c>
      <c r="AE22" s="65">
        <v>0</v>
      </c>
      <c r="AF22" s="65">
        <v>0</v>
      </c>
      <c r="AG22" s="65">
        <v>0</v>
      </c>
      <c r="AH22" s="65">
        <v>0</v>
      </c>
      <c r="AI22" s="65">
        <v>0</v>
      </c>
      <c r="AJ22" s="98">
        <v>0</v>
      </c>
      <c r="AK22" s="65">
        <v>0</v>
      </c>
    </row>
    <row r="23" spans="1:37" ht="14.25" customHeight="1">
      <c r="A23" s="67" t="s">
        <v>150</v>
      </c>
      <c r="B23" s="99">
        <v>0</v>
      </c>
      <c r="C23" s="99">
        <v>0</v>
      </c>
      <c r="D23" s="68">
        <v>0</v>
      </c>
      <c r="E23" s="99">
        <v>0</v>
      </c>
      <c r="F23" s="99">
        <v>0</v>
      </c>
      <c r="G23" s="68">
        <v>0</v>
      </c>
      <c r="H23" s="101"/>
      <c r="I23" s="101"/>
      <c r="J23" s="69"/>
      <c r="K23" s="99">
        <v>0</v>
      </c>
      <c r="L23" s="99">
        <v>0</v>
      </c>
      <c r="M23" s="68">
        <v>0</v>
      </c>
      <c r="N23" s="68">
        <v>0</v>
      </c>
      <c r="O23" s="99">
        <v>0</v>
      </c>
      <c r="P23" s="99">
        <v>398</v>
      </c>
      <c r="Q23" s="68">
        <v>0</v>
      </c>
      <c r="R23" s="99">
        <v>0</v>
      </c>
      <c r="S23" s="99">
        <v>0</v>
      </c>
      <c r="T23" s="99">
        <v>398</v>
      </c>
      <c r="U23" s="68">
        <v>0</v>
      </c>
      <c r="V23" s="99">
        <v>0</v>
      </c>
      <c r="W23" s="99">
        <v>0</v>
      </c>
      <c r="X23" s="99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0</v>
      </c>
      <c r="AE23" s="68">
        <v>0</v>
      </c>
      <c r="AF23" s="68">
        <v>0</v>
      </c>
      <c r="AG23" s="68">
        <v>0</v>
      </c>
      <c r="AH23" s="68">
        <v>0</v>
      </c>
      <c r="AI23" s="68">
        <v>0</v>
      </c>
      <c r="AJ23" s="99">
        <v>0</v>
      </c>
      <c r="AK23" s="68">
        <v>0</v>
      </c>
    </row>
    <row r="24" spans="1:37" ht="14.25" customHeight="1">
      <c r="A24" s="64" t="s">
        <v>79</v>
      </c>
      <c r="B24" s="98">
        <v>0</v>
      </c>
      <c r="C24" s="98">
        <v>0</v>
      </c>
      <c r="D24" s="65">
        <v>0</v>
      </c>
      <c r="E24" s="98">
        <v>0</v>
      </c>
      <c r="F24" s="98">
        <v>0</v>
      </c>
      <c r="G24" s="65">
        <v>0</v>
      </c>
      <c r="H24" s="102"/>
      <c r="I24" s="102"/>
      <c r="J24" s="66"/>
      <c r="K24" s="98">
        <v>0</v>
      </c>
      <c r="L24" s="98">
        <v>0</v>
      </c>
      <c r="M24" s="65">
        <v>0</v>
      </c>
      <c r="N24" s="65">
        <v>0</v>
      </c>
      <c r="O24" s="98">
        <v>0</v>
      </c>
      <c r="P24" s="98">
        <v>408</v>
      </c>
      <c r="Q24" s="65">
        <v>0</v>
      </c>
      <c r="R24" s="98">
        <v>0</v>
      </c>
      <c r="S24" s="98">
        <v>0</v>
      </c>
      <c r="T24" s="98">
        <v>408</v>
      </c>
      <c r="U24" s="65">
        <v>0</v>
      </c>
      <c r="V24" s="98">
        <v>0</v>
      </c>
      <c r="W24" s="98">
        <v>0</v>
      </c>
      <c r="X24" s="98">
        <v>0</v>
      </c>
      <c r="Y24" s="65">
        <v>0</v>
      </c>
      <c r="Z24" s="65">
        <v>0</v>
      </c>
      <c r="AA24" s="65">
        <v>0</v>
      </c>
      <c r="AB24" s="65">
        <v>0</v>
      </c>
      <c r="AC24" s="65">
        <v>0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98">
        <v>0</v>
      </c>
      <c r="AK24" s="65">
        <v>0</v>
      </c>
    </row>
    <row r="25" spans="1:37" ht="14.25" customHeight="1">
      <c r="A25" s="67" t="s">
        <v>151</v>
      </c>
      <c r="B25" s="99">
        <v>0</v>
      </c>
      <c r="C25" s="99">
        <v>0</v>
      </c>
      <c r="D25" s="68">
        <v>0</v>
      </c>
      <c r="E25" s="99">
        <v>0</v>
      </c>
      <c r="F25" s="99">
        <v>0</v>
      </c>
      <c r="G25" s="68">
        <v>0</v>
      </c>
      <c r="H25" s="101"/>
      <c r="I25" s="101"/>
      <c r="J25" s="69"/>
      <c r="K25" s="99">
        <v>0</v>
      </c>
      <c r="L25" s="99">
        <v>0</v>
      </c>
      <c r="M25" s="68">
        <v>0</v>
      </c>
      <c r="N25" s="68">
        <v>0</v>
      </c>
      <c r="O25" s="99">
        <v>0</v>
      </c>
      <c r="P25" s="99">
        <v>409.12</v>
      </c>
      <c r="Q25" s="68">
        <v>0</v>
      </c>
      <c r="R25" s="99">
        <v>0</v>
      </c>
      <c r="S25" s="99">
        <v>0</v>
      </c>
      <c r="T25" s="99">
        <v>409.12</v>
      </c>
      <c r="U25" s="68">
        <v>0</v>
      </c>
      <c r="V25" s="99">
        <v>0</v>
      </c>
      <c r="W25" s="99">
        <v>0</v>
      </c>
      <c r="X25" s="99">
        <v>0</v>
      </c>
      <c r="Y25" s="68">
        <v>0</v>
      </c>
      <c r="Z25" s="68">
        <v>0</v>
      </c>
      <c r="AA25" s="68">
        <v>0</v>
      </c>
      <c r="AB25" s="68">
        <v>0</v>
      </c>
      <c r="AC25" s="68">
        <v>0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99">
        <v>0</v>
      </c>
      <c r="AK25" s="68">
        <v>0</v>
      </c>
    </row>
    <row r="26" spans="1:37" ht="14.25" customHeight="1">
      <c r="A26" s="64" t="s">
        <v>152</v>
      </c>
      <c r="B26" s="98">
        <v>0</v>
      </c>
      <c r="C26" s="98">
        <v>0</v>
      </c>
      <c r="D26" s="65">
        <v>0</v>
      </c>
      <c r="E26" s="98">
        <v>0</v>
      </c>
      <c r="F26" s="98">
        <v>0</v>
      </c>
      <c r="G26" s="65">
        <v>0</v>
      </c>
      <c r="H26" s="102"/>
      <c r="I26" s="102"/>
      <c r="J26" s="66"/>
      <c r="K26" s="98">
        <v>0</v>
      </c>
      <c r="L26" s="98">
        <v>0</v>
      </c>
      <c r="M26" s="65">
        <v>0</v>
      </c>
      <c r="N26" s="65">
        <v>0</v>
      </c>
      <c r="O26" s="98">
        <v>0</v>
      </c>
      <c r="P26" s="98">
        <v>404</v>
      </c>
      <c r="Q26" s="65">
        <v>0</v>
      </c>
      <c r="R26" s="98">
        <v>0</v>
      </c>
      <c r="S26" s="98">
        <v>0</v>
      </c>
      <c r="T26" s="98">
        <v>404</v>
      </c>
      <c r="U26" s="65">
        <v>0</v>
      </c>
      <c r="V26" s="98">
        <v>0</v>
      </c>
      <c r="W26" s="98">
        <v>0</v>
      </c>
      <c r="X26" s="98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98">
        <v>0</v>
      </c>
      <c r="AK26" s="65">
        <v>0</v>
      </c>
    </row>
    <row r="27" spans="1:37" ht="14.25" customHeight="1">
      <c r="A27" s="67" t="s">
        <v>153</v>
      </c>
      <c r="B27" s="99">
        <v>0</v>
      </c>
      <c r="C27" s="99">
        <v>0</v>
      </c>
      <c r="D27" s="68">
        <v>0</v>
      </c>
      <c r="E27" s="99">
        <v>0</v>
      </c>
      <c r="F27" s="99">
        <v>0</v>
      </c>
      <c r="G27" s="68">
        <v>0</v>
      </c>
      <c r="H27" s="101"/>
      <c r="I27" s="101"/>
      <c r="J27" s="69"/>
      <c r="K27" s="99">
        <v>0</v>
      </c>
      <c r="L27" s="99">
        <v>0</v>
      </c>
      <c r="M27" s="68">
        <v>0</v>
      </c>
      <c r="N27" s="68">
        <v>0</v>
      </c>
      <c r="O27" s="99">
        <v>0</v>
      </c>
      <c r="P27" s="99">
        <v>381.48</v>
      </c>
      <c r="Q27" s="68">
        <v>0</v>
      </c>
      <c r="R27" s="99">
        <v>0</v>
      </c>
      <c r="S27" s="99">
        <v>0</v>
      </c>
      <c r="T27" s="99">
        <v>381.48</v>
      </c>
      <c r="U27" s="68">
        <v>0</v>
      </c>
      <c r="V27" s="99">
        <v>0</v>
      </c>
      <c r="W27" s="99">
        <v>0</v>
      </c>
      <c r="X27" s="99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0</v>
      </c>
      <c r="AE27" s="68">
        <v>0</v>
      </c>
      <c r="AF27" s="68">
        <v>0</v>
      </c>
      <c r="AG27" s="68">
        <v>0</v>
      </c>
      <c r="AH27" s="68">
        <v>0</v>
      </c>
      <c r="AI27" s="68">
        <v>0</v>
      </c>
      <c r="AJ27" s="99">
        <v>0</v>
      </c>
      <c r="AK27" s="68">
        <v>0</v>
      </c>
    </row>
    <row r="28" spans="1:37" ht="14.25" customHeight="1">
      <c r="A28" s="64" t="s">
        <v>80</v>
      </c>
      <c r="B28" s="98">
        <v>0</v>
      </c>
      <c r="C28" s="98">
        <v>0</v>
      </c>
      <c r="D28" s="65">
        <v>0</v>
      </c>
      <c r="E28" s="98">
        <v>0</v>
      </c>
      <c r="F28" s="98">
        <v>0</v>
      </c>
      <c r="G28" s="65">
        <v>0</v>
      </c>
      <c r="H28" s="102"/>
      <c r="I28" s="102"/>
      <c r="J28" s="66"/>
      <c r="K28" s="98">
        <v>0</v>
      </c>
      <c r="L28" s="98">
        <v>0</v>
      </c>
      <c r="M28" s="65">
        <v>0</v>
      </c>
      <c r="N28" s="65">
        <v>0</v>
      </c>
      <c r="O28" s="98">
        <v>0</v>
      </c>
      <c r="P28" s="98">
        <v>374</v>
      </c>
      <c r="Q28" s="65">
        <v>0</v>
      </c>
      <c r="R28" s="98">
        <v>0</v>
      </c>
      <c r="S28" s="98">
        <v>0</v>
      </c>
      <c r="T28" s="98">
        <v>374</v>
      </c>
      <c r="U28" s="65">
        <v>0</v>
      </c>
      <c r="V28" s="98">
        <v>0</v>
      </c>
      <c r="W28" s="98">
        <v>0</v>
      </c>
      <c r="X28" s="98">
        <v>0</v>
      </c>
      <c r="Y28" s="65">
        <v>0</v>
      </c>
      <c r="Z28" s="65">
        <v>0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98">
        <v>0</v>
      </c>
      <c r="AK28" s="65">
        <v>0</v>
      </c>
    </row>
    <row r="29" spans="1:37" ht="14.25" customHeight="1">
      <c r="A29" s="67" t="s">
        <v>154</v>
      </c>
      <c r="B29" s="99">
        <v>0</v>
      </c>
      <c r="C29" s="99">
        <v>0</v>
      </c>
      <c r="D29" s="68">
        <v>0</v>
      </c>
      <c r="E29" s="99">
        <v>0</v>
      </c>
      <c r="F29" s="99">
        <v>0</v>
      </c>
      <c r="G29" s="68">
        <v>0</v>
      </c>
      <c r="H29" s="101"/>
      <c r="I29" s="101"/>
      <c r="J29" s="69"/>
      <c r="K29" s="99">
        <v>0</v>
      </c>
      <c r="L29" s="99">
        <v>0</v>
      </c>
      <c r="M29" s="68">
        <v>0</v>
      </c>
      <c r="N29" s="68">
        <v>0</v>
      </c>
      <c r="O29" s="99">
        <v>0</v>
      </c>
      <c r="P29" s="99">
        <v>359</v>
      </c>
      <c r="Q29" s="68">
        <v>0</v>
      </c>
      <c r="R29" s="99">
        <v>0</v>
      </c>
      <c r="S29" s="99">
        <v>0</v>
      </c>
      <c r="T29" s="99">
        <v>359</v>
      </c>
      <c r="U29" s="68">
        <v>0</v>
      </c>
      <c r="V29" s="99">
        <v>0</v>
      </c>
      <c r="W29" s="99">
        <v>0</v>
      </c>
      <c r="X29" s="99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0</v>
      </c>
      <c r="AE29" s="68">
        <v>0</v>
      </c>
      <c r="AF29" s="68">
        <v>0</v>
      </c>
      <c r="AG29" s="68">
        <v>0</v>
      </c>
      <c r="AH29" s="68">
        <v>0</v>
      </c>
      <c r="AI29" s="68">
        <v>0</v>
      </c>
      <c r="AJ29" s="99">
        <v>0</v>
      </c>
      <c r="AK29" s="68">
        <v>0</v>
      </c>
    </row>
    <row r="30" spans="1:37" ht="14.25" customHeight="1">
      <c r="A30" s="64" t="s">
        <v>155</v>
      </c>
      <c r="B30" s="98">
        <v>0</v>
      </c>
      <c r="C30" s="98">
        <v>0</v>
      </c>
      <c r="D30" s="65">
        <v>0</v>
      </c>
      <c r="E30" s="98">
        <v>0</v>
      </c>
      <c r="F30" s="98">
        <v>0</v>
      </c>
      <c r="G30" s="65">
        <v>0</v>
      </c>
      <c r="H30" s="102"/>
      <c r="I30" s="102"/>
      <c r="J30" s="66"/>
      <c r="K30" s="98">
        <v>0</v>
      </c>
      <c r="L30" s="98">
        <v>0</v>
      </c>
      <c r="M30" s="65">
        <v>0</v>
      </c>
      <c r="N30" s="65">
        <v>0</v>
      </c>
      <c r="O30" s="98">
        <v>0</v>
      </c>
      <c r="P30" s="98">
        <v>361</v>
      </c>
      <c r="Q30" s="65">
        <v>0</v>
      </c>
      <c r="R30" s="98">
        <v>0</v>
      </c>
      <c r="S30" s="98">
        <v>0</v>
      </c>
      <c r="T30" s="98">
        <v>361</v>
      </c>
      <c r="U30" s="65">
        <v>0</v>
      </c>
      <c r="V30" s="98">
        <v>0</v>
      </c>
      <c r="W30" s="98">
        <v>0</v>
      </c>
      <c r="X30" s="98">
        <v>0</v>
      </c>
      <c r="Y30" s="65">
        <v>0</v>
      </c>
      <c r="Z30" s="65">
        <v>0</v>
      </c>
      <c r="AA30" s="65">
        <v>0</v>
      </c>
      <c r="AB30" s="65">
        <v>0</v>
      </c>
      <c r="AC30" s="65">
        <v>0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98">
        <v>0</v>
      </c>
      <c r="AK30" s="65">
        <v>0</v>
      </c>
    </row>
    <row r="31" spans="1:37" ht="14.25" customHeight="1">
      <c r="A31" s="67" t="s">
        <v>156</v>
      </c>
      <c r="B31" s="99">
        <v>0</v>
      </c>
      <c r="C31" s="99">
        <v>0</v>
      </c>
      <c r="D31" s="68">
        <v>0</v>
      </c>
      <c r="E31" s="99">
        <v>0</v>
      </c>
      <c r="F31" s="99">
        <v>0</v>
      </c>
      <c r="G31" s="68">
        <v>0</v>
      </c>
      <c r="H31" s="101"/>
      <c r="I31" s="101"/>
      <c r="J31" s="69"/>
      <c r="K31" s="99">
        <v>0</v>
      </c>
      <c r="L31" s="99">
        <v>0</v>
      </c>
      <c r="M31" s="68">
        <v>0</v>
      </c>
      <c r="N31" s="68">
        <v>0</v>
      </c>
      <c r="O31" s="99">
        <v>0</v>
      </c>
      <c r="P31" s="99">
        <v>364</v>
      </c>
      <c r="Q31" s="68">
        <v>0</v>
      </c>
      <c r="R31" s="99">
        <v>0</v>
      </c>
      <c r="S31" s="99">
        <v>0</v>
      </c>
      <c r="T31" s="99">
        <v>364</v>
      </c>
      <c r="U31" s="68">
        <v>0</v>
      </c>
      <c r="V31" s="99">
        <v>0</v>
      </c>
      <c r="W31" s="99">
        <v>0</v>
      </c>
      <c r="X31" s="99">
        <v>0</v>
      </c>
      <c r="Y31" s="68">
        <v>0</v>
      </c>
      <c r="Z31" s="68">
        <v>0</v>
      </c>
      <c r="AA31" s="68">
        <v>0</v>
      </c>
      <c r="AB31" s="68">
        <v>0</v>
      </c>
      <c r="AC31" s="68">
        <v>0</v>
      </c>
      <c r="AD31" s="68">
        <v>0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J31" s="99">
        <v>0</v>
      </c>
      <c r="AK31" s="68">
        <v>0</v>
      </c>
    </row>
    <row r="32" spans="1:37" ht="14.25" customHeight="1">
      <c r="A32" s="64" t="s">
        <v>81</v>
      </c>
      <c r="B32" s="98">
        <v>0</v>
      </c>
      <c r="C32" s="98">
        <v>0</v>
      </c>
      <c r="D32" s="65">
        <v>0</v>
      </c>
      <c r="E32" s="98">
        <v>0</v>
      </c>
      <c r="F32" s="98">
        <v>0</v>
      </c>
      <c r="G32" s="65">
        <v>0</v>
      </c>
      <c r="H32" s="102"/>
      <c r="I32" s="102"/>
      <c r="J32" s="66"/>
      <c r="K32" s="98">
        <v>0</v>
      </c>
      <c r="L32" s="98">
        <v>0</v>
      </c>
      <c r="M32" s="65">
        <v>0</v>
      </c>
      <c r="N32" s="65">
        <v>0</v>
      </c>
      <c r="O32" s="98">
        <v>0</v>
      </c>
      <c r="P32" s="98">
        <v>316</v>
      </c>
      <c r="Q32" s="65">
        <v>0</v>
      </c>
      <c r="R32" s="98">
        <v>0</v>
      </c>
      <c r="S32" s="98">
        <v>0</v>
      </c>
      <c r="T32" s="98">
        <v>316</v>
      </c>
      <c r="U32" s="65">
        <v>0</v>
      </c>
      <c r="V32" s="98">
        <v>0</v>
      </c>
      <c r="W32" s="98">
        <v>0</v>
      </c>
      <c r="X32" s="98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98">
        <v>0</v>
      </c>
      <c r="AK32" s="65">
        <v>0</v>
      </c>
    </row>
    <row r="33" spans="1:37" ht="14.25" customHeight="1">
      <c r="A33" s="67" t="s">
        <v>157</v>
      </c>
      <c r="B33" s="99">
        <v>0</v>
      </c>
      <c r="C33" s="99">
        <v>0</v>
      </c>
      <c r="D33" s="68">
        <v>0</v>
      </c>
      <c r="E33" s="99">
        <v>0</v>
      </c>
      <c r="F33" s="99">
        <v>0</v>
      </c>
      <c r="G33" s="68">
        <v>0</v>
      </c>
      <c r="H33" s="101"/>
      <c r="I33" s="101"/>
      <c r="J33" s="69"/>
      <c r="K33" s="99">
        <v>0</v>
      </c>
      <c r="L33" s="99">
        <v>0</v>
      </c>
      <c r="M33" s="68">
        <v>0</v>
      </c>
      <c r="N33" s="68">
        <v>0</v>
      </c>
      <c r="O33" s="99">
        <v>0</v>
      </c>
      <c r="P33" s="99">
        <v>-80</v>
      </c>
      <c r="Q33" s="68">
        <v>0</v>
      </c>
      <c r="R33" s="99">
        <v>0</v>
      </c>
      <c r="S33" s="99">
        <v>0</v>
      </c>
      <c r="T33" s="99">
        <v>-80</v>
      </c>
      <c r="U33" s="68">
        <v>0</v>
      </c>
      <c r="V33" s="99">
        <v>0</v>
      </c>
      <c r="W33" s="99">
        <v>0</v>
      </c>
      <c r="X33" s="99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0</v>
      </c>
      <c r="AE33" s="68">
        <v>0</v>
      </c>
      <c r="AF33" s="68">
        <v>0</v>
      </c>
      <c r="AG33" s="68">
        <v>0</v>
      </c>
      <c r="AH33" s="68">
        <v>0</v>
      </c>
      <c r="AI33" s="68">
        <v>0</v>
      </c>
      <c r="AJ33" s="99">
        <v>0</v>
      </c>
      <c r="AK33" s="68">
        <v>0</v>
      </c>
    </row>
    <row r="34" spans="1:37" ht="14.25" customHeight="1">
      <c r="A34" s="64" t="s">
        <v>158</v>
      </c>
      <c r="B34" s="98">
        <v>0</v>
      </c>
      <c r="C34" s="98">
        <v>0</v>
      </c>
      <c r="D34" s="65">
        <v>0</v>
      </c>
      <c r="E34" s="98">
        <v>0</v>
      </c>
      <c r="F34" s="98">
        <v>0</v>
      </c>
      <c r="G34" s="65">
        <v>0</v>
      </c>
      <c r="H34" s="102"/>
      <c r="I34" s="102"/>
      <c r="J34" s="66"/>
      <c r="K34" s="98">
        <v>0</v>
      </c>
      <c r="L34" s="98">
        <v>0</v>
      </c>
      <c r="M34" s="65">
        <v>0</v>
      </c>
      <c r="N34" s="65">
        <v>0</v>
      </c>
      <c r="O34" s="98">
        <v>0</v>
      </c>
      <c r="P34" s="98">
        <v>-80</v>
      </c>
      <c r="Q34" s="65">
        <v>0</v>
      </c>
      <c r="R34" s="98">
        <v>0</v>
      </c>
      <c r="S34" s="98">
        <v>0</v>
      </c>
      <c r="T34" s="98">
        <v>-80</v>
      </c>
      <c r="U34" s="65">
        <v>0</v>
      </c>
      <c r="V34" s="98">
        <v>0</v>
      </c>
      <c r="W34" s="98">
        <v>0</v>
      </c>
      <c r="X34" s="98">
        <v>0</v>
      </c>
      <c r="Y34" s="65">
        <v>0</v>
      </c>
      <c r="Z34" s="65">
        <v>0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98">
        <v>0</v>
      </c>
      <c r="AK34" s="65">
        <v>0</v>
      </c>
    </row>
    <row r="35" spans="1:37" ht="14.25" customHeight="1">
      <c r="A35" s="67" t="s">
        <v>159</v>
      </c>
      <c r="B35" s="99">
        <v>0</v>
      </c>
      <c r="C35" s="99">
        <v>0</v>
      </c>
      <c r="D35" s="68">
        <v>0</v>
      </c>
      <c r="E35" s="99">
        <v>0</v>
      </c>
      <c r="F35" s="99">
        <v>0</v>
      </c>
      <c r="G35" s="68">
        <v>0</v>
      </c>
      <c r="H35" s="101"/>
      <c r="I35" s="101"/>
      <c r="J35" s="69"/>
      <c r="K35" s="99">
        <v>0</v>
      </c>
      <c r="L35" s="99">
        <v>0</v>
      </c>
      <c r="M35" s="68">
        <v>0</v>
      </c>
      <c r="N35" s="68">
        <v>0</v>
      </c>
      <c r="O35" s="99">
        <v>0</v>
      </c>
      <c r="P35" s="99">
        <v>-80</v>
      </c>
      <c r="Q35" s="68">
        <v>0</v>
      </c>
      <c r="R35" s="99">
        <v>0</v>
      </c>
      <c r="S35" s="99">
        <v>0</v>
      </c>
      <c r="T35" s="99">
        <v>-80</v>
      </c>
      <c r="U35" s="68">
        <v>0</v>
      </c>
      <c r="V35" s="99">
        <v>0</v>
      </c>
      <c r="W35" s="99">
        <v>0</v>
      </c>
      <c r="X35" s="99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0</v>
      </c>
      <c r="AD35" s="68">
        <v>0</v>
      </c>
      <c r="AE35" s="68">
        <v>0</v>
      </c>
      <c r="AF35" s="68">
        <v>0</v>
      </c>
      <c r="AG35" s="68">
        <v>0</v>
      </c>
      <c r="AH35" s="68">
        <v>0</v>
      </c>
      <c r="AI35" s="68">
        <v>0</v>
      </c>
      <c r="AJ35" s="99">
        <v>0</v>
      </c>
      <c r="AK35" s="68">
        <v>0</v>
      </c>
    </row>
    <row r="36" spans="1:37" ht="14.25" customHeight="1">
      <c r="A36" s="64" t="s">
        <v>82</v>
      </c>
      <c r="B36" s="98">
        <v>0</v>
      </c>
      <c r="C36" s="98">
        <v>0</v>
      </c>
      <c r="D36" s="65">
        <v>0</v>
      </c>
      <c r="E36" s="98">
        <v>0</v>
      </c>
      <c r="F36" s="98">
        <v>0</v>
      </c>
      <c r="G36" s="65">
        <v>0</v>
      </c>
      <c r="H36" s="102"/>
      <c r="I36" s="102"/>
      <c r="J36" s="66"/>
      <c r="K36" s="98">
        <v>0</v>
      </c>
      <c r="L36" s="98">
        <v>0</v>
      </c>
      <c r="M36" s="65">
        <v>0</v>
      </c>
      <c r="N36" s="65">
        <v>0</v>
      </c>
      <c r="O36" s="98">
        <v>0</v>
      </c>
      <c r="P36" s="98">
        <v>-80</v>
      </c>
      <c r="Q36" s="65">
        <v>0</v>
      </c>
      <c r="R36" s="98">
        <v>0</v>
      </c>
      <c r="S36" s="98">
        <v>0</v>
      </c>
      <c r="T36" s="98">
        <v>-80</v>
      </c>
      <c r="U36" s="65">
        <v>0</v>
      </c>
      <c r="V36" s="98">
        <v>0</v>
      </c>
      <c r="W36" s="98">
        <v>0</v>
      </c>
      <c r="X36" s="98">
        <v>0</v>
      </c>
      <c r="Y36" s="65">
        <v>0</v>
      </c>
      <c r="Z36" s="65">
        <v>0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98">
        <v>0</v>
      </c>
      <c r="AK36" s="65">
        <v>0</v>
      </c>
    </row>
    <row r="37" spans="1:37" ht="14.25" customHeight="1">
      <c r="A37" s="67" t="s">
        <v>160</v>
      </c>
      <c r="B37" s="99">
        <v>0</v>
      </c>
      <c r="C37" s="99">
        <v>0</v>
      </c>
      <c r="D37" s="68">
        <v>0</v>
      </c>
      <c r="E37" s="99">
        <v>0</v>
      </c>
      <c r="F37" s="99">
        <v>0</v>
      </c>
      <c r="G37" s="68">
        <v>0</v>
      </c>
      <c r="H37" s="101"/>
      <c r="I37" s="101"/>
      <c r="J37" s="69"/>
      <c r="K37" s="99">
        <v>0</v>
      </c>
      <c r="L37" s="99">
        <v>0</v>
      </c>
      <c r="M37" s="68">
        <v>0</v>
      </c>
      <c r="N37" s="68">
        <v>0</v>
      </c>
      <c r="O37" s="99">
        <v>0</v>
      </c>
      <c r="P37" s="99">
        <v>-80</v>
      </c>
      <c r="Q37" s="68">
        <v>0</v>
      </c>
      <c r="R37" s="99">
        <v>0</v>
      </c>
      <c r="S37" s="99">
        <v>0</v>
      </c>
      <c r="T37" s="99">
        <v>-80</v>
      </c>
      <c r="U37" s="68">
        <v>0</v>
      </c>
      <c r="V37" s="99">
        <v>0</v>
      </c>
      <c r="W37" s="99">
        <v>0</v>
      </c>
      <c r="X37" s="99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0</v>
      </c>
      <c r="AD37" s="68">
        <v>0</v>
      </c>
      <c r="AE37" s="68">
        <v>0</v>
      </c>
      <c r="AF37" s="68">
        <v>0</v>
      </c>
      <c r="AG37" s="68">
        <v>0</v>
      </c>
      <c r="AH37" s="68">
        <v>0</v>
      </c>
      <c r="AI37" s="68">
        <v>0</v>
      </c>
      <c r="AJ37" s="99">
        <v>0</v>
      </c>
      <c r="AK37" s="68">
        <v>0</v>
      </c>
    </row>
    <row r="38" spans="1:37" ht="14.25" customHeight="1">
      <c r="A38" s="64" t="s">
        <v>161</v>
      </c>
      <c r="B38" s="98">
        <v>0</v>
      </c>
      <c r="C38" s="98">
        <v>0</v>
      </c>
      <c r="D38" s="65">
        <v>0</v>
      </c>
      <c r="E38" s="98">
        <v>0</v>
      </c>
      <c r="F38" s="98">
        <v>0</v>
      </c>
      <c r="G38" s="65">
        <v>0</v>
      </c>
      <c r="H38" s="102"/>
      <c r="I38" s="102"/>
      <c r="J38" s="66"/>
      <c r="K38" s="98">
        <v>0</v>
      </c>
      <c r="L38" s="98">
        <v>0</v>
      </c>
      <c r="M38" s="65">
        <v>0</v>
      </c>
      <c r="N38" s="65">
        <v>0</v>
      </c>
      <c r="O38" s="98">
        <v>0</v>
      </c>
      <c r="P38" s="98">
        <v>-80</v>
      </c>
      <c r="Q38" s="65">
        <v>0</v>
      </c>
      <c r="R38" s="98">
        <v>0</v>
      </c>
      <c r="S38" s="98">
        <v>0</v>
      </c>
      <c r="T38" s="98">
        <v>-80</v>
      </c>
      <c r="U38" s="65">
        <v>0</v>
      </c>
      <c r="V38" s="98">
        <v>0</v>
      </c>
      <c r="W38" s="98">
        <v>0</v>
      </c>
      <c r="X38" s="98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98">
        <v>0</v>
      </c>
      <c r="AK38" s="65">
        <v>0</v>
      </c>
    </row>
    <row r="39" spans="1:37" ht="14.25" customHeight="1">
      <c r="A39" s="67" t="s">
        <v>162</v>
      </c>
      <c r="B39" s="99">
        <v>0</v>
      </c>
      <c r="C39" s="99">
        <v>0</v>
      </c>
      <c r="D39" s="68">
        <v>0</v>
      </c>
      <c r="E39" s="99">
        <v>0</v>
      </c>
      <c r="F39" s="99">
        <v>0</v>
      </c>
      <c r="G39" s="68">
        <v>0</v>
      </c>
      <c r="H39" s="101"/>
      <c r="I39" s="101"/>
      <c r="J39" s="69"/>
      <c r="K39" s="99">
        <v>0</v>
      </c>
      <c r="L39" s="99">
        <v>0</v>
      </c>
      <c r="M39" s="68">
        <v>0</v>
      </c>
      <c r="N39" s="68">
        <v>0</v>
      </c>
      <c r="O39" s="99">
        <v>0</v>
      </c>
      <c r="P39" s="99">
        <v>-80</v>
      </c>
      <c r="Q39" s="68">
        <v>0</v>
      </c>
      <c r="R39" s="99">
        <v>0</v>
      </c>
      <c r="S39" s="99">
        <v>0</v>
      </c>
      <c r="T39" s="99">
        <v>-80</v>
      </c>
      <c r="U39" s="68">
        <v>0</v>
      </c>
      <c r="V39" s="99">
        <v>0</v>
      </c>
      <c r="W39" s="99">
        <v>0</v>
      </c>
      <c r="X39" s="99">
        <v>0</v>
      </c>
      <c r="Y39" s="68">
        <v>0</v>
      </c>
      <c r="Z39" s="68">
        <v>0</v>
      </c>
      <c r="AA39" s="68">
        <v>0</v>
      </c>
      <c r="AB39" s="68">
        <v>0</v>
      </c>
      <c r="AC39" s="68">
        <v>0</v>
      </c>
      <c r="AD39" s="68">
        <v>0</v>
      </c>
      <c r="AE39" s="68">
        <v>0</v>
      </c>
      <c r="AF39" s="68">
        <v>0</v>
      </c>
      <c r="AG39" s="68">
        <v>0</v>
      </c>
      <c r="AH39" s="68">
        <v>0</v>
      </c>
      <c r="AI39" s="68">
        <v>0</v>
      </c>
      <c r="AJ39" s="99">
        <v>0</v>
      </c>
      <c r="AK39" s="68">
        <v>0</v>
      </c>
    </row>
    <row r="40" spans="1:37" ht="14.25" customHeight="1">
      <c r="A40" s="64" t="s">
        <v>83</v>
      </c>
      <c r="B40" s="98">
        <v>0</v>
      </c>
      <c r="C40" s="98">
        <v>0</v>
      </c>
      <c r="D40" s="65">
        <v>0</v>
      </c>
      <c r="E40" s="98">
        <v>0</v>
      </c>
      <c r="F40" s="98">
        <v>0</v>
      </c>
      <c r="G40" s="65">
        <v>0</v>
      </c>
      <c r="H40" s="102"/>
      <c r="I40" s="102"/>
      <c r="J40" s="66"/>
      <c r="K40" s="98">
        <v>0</v>
      </c>
      <c r="L40" s="98">
        <v>0</v>
      </c>
      <c r="M40" s="65">
        <v>0</v>
      </c>
      <c r="N40" s="65">
        <v>0</v>
      </c>
      <c r="O40" s="98">
        <v>0</v>
      </c>
      <c r="P40" s="98">
        <v>-80</v>
      </c>
      <c r="Q40" s="65">
        <v>0</v>
      </c>
      <c r="R40" s="98">
        <v>0</v>
      </c>
      <c r="S40" s="98">
        <v>0</v>
      </c>
      <c r="T40" s="98">
        <v>-80</v>
      </c>
      <c r="U40" s="65">
        <v>0</v>
      </c>
      <c r="V40" s="98">
        <v>0</v>
      </c>
      <c r="W40" s="98">
        <v>0</v>
      </c>
      <c r="X40" s="98">
        <v>0</v>
      </c>
      <c r="Y40" s="65">
        <v>0</v>
      </c>
      <c r="Z40" s="65">
        <v>0</v>
      </c>
      <c r="AA40" s="65">
        <v>0</v>
      </c>
      <c r="AB40" s="65">
        <v>0</v>
      </c>
      <c r="AC40" s="65">
        <v>0</v>
      </c>
      <c r="AD40" s="65">
        <v>0</v>
      </c>
      <c r="AE40" s="65">
        <v>0</v>
      </c>
      <c r="AF40" s="65">
        <v>0</v>
      </c>
      <c r="AG40" s="65">
        <v>0</v>
      </c>
      <c r="AH40" s="65">
        <v>0</v>
      </c>
      <c r="AI40" s="65">
        <v>0</v>
      </c>
      <c r="AJ40" s="98">
        <v>0</v>
      </c>
      <c r="AK40" s="65">
        <v>0</v>
      </c>
    </row>
    <row r="41" spans="1:37" ht="14.25" customHeight="1">
      <c r="A41" s="67" t="s">
        <v>163</v>
      </c>
      <c r="B41" s="99">
        <v>0</v>
      </c>
      <c r="C41" s="99">
        <v>0</v>
      </c>
      <c r="D41" s="68">
        <v>0</v>
      </c>
      <c r="E41" s="99">
        <v>0</v>
      </c>
      <c r="F41" s="99">
        <v>0</v>
      </c>
      <c r="G41" s="68">
        <v>0</v>
      </c>
      <c r="H41" s="101"/>
      <c r="I41" s="101"/>
      <c r="J41" s="69"/>
      <c r="K41" s="99">
        <v>0</v>
      </c>
      <c r="L41" s="99">
        <v>0</v>
      </c>
      <c r="M41" s="68">
        <v>0</v>
      </c>
      <c r="N41" s="68">
        <v>0</v>
      </c>
      <c r="O41" s="99">
        <v>0</v>
      </c>
      <c r="P41" s="99">
        <v>-80</v>
      </c>
      <c r="Q41" s="68">
        <v>0</v>
      </c>
      <c r="R41" s="99">
        <v>0</v>
      </c>
      <c r="S41" s="99">
        <v>0</v>
      </c>
      <c r="T41" s="99">
        <v>-80</v>
      </c>
      <c r="U41" s="68">
        <v>0</v>
      </c>
      <c r="V41" s="99">
        <v>0</v>
      </c>
      <c r="W41" s="99">
        <v>0</v>
      </c>
      <c r="X41" s="99">
        <v>0</v>
      </c>
      <c r="Y41" s="68">
        <v>0</v>
      </c>
      <c r="Z41" s="68">
        <v>0</v>
      </c>
      <c r="AA41" s="68">
        <v>0</v>
      </c>
      <c r="AB41" s="68">
        <v>0</v>
      </c>
      <c r="AC41" s="68">
        <v>0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  <c r="AJ41" s="99">
        <v>0</v>
      </c>
      <c r="AK41" s="68">
        <v>0</v>
      </c>
    </row>
    <row r="42" spans="1:37" ht="14.25" customHeight="1">
      <c r="A42" s="64" t="s">
        <v>164</v>
      </c>
      <c r="B42" s="98">
        <v>0</v>
      </c>
      <c r="C42" s="98">
        <v>0</v>
      </c>
      <c r="D42" s="65">
        <v>0</v>
      </c>
      <c r="E42" s="98">
        <v>0</v>
      </c>
      <c r="F42" s="98">
        <v>0</v>
      </c>
      <c r="G42" s="65">
        <v>0</v>
      </c>
      <c r="H42" s="102"/>
      <c r="I42" s="102"/>
      <c r="J42" s="66"/>
      <c r="K42" s="98">
        <v>0</v>
      </c>
      <c r="L42" s="98">
        <v>0</v>
      </c>
      <c r="M42" s="65">
        <v>0</v>
      </c>
      <c r="N42" s="65">
        <v>0</v>
      </c>
      <c r="O42" s="98">
        <v>0</v>
      </c>
      <c r="P42" s="98">
        <v>-80</v>
      </c>
      <c r="Q42" s="65">
        <v>0</v>
      </c>
      <c r="R42" s="98">
        <v>0</v>
      </c>
      <c r="S42" s="98">
        <v>0</v>
      </c>
      <c r="T42" s="98">
        <v>-80</v>
      </c>
      <c r="U42" s="65">
        <v>0</v>
      </c>
      <c r="V42" s="98">
        <v>0</v>
      </c>
      <c r="W42" s="98">
        <v>0</v>
      </c>
      <c r="X42" s="98">
        <v>0</v>
      </c>
      <c r="Y42" s="65">
        <v>0</v>
      </c>
      <c r="Z42" s="65">
        <v>0</v>
      </c>
      <c r="AA42" s="65">
        <v>0</v>
      </c>
      <c r="AB42" s="65">
        <v>0</v>
      </c>
      <c r="AC42" s="65">
        <v>0</v>
      </c>
      <c r="AD42" s="65">
        <v>0</v>
      </c>
      <c r="AE42" s="65">
        <v>0</v>
      </c>
      <c r="AF42" s="65">
        <v>0</v>
      </c>
      <c r="AG42" s="65">
        <v>0</v>
      </c>
      <c r="AH42" s="65">
        <v>0</v>
      </c>
      <c r="AI42" s="65">
        <v>0</v>
      </c>
      <c r="AJ42" s="98">
        <v>0</v>
      </c>
      <c r="AK42" s="65">
        <v>0</v>
      </c>
    </row>
    <row r="43" spans="1:37" ht="14.25" customHeight="1">
      <c r="A43" s="67" t="s">
        <v>165</v>
      </c>
      <c r="B43" s="99">
        <v>0</v>
      </c>
      <c r="C43" s="99">
        <v>0</v>
      </c>
      <c r="D43" s="68">
        <v>0</v>
      </c>
      <c r="E43" s="99">
        <v>0</v>
      </c>
      <c r="F43" s="99">
        <v>0</v>
      </c>
      <c r="G43" s="68">
        <v>0</v>
      </c>
      <c r="H43" s="101"/>
      <c r="I43" s="101"/>
      <c r="J43" s="69"/>
      <c r="K43" s="99">
        <v>0</v>
      </c>
      <c r="L43" s="99">
        <v>0</v>
      </c>
      <c r="M43" s="68">
        <v>0</v>
      </c>
      <c r="N43" s="68">
        <v>0</v>
      </c>
      <c r="O43" s="99">
        <v>0</v>
      </c>
      <c r="P43" s="99">
        <v>-80</v>
      </c>
      <c r="Q43" s="68">
        <v>0</v>
      </c>
      <c r="R43" s="99">
        <v>0</v>
      </c>
      <c r="S43" s="99">
        <v>0</v>
      </c>
      <c r="T43" s="99">
        <v>-80</v>
      </c>
      <c r="U43" s="68">
        <v>0</v>
      </c>
      <c r="V43" s="99">
        <v>0</v>
      </c>
      <c r="W43" s="99">
        <v>0</v>
      </c>
      <c r="X43" s="99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0</v>
      </c>
      <c r="AE43" s="68">
        <v>0</v>
      </c>
      <c r="AF43" s="68">
        <v>0</v>
      </c>
      <c r="AG43" s="68">
        <v>0</v>
      </c>
      <c r="AH43" s="68">
        <v>0</v>
      </c>
      <c r="AI43" s="68">
        <v>0</v>
      </c>
      <c r="AJ43" s="99">
        <v>0</v>
      </c>
      <c r="AK43" s="68">
        <v>0</v>
      </c>
    </row>
    <row r="44" spans="1:37" ht="14.25" customHeight="1">
      <c r="A44" s="64" t="s">
        <v>84</v>
      </c>
      <c r="B44" s="98">
        <v>0</v>
      </c>
      <c r="C44" s="98">
        <v>0</v>
      </c>
      <c r="D44" s="65">
        <v>0</v>
      </c>
      <c r="E44" s="98">
        <v>0</v>
      </c>
      <c r="F44" s="98">
        <v>0</v>
      </c>
      <c r="G44" s="65">
        <v>0</v>
      </c>
      <c r="H44" s="102"/>
      <c r="I44" s="102"/>
      <c r="J44" s="66"/>
      <c r="K44" s="98">
        <v>0</v>
      </c>
      <c r="L44" s="98">
        <v>0</v>
      </c>
      <c r="M44" s="65">
        <v>0</v>
      </c>
      <c r="N44" s="65">
        <v>0</v>
      </c>
      <c r="O44" s="98">
        <v>0</v>
      </c>
      <c r="P44" s="98">
        <v>-80</v>
      </c>
      <c r="Q44" s="65">
        <v>0</v>
      </c>
      <c r="R44" s="98">
        <v>0</v>
      </c>
      <c r="S44" s="98">
        <v>0</v>
      </c>
      <c r="T44" s="98">
        <v>-80</v>
      </c>
      <c r="U44" s="65">
        <v>0</v>
      </c>
      <c r="V44" s="98">
        <v>0</v>
      </c>
      <c r="W44" s="98">
        <v>0</v>
      </c>
      <c r="X44" s="98">
        <v>0</v>
      </c>
      <c r="Y44" s="65">
        <v>0</v>
      </c>
      <c r="Z44" s="65">
        <v>0</v>
      </c>
      <c r="AA44" s="65">
        <v>0</v>
      </c>
      <c r="AB44" s="65">
        <v>0</v>
      </c>
      <c r="AC44" s="65">
        <v>0</v>
      </c>
      <c r="AD44" s="65">
        <v>0</v>
      </c>
      <c r="AE44" s="65">
        <v>0</v>
      </c>
      <c r="AF44" s="65">
        <v>0</v>
      </c>
      <c r="AG44" s="65">
        <v>0</v>
      </c>
      <c r="AH44" s="65">
        <v>0</v>
      </c>
      <c r="AI44" s="65">
        <v>0</v>
      </c>
      <c r="AJ44" s="98">
        <v>0</v>
      </c>
      <c r="AK44" s="65">
        <v>0</v>
      </c>
    </row>
    <row r="45" spans="1:37" ht="14.25" customHeight="1">
      <c r="A45" s="67" t="s">
        <v>166</v>
      </c>
      <c r="B45" s="99">
        <v>0</v>
      </c>
      <c r="C45" s="99">
        <v>0</v>
      </c>
      <c r="D45" s="68">
        <v>0</v>
      </c>
      <c r="E45" s="99">
        <v>0</v>
      </c>
      <c r="F45" s="99">
        <v>0</v>
      </c>
      <c r="G45" s="68">
        <v>0</v>
      </c>
      <c r="H45" s="101"/>
      <c r="I45" s="101"/>
      <c r="J45" s="69"/>
      <c r="K45" s="99">
        <v>0</v>
      </c>
      <c r="L45" s="99">
        <v>0</v>
      </c>
      <c r="M45" s="68">
        <v>0</v>
      </c>
      <c r="N45" s="68">
        <v>0</v>
      </c>
      <c r="O45" s="99">
        <v>0</v>
      </c>
      <c r="P45" s="99">
        <v>-80</v>
      </c>
      <c r="Q45" s="68">
        <v>0</v>
      </c>
      <c r="R45" s="99">
        <v>0</v>
      </c>
      <c r="S45" s="99">
        <v>0</v>
      </c>
      <c r="T45" s="99">
        <v>-80</v>
      </c>
      <c r="U45" s="68">
        <v>0</v>
      </c>
      <c r="V45" s="99">
        <v>0</v>
      </c>
      <c r="W45" s="99">
        <v>0</v>
      </c>
      <c r="X45" s="99">
        <v>0</v>
      </c>
      <c r="Y45" s="68">
        <v>0</v>
      </c>
      <c r="Z45" s="68">
        <v>0</v>
      </c>
      <c r="AA45" s="68">
        <v>0</v>
      </c>
      <c r="AB45" s="68">
        <v>0</v>
      </c>
      <c r="AC45" s="68">
        <v>0</v>
      </c>
      <c r="AD45" s="68">
        <v>0</v>
      </c>
      <c r="AE45" s="68">
        <v>0</v>
      </c>
      <c r="AF45" s="68">
        <v>0</v>
      </c>
      <c r="AG45" s="68">
        <v>0</v>
      </c>
      <c r="AH45" s="68">
        <v>0</v>
      </c>
      <c r="AI45" s="68">
        <v>0</v>
      </c>
      <c r="AJ45" s="99">
        <v>0</v>
      </c>
      <c r="AK45" s="68">
        <v>0</v>
      </c>
    </row>
    <row r="46" spans="1:37" ht="14.25" customHeight="1">
      <c r="A46" s="64" t="s">
        <v>167</v>
      </c>
      <c r="B46" s="98">
        <v>0</v>
      </c>
      <c r="C46" s="98">
        <v>0</v>
      </c>
      <c r="D46" s="65">
        <v>0</v>
      </c>
      <c r="E46" s="98">
        <v>0</v>
      </c>
      <c r="F46" s="98">
        <v>0</v>
      </c>
      <c r="G46" s="65">
        <v>0</v>
      </c>
      <c r="H46" s="102"/>
      <c r="I46" s="102"/>
      <c r="J46" s="66"/>
      <c r="K46" s="98">
        <v>0</v>
      </c>
      <c r="L46" s="98">
        <v>0</v>
      </c>
      <c r="M46" s="65">
        <v>0</v>
      </c>
      <c r="N46" s="65">
        <v>0</v>
      </c>
      <c r="O46" s="98">
        <v>0</v>
      </c>
      <c r="P46" s="98">
        <v>-80</v>
      </c>
      <c r="Q46" s="65">
        <v>0</v>
      </c>
      <c r="R46" s="98">
        <v>0</v>
      </c>
      <c r="S46" s="98">
        <v>0</v>
      </c>
      <c r="T46" s="98">
        <v>-80</v>
      </c>
      <c r="U46" s="65">
        <v>0</v>
      </c>
      <c r="V46" s="98">
        <v>0</v>
      </c>
      <c r="W46" s="98">
        <v>0</v>
      </c>
      <c r="X46" s="98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98">
        <v>0</v>
      </c>
      <c r="AK46" s="65">
        <v>0</v>
      </c>
    </row>
    <row r="47" spans="1:37" ht="14.25" customHeight="1">
      <c r="A47" s="67" t="s">
        <v>168</v>
      </c>
      <c r="B47" s="99">
        <v>0</v>
      </c>
      <c r="C47" s="99">
        <v>0</v>
      </c>
      <c r="D47" s="68">
        <v>0</v>
      </c>
      <c r="E47" s="99">
        <v>0</v>
      </c>
      <c r="F47" s="99">
        <v>0</v>
      </c>
      <c r="G47" s="68">
        <v>0</v>
      </c>
      <c r="H47" s="101"/>
      <c r="I47" s="101"/>
      <c r="J47" s="69"/>
      <c r="K47" s="99">
        <v>0</v>
      </c>
      <c r="L47" s="99">
        <v>0</v>
      </c>
      <c r="M47" s="68">
        <v>0</v>
      </c>
      <c r="N47" s="68">
        <v>0</v>
      </c>
      <c r="O47" s="99">
        <v>0</v>
      </c>
      <c r="P47" s="99">
        <v>-80</v>
      </c>
      <c r="Q47" s="68">
        <v>0</v>
      </c>
      <c r="R47" s="99">
        <v>0</v>
      </c>
      <c r="S47" s="99">
        <v>0</v>
      </c>
      <c r="T47" s="99">
        <v>-80</v>
      </c>
      <c r="U47" s="68">
        <v>0</v>
      </c>
      <c r="V47" s="99">
        <v>0</v>
      </c>
      <c r="W47" s="99">
        <v>0</v>
      </c>
      <c r="X47" s="99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0</v>
      </c>
      <c r="AE47" s="68">
        <v>0</v>
      </c>
      <c r="AF47" s="68">
        <v>0</v>
      </c>
      <c r="AG47" s="68">
        <v>0</v>
      </c>
      <c r="AH47" s="68">
        <v>0</v>
      </c>
      <c r="AI47" s="68">
        <v>0</v>
      </c>
      <c r="AJ47" s="99">
        <v>0</v>
      </c>
      <c r="AK47" s="68">
        <v>0</v>
      </c>
    </row>
    <row r="48" spans="1:37" ht="14.25" customHeight="1">
      <c r="A48" s="64" t="s">
        <v>85</v>
      </c>
      <c r="B48" s="98">
        <v>0</v>
      </c>
      <c r="C48" s="98">
        <v>0</v>
      </c>
      <c r="D48" s="65">
        <v>0</v>
      </c>
      <c r="E48" s="98">
        <v>0</v>
      </c>
      <c r="F48" s="98">
        <v>0</v>
      </c>
      <c r="G48" s="65">
        <v>0</v>
      </c>
      <c r="H48" s="102"/>
      <c r="I48" s="102"/>
      <c r="J48" s="66"/>
      <c r="K48" s="98">
        <v>0</v>
      </c>
      <c r="L48" s="98">
        <v>0</v>
      </c>
      <c r="M48" s="65">
        <v>0</v>
      </c>
      <c r="N48" s="65">
        <v>0</v>
      </c>
      <c r="O48" s="98">
        <v>0</v>
      </c>
      <c r="P48" s="98">
        <v>-80</v>
      </c>
      <c r="Q48" s="65">
        <v>0</v>
      </c>
      <c r="R48" s="98">
        <v>0</v>
      </c>
      <c r="S48" s="98">
        <v>0</v>
      </c>
      <c r="T48" s="98">
        <v>-80</v>
      </c>
      <c r="U48" s="65">
        <v>0</v>
      </c>
      <c r="V48" s="98">
        <v>0</v>
      </c>
      <c r="W48" s="98">
        <v>0</v>
      </c>
      <c r="X48" s="98">
        <v>0</v>
      </c>
      <c r="Y48" s="65">
        <v>0</v>
      </c>
      <c r="Z48" s="65">
        <v>0</v>
      </c>
      <c r="AA48" s="65">
        <v>0</v>
      </c>
      <c r="AB48" s="65">
        <v>0</v>
      </c>
      <c r="AC48" s="65">
        <v>0</v>
      </c>
      <c r="AD48" s="65">
        <v>0</v>
      </c>
      <c r="AE48" s="65">
        <v>0</v>
      </c>
      <c r="AF48" s="65">
        <v>0</v>
      </c>
      <c r="AG48" s="65">
        <v>0</v>
      </c>
      <c r="AH48" s="65">
        <v>0</v>
      </c>
      <c r="AI48" s="65">
        <v>0</v>
      </c>
      <c r="AJ48" s="98">
        <v>0</v>
      </c>
      <c r="AK48" s="65">
        <v>0</v>
      </c>
    </row>
    <row r="49" spans="1:37" ht="14.25" customHeight="1">
      <c r="A49" s="67" t="s">
        <v>169</v>
      </c>
      <c r="B49" s="99">
        <v>0</v>
      </c>
      <c r="C49" s="99">
        <v>0</v>
      </c>
      <c r="D49" s="68">
        <v>0</v>
      </c>
      <c r="E49" s="99">
        <v>0</v>
      </c>
      <c r="F49" s="99">
        <v>0</v>
      </c>
      <c r="G49" s="68">
        <v>0</v>
      </c>
      <c r="H49" s="101"/>
      <c r="I49" s="101"/>
      <c r="J49" s="69"/>
      <c r="K49" s="99">
        <v>0</v>
      </c>
      <c r="L49" s="99">
        <v>0</v>
      </c>
      <c r="M49" s="68">
        <v>0</v>
      </c>
      <c r="N49" s="68">
        <v>0</v>
      </c>
      <c r="O49" s="99">
        <v>0</v>
      </c>
      <c r="P49" s="99">
        <v>-80</v>
      </c>
      <c r="Q49" s="68">
        <v>0</v>
      </c>
      <c r="R49" s="99">
        <v>0</v>
      </c>
      <c r="S49" s="99">
        <v>0</v>
      </c>
      <c r="T49" s="99">
        <v>-80</v>
      </c>
      <c r="U49" s="68">
        <v>0</v>
      </c>
      <c r="V49" s="99">
        <v>0</v>
      </c>
      <c r="W49" s="99">
        <v>0</v>
      </c>
      <c r="X49" s="99">
        <v>0</v>
      </c>
      <c r="Y49" s="68">
        <v>0</v>
      </c>
      <c r="Z49" s="68">
        <v>0</v>
      </c>
      <c r="AA49" s="68">
        <v>0</v>
      </c>
      <c r="AB49" s="68">
        <v>0</v>
      </c>
      <c r="AC49" s="68">
        <v>0</v>
      </c>
      <c r="AD49" s="68">
        <v>0</v>
      </c>
      <c r="AE49" s="68">
        <v>0</v>
      </c>
      <c r="AF49" s="68">
        <v>0</v>
      </c>
      <c r="AG49" s="68">
        <v>0</v>
      </c>
      <c r="AH49" s="68">
        <v>0</v>
      </c>
      <c r="AI49" s="68">
        <v>0</v>
      </c>
      <c r="AJ49" s="99">
        <v>0</v>
      </c>
      <c r="AK49" s="68">
        <v>0</v>
      </c>
    </row>
    <row r="50" spans="1:37" ht="14.25" customHeight="1">
      <c r="A50" s="64" t="s">
        <v>170</v>
      </c>
      <c r="B50" s="98">
        <v>0</v>
      </c>
      <c r="C50" s="98">
        <v>0</v>
      </c>
      <c r="D50" s="65">
        <v>0</v>
      </c>
      <c r="E50" s="98">
        <v>0</v>
      </c>
      <c r="F50" s="98">
        <v>0</v>
      </c>
      <c r="G50" s="65">
        <v>0</v>
      </c>
      <c r="H50" s="102"/>
      <c r="I50" s="102"/>
      <c r="J50" s="66"/>
      <c r="K50" s="98">
        <v>0</v>
      </c>
      <c r="L50" s="98">
        <v>0</v>
      </c>
      <c r="M50" s="65">
        <v>0</v>
      </c>
      <c r="N50" s="65">
        <v>0</v>
      </c>
      <c r="O50" s="98">
        <v>0</v>
      </c>
      <c r="P50" s="98">
        <v>-80</v>
      </c>
      <c r="Q50" s="65">
        <v>0</v>
      </c>
      <c r="R50" s="98">
        <v>0</v>
      </c>
      <c r="S50" s="98">
        <v>0</v>
      </c>
      <c r="T50" s="98">
        <v>-80</v>
      </c>
      <c r="U50" s="65">
        <v>0</v>
      </c>
      <c r="V50" s="98">
        <v>0</v>
      </c>
      <c r="W50" s="98">
        <v>0</v>
      </c>
      <c r="X50" s="98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  <c r="AG50" s="65">
        <v>0</v>
      </c>
      <c r="AH50" s="65">
        <v>0</v>
      </c>
      <c r="AI50" s="65">
        <v>0</v>
      </c>
      <c r="AJ50" s="98">
        <v>0</v>
      </c>
      <c r="AK50" s="65">
        <v>0</v>
      </c>
    </row>
    <row r="51" spans="1:37" ht="14.25" customHeight="1">
      <c r="A51" s="67" t="s">
        <v>171</v>
      </c>
      <c r="B51" s="99">
        <v>0</v>
      </c>
      <c r="C51" s="99">
        <v>0</v>
      </c>
      <c r="D51" s="68">
        <v>0</v>
      </c>
      <c r="E51" s="99">
        <v>0</v>
      </c>
      <c r="F51" s="99">
        <v>0</v>
      </c>
      <c r="G51" s="68">
        <v>0</v>
      </c>
      <c r="H51" s="101"/>
      <c r="I51" s="101"/>
      <c r="J51" s="69"/>
      <c r="K51" s="99">
        <v>0</v>
      </c>
      <c r="L51" s="99">
        <v>0</v>
      </c>
      <c r="M51" s="68">
        <v>0</v>
      </c>
      <c r="N51" s="68">
        <v>0</v>
      </c>
      <c r="O51" s="99">
        <v>0</v>
      </c>
      <c r="P51" s="99">
        <v>-80</v>
      </c>
      <c r="Q51" s="68">
        <v>0</v>
      </c>
      <c r="R51" s="99">
        <v>0</v>
      </c>
      <c r="S51" s="99">
        <v>0</v>
      </c>
      <c r="T51" s="99">
        <v>-80</v>
      </c>
      <c r="U51" s="68">
        <v>0</v>
      </c>
      <c r="V51" s="99">
        <v>0</v>
      </c>
      <c r="W51" s="99">
        <v>0</v>
      </c>
      <c r="X51" s="99">
        <v>0</v>
      </c>
      <c r="Y51" s="68">
        <v>0</v>
      </c>
      <c r="Z51" s="68">
        <v>0</v>
      </c>
      <c r="AA51" s="68">
        <v>0</v>
      </c>
      <c r="AB51" s="68">
        <v>0</v>
      </c>
      <c r="AC51" s="68">
        <v>0</v>
      </c>
      <c r="AD51" s="68">
        <v>0</v>
      </c>
      <c r="AE51" s="68">
        <v>0</v>
      </c>
      <c r="AF51" s="68">
        <v>0</v>
      </c>
      <c r="AG51" s="68">
        <v>0</v>
      </c>
      <c r="AH51" s="68">
        <v>0</v>
      </c>
      <c r="AI51" s="68">
        <v>0</v>
      </c>
      <c r="AJ51" s="99">
        <v>0</v>
      </c>
      <c r="AK51" s="68">
        <v>0</v>
      </c>
    </row>
    <row r="52" spans="1:37" ht="14.25" customHeight="1">
      <c r="A52" s="64" t="s">
        <v>86</v>
      </c>
      <c r="B52" s="98">
        <v>0</v>
      </c>
      <c r="C52" s="98">
        <v>0</v>
      </c>
      <c r="D52" s="65">
        <v>0</v>
      </c>
      <c r="E52" s="98">
        <v>0</v>
      </c>
      <c r="F52" s="98">
        <v>0</v>
      </c>
      <c r="G52" s="65">
        <v>0</v>
      </c>
      <c r="H52" s="102"/>
      <c r="I52" s="102"/>
      <c r="J52" s="66"/>
      <c r="K52" s="98">
        <v>0</v>
      </c>
      <c r="L52" s="98">
        <v>0</v>
      </c>
      <c r="M52" s="65">
        <v>0</v>
      </c>
      <c r="N52" s="65">
        <v>0</v>
      </c>
      <c r="O52" s="98">
        <v>0</v>
      </c>
      <c r="P52" s="98">
        <v>-80</v>
      </c>
      <c r="Q52" s="65">
        <v>0</v>
      </c>
      <c r="R52" s="98">
        <v>0</v>
      </c>
      <c r="S52" s="98">
        <v>0</v>
      </c>
      <c r="T52" s="98">
        <v>-80</v>
      </c>
      <c r="U52" s="65">
        <v>0</v>
      </c>
      <c r="V52" s="98">
        <v>0</v>
      </c>
      <c r="W52" s="98">
        <v>0</v>
      </c>
      <c r="X52" s="98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98">
        <v>0</v>
      </c>
      <c r="AK52" s="65">
        <v>0</v>
      </c>
    </row>
    <row r="53" spans="1:37" ht="14.25" customHeight="1">
      <c r="A53" s="67" t="s">
        <v>172</v>
      </c>
      <c r="B53" s="99">
        <v>0</v>
      </c>
      <c r="C53" s="99">
        <v>0</v>
      </c>
      <c r="D53" s="68">
        <v>0</v>
      </c>
      <c r="E53" s="99">
        <v>0</v>
      </c>
      <c r="F53" s="99">
        <v>0</v>
      </c>
      <c r="G53" s="68">
        <v>0</v>
      </c>
      <c r="H53" s="101"/>
      <c r="I53" s="101"/>
      <c r="J53" s="69"/>
      <c r="K53" s="99">
        <v>0</v>
      </c>
      <c r="L53" s="99">
        <v>0</v>
      </c>
      <c r="M53" s="68">
        <v>0</v>
      </c>
      <c r="N53" s="68">
        <v>0</v>
      </c>
      <c r="O53" s="99">
        <v>0</v>
      </c>
      <c r="P53" s="99">
        <v>-80</v>
      </c>
      <c r="Q53" s="68">
        <v>0</v>
      </c>
      <c r="R53" s="99">
        <v>0</v>
      </c>
      <c r="S53" s="99">
        <v>0</v>
      </c>
      <c r="T53" s="99">
        <v>-80</v>
      </c>
      <c r="U53" s="68">
        <v>0</v>
      </c>
      <c r="V53" s="99">
        <v>0</v>
      </c>
      <c r="W53" s="99">
        <v>0</v>
      </c>
      <c r="X53" s="99">
        <v>0</v>
      </c>
      <c r="Y53" s="68">
        <v>0</v>
      </c>
      <c r="Z53" s="68">
        <v>0</v>
      </c>
      <c r="AA53" s="68">
        <v>0</v>
      </c>
      <c r="AB53" s="68">
        <v>0</v>
      </c>
      <c r="AC53" s="68">
        <v>0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  <c r="AJ53" s="99">
        <v>0</v>
      </c>
      <c r="AK53" s="68">
        <v>0</v>
      </c>
    </row>
    <row r="54" spans="1:37" ht="14.25" customHeight="1">
      <c r="A54" s="64" t="s">
        <v>173</v>
      </c>
      <c r="B54" s="98">
        <v>0</v>
      </c>
      <c r="C54" s="98">
        <v>0</v>
      </c>
      <c r="D54" s="65">
        <v>0</v>
      </c>
      <c r="E54" s="98">
        <v>0</v>
      </c>
      <c r="F54" s="98">
        <v>0</v>
      </c>
      <c r="G54" s="65">
        <v>0</v>
      </c>
      <c r="H54" s="102"/>
      <c r="I54" s="102"/>
      <c r="J54" s="66"/>
      <c r="K54" s="98">
        <v>0</v>
      </c>
      <c r="L54" s="98">
        <v>0</v>
      </c>
      <c r="M54" s="65">
        <v>0</v>
      </c>
      <c r="N54" s="65">
        <v>0</v>
      </c>
      <c r="O54" s="98">
        <v>0</v>
      </c>
      <c r="P54" s="98">
        <v>-80</v>
      </c>
      <c r="Q54" s="65">
        <v>0</v>
      </c>
      <c r="R54" s="98">
        <v>0</v>
      </c>
      <c r="S54" s="98">
        <v>0</v>
      </c>
      <c r="T54" s="98">
        <v>-80</v>
      </c>
      <c r="U54" s="65">
        <v>0</v>
      </c>
      <c r="V54" s="98">
        <v>0</v>
      </c>
      <c r="W54" s="98">
        <v>0</v>
      </c>
      <c r="X54" s="98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  <c r="AG54" s="65">
        <v>0</v>
      </c>
      <c r="AH54" s="65">
        <v>0</v>
      </c>
      <c r="AI54" s="65">
        <v>0</v>
      </c>
      <c r="AJ54" s="98">
        <v>0</v>
      </c>
      <c r="AK54" s="65">
        <v>0</v>
      </c>
    </row>
    <row r="55" spans="1:37" ht="14.25" customHeight="1">
      <c r="A55" s="67" t="s">
        <v>174</v>
      </c>
      <c r="B55" s="99">
        <v>0</v>
      </c>
      <c r="C55" s="99">
        <v>0</v>
      </c>
      <c r="D55" s="68">
        <v>0</v>
      </c>
      <c r="E55" s="99">
        <v>0</v>
      </c>
      <c r="F55" s="99">
        <v>0</v>
      </c>
      <c r="G55" s="68">
        <v>0</v>
      </c>
      <c r="H55" s="101"/>
      <c r="I55" s="101"/>
      <c r="J55" s="69"/>
      <c r="K55" s="99">
        <v>0</v>
      </c>
      <c r="L55" s="99">
        <v>0</v>
      </c>
      <c r="M55" s="68">
        <v>0</v>
      </c>
      <c r="N55" s="68">
        <v>0</v>
      </c>
      <c r="O55" s="99">
        <v>0</v>
      </c>
      <c r="P55" s="99">
        <v>-80</v>
      </c>
      <c r="Q55" s="68">
        <v>0</v>
      </c>
      <c r="R55" s="99">
        <v>0</v>
      </c>
      <c r="S55" s="99">
        <v>0</v>
      </c>
      <c r="T55" s="99">
        <v>-80</v>
      </c>
      <c r="U55" s="68">
        <v>0</v>
      </c>
      <c r="V55" s="99">
        <v>0</v>
      </c>
      <c r="W55" s="99">
        <v>0</v>
      </c>
      <c r="X55" s="99">
        <v>0</v>
      </c>
      <c r="Y55" s="68">
        <v>0</v>
      </c>
      <c r="Z55" s="68">
        <v>0</v>
      </c>
      <c r="AA55" s="68">
        <v>0</v>
      </c>
      <c r="AB55" s="68">
        <v>0</v>
      </c>
      <c r="AC55" s="68">
        <v>0</v>
      </c>
      <c r="AD55" s="68">
        <v>0</v>
      </c>
      <c r="AE55" s="68">
        <v>0</v>
      </c>
      <c r="AF55" s="68">
        <v>0</v>
      </c>
      <c r="AG55" s="68">
        <v>0</v>
      </c>
      <c r="AH55" s="68">
        <v>0</v>
      </c>
      <c r="AI55" s="68">
        <v>0</v>
      </c>
      <c r="AJ55" s="99">
        <v>0</v>
      </c>
      <c r="AK55" s="68">
        <v>0</v>
      </c>
    </row>
    <row r="56" spans="1:37" ht="14.25" customHeight="1">
      <c r="A56" s="64" t="s">
        <v>87</v>
      </c>
      <c r="B56" s="98">
        <v>0</v>
      </c>
      <c r="C56" s="98">
        <v>0</v>
      </c>
      <c r="D56" s="65">
        <v>0</v>
      </c>
      <c r="E56" s="98">
        <v>0</v>
      </c>
      <c r="F56" s="98">
        <v>0</v>
      </c>
      <c r="G56" s="65">
        <v>0</v>
      </c>
      <c r="H56" s="102"/>
      <c r="I56" s="102"/>
      <c r="J56" s="66"/>
      <c r="K56" s="98">
        <v>0</v>
      </c>
      <c r="L56" s="98">
        <v>0</v>
      </c>
      <c r="M56" s="65">
        <v>0</v>
      </c>
      <c r="N56" s="65">
        <v>0</v>
      </c>
      <c r="O56" s="98">
        <v>0</v>
      </c>
      <c r="P56" s="98">
        <v>-80</v>
      </c>
      <c r="Q56" s="65">
        <v>0</v>
      </c>
      <c r="R56" s="98">
        <v>0</v>
      </c>
      <c r="S56" s="98">
        <v>0</v>
      </c>
      <c r="T56" s="98">
        <v>-80</v>
      </c>
      <c r="U56" s="65">
        <v>0</v>
      </c>
      <c r="V56" s="98">
        <v>0</v>
      </c>
      <c r="W56" s="98">
        <v>0</v>
      </c>
      <c r="X56" s="98">
        <v>0</v>
      </c>
      <c r="Y56" s="65">
        <v>0</v>
      </c>
      <c r="Z56" s="65">
        <v>0</v>
      </c>
      <c r="AA56" s="65">
        <v>0</v>
      </c>
      <c r="AB56" s="65">
        <v>0</v>
      </c>
      <c r="AC56" s="65">
        <v>0</v>
      </c>
      <c r="AD56" s="65">
        <v>0</v>
      </c>
      <c r="AE56" s="65">
        <v>0</v>
      </c>
      <c r="AF56" s="65">
        <v>0</v>
      </c>
      <c r="AG56" s="65">
        <v>0</v>
      </c>
      <c r="AH56" s="65">
        <v>0</v>
      </c>
      <c r="AI56" s="65">
        <v>0</v>
      </c>
      <c r="AJ56" s="98">
        <v>0</v>
      </c>
      <c r="AK56" s="65">
        <v>0</v>
      </c>
    </row>
    <row r="57" spans="1:37" ht="14.25" customHeight="1">
      <c r="A57" s="67" t="s">
        <v>175</v>
      </c>
      <c r="B57" s="99">
        <v>0</v>
      </c>
      <c r="C57" s="99">
        <v>0</v>
      </c>
      <c r="D57" s="68">
        <v>0</v>
      </c>
      <c r="E57" s="99">
        <v>0</v>
      </c>
      <c r="F57" s="99">
        <v>0</v>
      </c>
      <c r="G57" s="68">
        <v>0</v>
      </c>
      <c r="H57" s="101"/>
      <c r="I57" s="101"/>
      <c r="J57" s="69"/>
      <c r="K57" s="99">
        <v>0</v>
      </c>
      <c r="L57" s="99">
        <v>0</v>
      </c>
      <c r="M57" s="68">
        <v>0</v>
      </c>
      <c r="N57" s="68">
        <v>0</v>
      </c>
      <c r="O57" s="99">
        <v>0</v>
      </c>
      <c r="P57" s="99">
        <v>-80</v>
      </c>
      <c r="Q57" s="68">
        <v>0</v>
      </c>
      <c r="R57" s="99">
        <v>0</v>
      </c>
      <c r="S57" s="99">
        <v>0</v>
      </c>
      <c r="T57" s="99">
        <v>-80</v>
      </c>
      <c r="U57" s="68">
        <v>0</v>
      </c>
      <c r="V57" s="99">
        <v>0</v>
      </c>
      <c r="W57" s="99">
        <v>0</v>
      </c>
      <c r="X57" s="99">
        <v>0</v>
      </c>
      <c r="Y57" s="68">
        <v>0</v>
      </c>
      <c r="Z57" s="68">
        <v>0</v>
      </c>
      <c r="AA57" s="68">
        <v>0</v>
      </c>
      <c r="AB57" s="68">
        <v>0</v>
      </c>
      <c r="AC57" s="68">
        <v>0</v>
      </c>
      <c r="AD57" s="68">
        <v>0</v>
      </c>
      <c r="AE57" s="68">
        <v>0</v>
      </c>
      <c r="AF57" s="68">
        <v>0</v>
      </c>
      <c r="AG57" s="68">
        <v>0</v>
      </c>
      <c r="AH57" s="68">
        <v>0</v>
      </c>
      <c r="AI57" s="68">
        <v>0</v>
      </c>
      <c r="AJ57" s="99">
        <v>0</v>
      </c>
      <c r="AK57" s="68">
        <v>0</v>
      </c>
    </row>
    <row r="58" spans="1:37" ht="14.25" customHeight="1">
      <c r="A58" s="64" t="s">
        <v>176</v>
      </c>
      <c r="B58" s="98">
        <v>0</v>
      </c>
      <c r="C58" s="98">
        <v>0</v>
      </c>
      <c r="D58" s="65">
        <v>0</v>
      </c>
      <c r="E58" s="98">
        <v>0</v>
      </c>
      <c r="F58" s="98">
        <v>0</v>
      </c>
      <c r="G58" s="65">
        <v>0</v>
      </c>
      <c r="H58" s="102"/>
      <c r="I58" s="102"/>
      <c r="J58" s="66"/>
      <c r="K58" s="98">
        <v>0</v>
      </c>
      <c r="L58" s="98">
        <v>0</v>
      </c>
      <c r="M58" s="65">
        <v>0</v>
      </c>
      <c r="N58" s="65">
        <v>0</v>
      </c>
      <c r="O58" s="98">
        <v>0</v>
      </c>
      <c r="P58" s="98">
        <v>-80</v>
      </c>
      <c r="Q58" s="65">
        <v>0</v>
      </c>
      <c r="R58" s="98">
        <v>0</v>
      </c>
      <c r="S58" s="98">
        <v>0</v>
      </c>
      <c r="T58" s="98">
        <v>-80</v>
      </c>
      <c r="U58" s="65">
        <v>0</v>
      </c>
      <c r="V58" s="98">
        <v>0</v>
      </c>
      <c r="W58" s="98">
        <v>0</v>
      </c>
      <c r="X58" s="98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  <c r="AG58" s="65">
        <v>0</v>
      </c>
      <c r="AH58" s="65">
        <v>0</v>
      </c>
      <c r="AI58" s="65">
        <v>0</v>
      </c>
      <c r="AJ58" s="98">
        <v>0</v>
      </c>
      <c r="AK58" s="65">
        <v>0</v>
      </c>
    </row>
    <row r="59" spans="1:37" ht="14.25" customHeight="1">
      <c r="A59" s="67" t="s">
        <v>177</v>
      </c>
      <c r="B59" s="99">
        <v>0</v>
      </c>
      <c r="C59" s="99">
        <v>0</v>
      </c>
      <c r="D59" s="68">
        <v>0</v>
      </c>
      <c r="E59" s="99">
        <v>0</v>
      </c>
      <c r="F59" s="99">
        <v>0</v>
      </c>
      <c r="G59" s="68">
        <v>0</v>
      </c>
      <c r="H59" s="101"/>
      <c r="I59" s="101"/>
      <c r="J59" s="69"/>
      <c r="K59" s="99">
        <v>0</v>
      </c>
      <c r="L59" s="99">
        <v>0</v>
      </c>
      <c r="M59" s="68">
        <v>0</v>
      </c>
      <c r="N59" s="68">
        <v>0</v>
      </c>
      <c r="O59" s="99">
        <v>0</v>
      </c>
      <c r="P59" s="99">
        <v>-80</v>
      </c>
      <c r="Q59" s="68">
        <v>0</v>
      </c>
      <c r="R59" s="99">
        <v>0</v>
      </c>
      <c r="S59" s="99">
        <v>0</v>
      </c>
      <c r="T59" s="99">
        <v>-80</v>
      </c>
      <c r="U59" s="68">
        <v>0</v>
      </c>
      <c r="V59" s="99">
        <v>0</v>
      </c>
      <c r="W59" s="99">
        <v>0</v>
      </c>
      <c r="X59" s="99">
        <v>0</v>
      </c>
      <c r="Y59" s="68">
        <v>0</v>
      </c>
      <c r="Z59" s="68">
        <v>0</v>
      </c>
      <c r="AA59" s="68">
        <v>0</v>
      </c>
      <c r="AB59" s="68">
        <v>0</v>
      </c>
      <c r="AC59" s="68">
        <v>0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J59" s="99">
        <v>0</v>
      </c>
      <c r="AK59" s="68">
        <v>0</v>
      </c>
    </row>
    <row r="60" spans="1:37" ht="14.25" customHeight="1">
      <c r="A60" s="64" t="s">
        <v>88</v>
      </c>
      <c r="B60" s="98">
        <v>0</v>
      </c>
      <c r="C60" s="98">
        <v>0</v>
      </c>
      <c r="D60" s="65">
        <v>0</v>
      </c>
      <c r="E60" s="98">
        <v>0</v>
      </c>
      <c r="F60" s="98">
        <v>0</v>
      </c>
      <c r="G60" s="65">
        <v>0</v>
      </c>
      <c r="H60" s="102"/>
      <c r="I60" s="102"/>
      <c r="J60" s="66"/>
      <c r="K60" s="98">
        <v>0</v>
      </c>
      <c r="L60" s="98">
        <v>0</v>
      </c>
      <c r="M60" s="65">
        <v>0</v>
      </c>
      <c r="N60" s="65">
        <v>0</v>
      </c>
      <c r="O60" s="98">
        <v>0</v>
      </c>
      <c r="P60" s="98">
        <v>-80</v>
      </c>
      <c r="Q60" s="65">
        <v>0</v>
      </c>
      <c r="R60" s="98">
        <v>0</v>
      </c>
      <c r="S60" s="98">
        <v>0</v>
      </c>
      <c r="T60" s="98">
        <v>-80</v>
      </c>
      <c r="U60" s="65">
        <v>0</v>
      </c>
      <c r="V60" s="98">
        <v>0</v>
      </c>
      <c r="W60" s="98">
        <v>0</v>
      </c>
      <c r="X60" s="98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  <c r="AG60" s="65">
        <v>0</v>
      </c>
      <c r="AH60" s="65">
        <v>0</v>
      </c>
      <c r="AI60" s="65">
        <v>0</v>
      </c>
      <c r="AJ60" s="98">
        <v>0</v>
      </c>
      <c r="AK60" s="65">
        <v>0</v>
      </c>
    </row>
    <row r="61" spans="1:37" ht="14.25" customHeight="1">
      <c r="A61" s="67" t="s">
        <v>178</v>
      </c>
      <c r="B61" s="99">
        <v>0</v>
      </c>
      <c r="C61" s="99">
        <v>0</v>
      </c>
      <c r="D61" s="68">
        <v>0</v>
      </c>
      <c r="E61" s="99">
        <v>0</v>
      </c>
      <c r="F61" s="99">
        <v>0</v>
      </c>
      <c r="G61" s="68">
        <v>0</v>
      </c>
      <c r="H61" s="101"/>
      <c r="I61" s="101"/>
      <c r="J61" s="69"/>
      <c r="K61" s="99">
        <v>0</v>
      </c>
      <c r="L61" s="99">
        <v>0</v>
      </c>
      <c r="M61" s="68">
        <v>0</v>
      </c>
      <c r="N61" s="68">
        <v>0</v>
      </c>
      <c r="O61" s="99">
        <v>0</v>
      </c>
      <c r="P61" s="99">
        <v>-80</v>
      </c>
      <c r="Q61" s="68">
        <v>0</v>
      </c>
      <c r="R61" s="99">
        <v>0</v>
      </c>
      <c r="S61" s="99">
        <v>0</v>
      </c>
      <c r="T61" s="99">
        <v>-80</v>
      </c>
      <c r="U61" s="68">
        <v>0</v>
      </c>
      <c r="V61" s="99">
        <v>0</v>
      </c>
      <c r="W61" s="99">
        <v>0</v>
      </c>
      <c r="X61" s="99">
        <v>0</v>
      </c>
      <c r="Y61" s="68">
        <v>0</v>
      </c>
      <c r="Z61" s="68">
        <v>0</v>
      </c>
      <c r="AA61" s="68">
        <v>0</v>
      </c>
      <c r="AB61" s="68">
        <v>0</v>
      </c>
      <c r="AC61" s="68">
        <v>0</v>
      </c>
      <c r="AD61" s="68">
        <v>0</v>
      </c>
      <c r="AE61" s="68">
        <v>0</v>
      </c>
      <c r="AF61" s="68">
        <v>0</v>
      </c>
      <c r="AG61" s="68">
        <v>0</v>
      </c>
      <c r="AH61" s="68">
        <v>0</v>
      </c>
      <c r="AI61" s="68">
        <v>0</v>
      </c>
      <c r="AJ61" s="99">
        <v>0</v>
      </c>
      <c r="AK61" s="68">
        <v>0</v>
      </c>
    </row>
    <row r="62" spans="1:37" ht="14.25" customHeight="1">
      <c r="A62" s="64" t="s">
        <v>179</v>
      </c>
      <c r="B62" s="98">
        <v>0</v>
      </c>
      <c r="C62" s="98">
        <v>0</v>
      </c>
      <c r="D62" s="65">
        <v>0</v>
      </c>
      <c r="E62" s="98">
        <v>0</v>
      </c>
      <c r="F62" s="98">
        <v>0</v>
      </c>
      <c r="G62" s="65">
        <v>0</v>
      </c>
      <c r="H62" s="102"/>
      <c r="I62" s="102"/>
      <c r="J62" s="66"/>
      <c r="K62" s="98">
        <v>0</v>
      </c>
      <c r="L62" s="98">
        <v>0</v>
      </c>
      <c r="M62" s="65">
        <v>0</v>
      </c>
      <c r="N62" s="65">
        <v>0</v>
      </c>
      <c r="O62" s="98">
        <v>0</v>
      </c>
      <c r="P62" s="98">
        <v>-80</v>
      </c>
      <c r="Q62" s="65">
        <v>0</v>
      </c>
      <c r="R62" s="98">
        <v>0</v>
      </c>
      <c r="S62" s="98">
        <v>0</v>
      </c>
      <c r="T62" s="98">
        <v>-80</v>
      </c>
      <c r="U62" s="65">
        <v>0</v>
      </c>
      <c r="V62" s="98">
        <v>0</v>
      </c>
      <c r="W62" s="98">
        <v>0</v>
      </c>
      <c r="X62" s="98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  <c r="AG62" s="65">
        <v>0</v>
      </c>
      <c r="AH62" s="65">
        <v>0</v>
      </c>
      <c r="AI62" s="65">
        <v>0</v>
      </c>
      <c r="AJ62" s="98">
        <v>0</v>
      </c>
      <c r="AK62" s="65">
        <v>0</v>
      </c>
    </row>
    <row r="63" spans="1:37" ht="14.25" customHeight="1">
      <c r="A63" s="67" t="s">
        <v>180</v>
      </c>
      <c r="B63" s="99">
        <v>0</v>
      </c>
      <c r="C63" s="99">
        <v>0</v>
      </c>
      <c r="D63" s="68">
        <v>0</v>
      </c>
      <c r="E63" s="99">
        <v>0</v>
      </c>
      <c r="F63" s="99">
        <v>0</v>
      </c>
      <c r="G63" s="68">
        <v>0</v>
      </c>
      <c r="H63" s="101"/>
      <c r="I63" s="101"/>
      <c r="J63" s="69"/>
      <c r="K63" s="99">
        <v>0</v>
      </c>
      <c r="L63" s="99">
        <v>0</v>
      </c>
      <c r="M63" s="68">
        <v>0</v>
      </c>
      <c r="N63" s="68">
        <v>0</v>
      </c>
      <c r="O63" s="99">
        <v>0</v>
      </c>
      <c r="P63" s="99">
        <v>-80</v>
      </c>
      <c r="Q63" s="68">
        <v>0</v>
      </c>
      <c r="R63" s="99">
        <v>0</v>
      </c>
      <c r="S63" s="99">
        <v>0</v>
      </c>
      <c r="T63" s="99">
        <v>-80</v>
      </c>
      <c r="U63" s="68">
        <v>0</v>
      </c>
      <c r="V63" s="99">
        <v>0</v>
      </c>
      <c r="W63" s="99">
        <v>0</v>
      </c>
      <c r="X63" s="99">
        <v>0</v>
      </c>
      <c r="Y63" s="68">
        <v>0</v>
      </c>
      <c r="Z63" s="68">
        <v>0</v>
      </c>
      <c r="AA63" s="68">
        <v>0</v>
      </c>
      <c r="AB63" s="68">
        <v>0</v>
      </c>
      <c r="AC63" s="68">
        <v>0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J63" s="99">
        <v>0</v>
      </c>
      <c r="AK63" s="68">
        <v>0</v>
      </c>
    </row>
    <row r="64" spans="1:37" ht="14.25" customHeight="1">
      <c r="A64" s="64" t="s">
        <v>89</v>
      </c>
      <c r="B64" s="98">
        <v>0</v>
      </c>
      <c r="C64" s="98">
        <v>0</v>
      </c>
      <c r="D64" s="65">
        <v>0</v>
      </c>
      <c r="E64" s="98">
        <v>0</v>
      </c>
      <c r="F64" s="98">
        <v>0</v>
      </c>
      <c r="G64" s="65">
        <v>0</v>
      </c>
      <c r="H64" s="102"/>
      <c r="I64" s="102"/>
      <c r="J64" s="66"/>
      <c r="K64" s="98">
        <v>0</v>
      </c>
      <c r="L64" s="98">
        <v>0</v>
      </c>
      <c r="M64" s="65">
        <v>0</v>
      </c>
      <c r="N64" s="65">
        <v>0</v>
      </c>
      <c r="O64" s="98">
        <v>0</v>
      </c>
      <c r="P64" s="98">
        <v>-80</v>
      </c>
      <c r="Q64" s="65">
        <v>0</v>
      </c>
      <c r="R64" s="98">
        <v>0</v>
      </c>
      <c r="S64" s="98">
        <v>0</v>
      </c>
      <c r="T64" s="98">
        <v>-80</v>
      </c>
      <c r="U64" s="65">
        <v>0</v>
      </c>
      <c r="V64" s="98">
        <v>0</v>
      </c>
      <c r="W64" s="98">
        <v>0</v>
      </c>
      <c r="X64" s="98">
        <v>0</v>
      </c>
      <c r="Y64" s="65">
        <v>0</v>
      </c>
      <c r="Z64" s="65">
        <v>0</v>
      </c>
      <c r="AA64" s="65">
        <v>0</v>
      </c>
      <c r="AB64" s="65">
        <v>0</v>
      </c>
      <c r="AC64" s="65">
        <v>0</v>
      </c>
      <c r="AD64" s="65">
        <v>0</v>
      </c>
      <c r="AE64" s="65">
        <v>0</v>
      </c>
      <c r="AF64" s="65">
        <v>0</v>
      </c>
      <c r="AG64" s="65">
        <v>0</v>
      </c>
      <c r="AH64" s="65">
        <v>0</v>
      </c>
      <c r="AI64" s="65">
        <v>0</v>
      </c>
      <c r="AJ64" s="98">
        <v>0</v>
      </c>
      <c r="AK64" s="65">
        <v>0</v>
      </c>
    </row>
    <row r="65" spans="1:37" ht="14.25" customHeight="1">
      <c r="A65" s="67" t="s">
        <v>181</v>
      </c>
      <c r="B65" s="99">
        <v>0</v>
      </c>
      <c r="C65" s="99">
        <v>0</v>
      </c>
      <c r="D65" s="68">
        <v>0</v>
      </c>
      <c r="E65" s="99">
        <v>0</v>
      </c>
      <c r="F65" s="99">
        <v>0</v>
      </c>
      <c r="G65" s="68">
        <v>0</v>
      </c>
      <c r="H65" s="101"/>
      <c r="I65" s="101"/>
      <c r="J65" s="69"/>
      <c r="K65" s="99">
        <v>0</v>
      </c>
      <c r="L65" s="99">
        <v>0</v>
      </c>
      <c r="M65" s="68">
        <v>0</v>
      </c>
      <c r="N65" s="68">
        <v>0</v>
      </c>
      <c r="O65" s="99">
        <v>0</v>
      </c>
      <c r="P65" s="99">
        <v>-80</v>
      </c>
      <c r="Q65" s="68">
        <v>0</v>
      </c>
      <c r="R65" s="99">
        <v>0</v>
      </c>
      <c r="S65" s="99">
        <v>0</v>
      </c>
      <c r="T65" s="99">
        <v>-80</v>
      </c>
      <c r="U65" s="68">
        <v>0</v>
      </c>
      <c r="V65" s="99">
        <v>0</v>
      </c>
      <c r="W65" s="99">
        <v>0</v>
      </c>
      <c r="X65" s="99">
        <v>0</v>
      </c>
      <c r="Y65" s="68">
        <v>0</v>
      </c>
      <c r="Z65" s="68">
        <v>0</v>
      </c>
      <c r="AA65" s="68">
        <v>0</v>
      </c>
      <c r="AB65" s="68">
        <v>0</v>
      </c>
      <c r="AC65" s="68">
        <v>0</v>
      </c>
      <c r="AD65" s="68">
        <v>0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J65" s="99">
        <v>0</v>
      </c>
      <c r="AK65" s="68">
        <v>0</v>
      </c>
    </row>
    <row r="66" spans="1:37" ht="14.25" customHeight="1">
      <c r="A66" s="64" t="s">
        <v>182</v>
      </c>
      <c r="B66" s="98">
        <v>0</v>
      </c>
      <c r="C66" s="98">
        <v>0</v>
      </c>
      <c r="D66" s="65">
        <v>0</v>
      </c>
      <c r="E66" s="98">
        <v>0</v>
      </c>
      <c r="F66" s="98">
        <v>0</v>
      </c>
      <c r="G66" s="65">
        <v>0</v>
      </c>
      <c r="H66" s="102"/>
      <c r="I66" s="102"/>
      <c r="J66" s="66"/>
      <c r="K66" s="98">
        <v>0</v>
      </c>
      <c r="L66" s="98">
        <v>0</v>
      </c>
      <c r="M66" s="65">
        <v>0</v>
      </c>
      <c r="N66" s="65">
        <v>0</v>
      </c>
      <c r="O66" s="98">
        <v>0</v>
      </c>
      <c r="P66" s="98">
        <v>-80</v>
      </c>
      <c r="Q66" s="65">
        <v>0</v>
      </c>
      <c r="R66" s="98">
        <v>0</v>
      </c>
      <c r="S66" s="98">
        <v>0</v>
      </c>
      <c r="T66" s="98">
        <v>-80</v>
      </c>
      <c r="U66" s="65">
        <v>0</v>
      </c>
      <c r="V66" s="98">
        <v>0</v>
      </c>
      <c r="W66" s="98">
        <v>0</v>
      </c>
      <c r="X66" s="98">
        <v>0</v>
      </c>
      <c r="Y66" s="65">
        <v>0</v>
      </c>
      <c r="Z66" s="65">
        <v>0</v>
      </c>
      <c r="AA66" s="65">
        <v>0</v>
      </c>
      <c r="AB66" s="65">
        <v>0</v>
      </c>
      <c r="AC66" s="65">
        <v>0</v>
      </c>
      <c r="AD66" s="65">
        <v>0</v>
      </c>
      <c r="AE66" s="65">
        <v>0</v>
      </c>
      <c r="AF66" s="65">
        <v>0</v>
      </c>
      <c r="AG66" s="65">
        <v>0</v>
      </c>
      <c r="AH66" s="65">
        <v>0</v>
      </c>
      <c r="AI66" s="65">
        <v>0</v>
      </c>
      <c r="AJ66" s="98">
        <v>0</v>
      </c>
      <c r="AK66" s="65">
        <v>0</v>
      </c>
    </row>
    <row r="67" spans="1:37" ht="14.25" customHeight="1">
      <c r="A67" s="67" t="s">
        <v>183</v>
      </c>
      <c r="B67" s="99">
        <v>0</v>
      </c>
      <c r="C67" s="99">
        <v>0</v>
      </c>
      <c r="D67" s="68">
        <v>0</v>
      </c>
      <c r="E67" s="99">
        <v>0</v>
      </c>
      <c r="F67" s="99">
        <v>0</v>
      </c>
      <c r="G67" s="68">
        <v>0</v>
      </c>
      <c r="H67" s="101"/>
      <c r="I67" s="101"/>
      <c r="J67" s="69"/>
      <c r="K67" s="99">
        <v>0</v>
      </c>
      <c r="L67" s="99">
        <v>0</v>
      </c>
      <c r="M67" s="68">
        <v>0</v>
      </c>
      <c r="N67" s="68">
        <v>0</v>
      </c>
      <c r="O67" s="99">
        <v>0</v>
      </c>
      <c r="P67" s="99">
        <v>-80</v>
      </c>
      <c r="Q67" s="68">
        <v>0</v>
      </c>
      <c r="R67" s="99">
        <v>0</v>
      </c>
      <c r="S67" s="99">
        <v>0</v>
      </c>
      <c r="T67" s="99">
        <v>-80</v>
      </c>
      <c r="U67" s="68">
        <v>0</v>
      </c>
      <c r="V67" s="99">
        <v>0</v>
      </c>
      <c r="W67" s="99">
        <v>0</v>
      </c>
      <c r="X67" s="99">
        <v>0</v>
      </c>
      <c r="Y67" s="68">
        <v>0</v>
      </c>
      <c r="Z67" s="68">
        <v>0</v>
      </c>
      <c r="AA67" s="68">
        <v>0</v>
      </c>
      <c r="AB67" s="68">
        <v>0</v>
      </c>
      <c r="AC67" s="68">
        <v>0</v>
      </c>
      <c r="AD67" s="68">
        <v>0</v>
      </c>
      <c r="AE67" s="68">
        <v>0</v>
      </c>
      <c r="AF67" s="68">
        <v>0</v>
      </c>
      <c r="AG67" s="68">
        <v>0</v>
      </c>
      <c r="AH67" s="68">
        <v>0</v>
      </c>
      <c r="AI67" s="68">
        <v>0</v>
      </c>
      <c r="AJ67" s="99">
        <v>0</v>
      </c>
      <c r="AK67" s="68">
        <v>0</v>
      </c>
    </row>
    <row r="68" spans="1:37" ht="14.25" customHeight="1">
      <c r="A68" s="64" t="s">
        <v>90</v>
      </c>
      <c r="B68" s="98">
        <v>0</v>
      </c>
      <c r="C68" s="98">
        <v>0</v>
      </c>
      <c r="D68" s="65">
        <v>0</v>
      </c>
      <c r="E68" s="98">
        <v>0</v>
      </c>
      <c r="F68" s="98">
        <v>0</v>
      </c>
      <c r="G68" s="65">
        <v>0</v>
      </c>
      <c r="H68" s="102"/>
      <c r="I68" s="102"/>
      <c r="J68" s="66"/>
      <c r="K68" s="98">
        <v>0</v>
      </c>
      <c r="L68" s="98">
        <v>0</v>
      </c>
      <c r="M68" s="65">
        <v>0</v>
      </c>
      <c r="N68" s="65">
        <v>0</v>
      </c>
      <c r="O68" s="98">
        <v>0</v>
      </c>
      <c r="P68" s="98">
        <v>-80</v>
      </c>
      <c r="Q68" s="65">
        <v>0</v>
      </c>
      <c r="R68" s="98">
        <v>0</v>
      </c>
      <c r="S68" s="98">
        <v>0</v>
      </c>
      <c r="T68" s="98">
        <v>-80</v>
      </c>
      <c r="U68" s="65">
        <v>0</v>
      </c>
      <c r="V68" s="98">
        <v>0</v>
      </c>
      <c r="W68" s="98">
        <v>0</v>
      </c>
      <c r="X68" s="98">
        <v>0</v>
      </c>
      <c r="Y68" s="65">
        <v>0</v>
      </c>
      <c r="Z68" s="65">
        <v>0</v>
      </c>
      <c r="AA68" s="65">
        <v>0</v>
      </c>
      <c r="AB68" s="65">
        <v>0</v>
      </c>
      <c r="AC68" s="65">
        <v>0</v>
      </c>
      <c r="AD68" s="65">
        <v>0</v>
      </c>
      <c r="AE68" s="65">
        <v>0</v>
      </c>
      <c r="AF68" s="65">
        <v>0</v>
      </c>
      <c r="AG68" s="65">
        <v>0</v>
      </c>
      <c r="AH68" s="65">
        <v>0</v>
      </c>
      <c r="AI68" s="65">
        <v>0</v>
      </c>
      <c r="AJ68" s="98">
        <v>0</v>
      </c>
      <c r="AK68" s="65">
        <v>0</v>
      </c>
    </row>
    <row r="69" spans="1:37" ht="14.25" customHeight="1">
      <c r="A69" s="67" t="s">
        <v>184</v>
      </c>
      <c r="B69" s="99">
        <v>0</v>
      </c>
      <c r="C69" s="99">
        <v>0</v>
      </c>
      <c r="D69" s="68">
        <v>0</v>
      </c>
      <c r="E69" s="99">
        <v>0</v>
      </c>
      <c r="F69" s="99">
        <v>0</v>
      </c>
      <c r="G69" s="68">
        <v>0</v>
      </c>
      <c r="H69" s="101"/>
      <c r="I69" s="101"/>
      <c r="J69" s="69"/>
      <c r="K69" s="99">
        <v>0</v>
      </c>
      <c r="L69" s="99">
        <v>0</v>
      </c>
      <c r="M69" s="68">
        <v>0</v>
      </c>
      <c r="N69" s="68">
        <v>0</v>
      </c>
      <c r="O69" s="99">
        <v>0</v>
      </c>
      <c r="P69" s="99">
        <v>-80</v>
      </c>
      <c r="Q69" s="68">
        <v>0</v>
      </c>
      <c r="R69" s="99">
        <v>0</v>
      </c>
      <c r="S69" s="99">
        <v>0</v>
      </c>
      <c r="T69" s="99">
        <v>-80</v>
      </c>
      <c r="U69" s="68">
        <v>0</v>
      </c>
      <c r="V69" s="99">
        <v>0</v>
      </c>
      <c r="W69" s="99">
        <v>0</v>
      </c>
      <c r="X69" s="99">
        <v>0</v>
      </c>
      <c r="Y69" s="68">
        <v>0</v>
      </c>
      <c r="Z69" s="68">
        <v>0</v>
      </c>
      <c r="AA69" s="68">
        <v>0</v>
      </c>
      <c r="AB69" s="68">
        <v>0</v>
      </c>
      <c r="AC69" s="68">
        <v>0</v>
      </c>
      <c r="AD69" s="68">
        <v>0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J69" s="99">
        <v>0</v>
      </c>
      <c r="AK69" s="68">
        <v>0</v>
      </c>
    </row>
    <row r="70" spans="1:37" ht="14.25" customHeight="1">
      <c r="A70" s="64" t="s">
        <v>185</v>
      </c>
      <c r="B70" s="98">
        <v>0</v>
      </c>
      <c r="C70" s="98">
        <v>0</v>
      </c>
      <c r="D70" s="65">
        <v>0</v>
      </c>
      <c r="E70" s="98">
        <v>0</v>
      </c>
      <c r="F70" s="98">
        <v>0</v>
      </c>
      <c r="G70" s="65">
        <v>0</v>
      </c>
      <c r="H70" s="102"/>
      <c r="I70" s="102"/>
      <c r="J70" s="66"/>
      <c r="K70" s="98">
        <v>0</v>
      </c>
      <c r="L70" s="98">
        <v>0</v>
      </c>
      <c r="M70" s="65">
        <v>0</v>
      </c>
      <c r="N70" s="65">
        <v>0</v>
      </c>
      <c r="O70" s="98">
        <v>0</v>
      </c>
      <c r="P70" s="98">
        <v>403</v>
      </c>
      <c r="Q70" s="65">
        <v>0</v>
      </c>
      <c r="R70" s="98">
        <v>0</v>
      </c>
      <c r="S70" s="98">
        <v>0</v>
      </c>
      <c r="T70" s="98">
        <v>403</v>
      </c>
      <c r="U70" s="65">
        <v>0</v>
      </c>
      <c r="V70" s="98">
        <v>0</v>
      </c>
      <c r="W70" s="98">
        <v>0</v>
      </c>
      <c r="X70" s="98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  <c r="AG70" s="65">
        <v>0</v>
      </c>
      <c r="AH70" s="65">
        <v>0</v>
      </c>
      <c r="AI70" s="65">
        <v>0</v>
      </c>
      <c r="AJ70" s="98">
        <v>0</v>
      </c>
      <c r="AK70" s="65">
        <v>0</v>
      </c>
    </row>
    <row r="71" spans="1:37" ht="14.25" customHeight="1">
      <c r="A71" s="67" t="s">
        <v>186</v>
      </c>
      <c r="B71" s="99">
        <v>0</v>
      </c>
      <c r="C71" s="99">
        <v>0</v>
      </c>
      <c r="D71" s="68">
        <v>0</v>
      </c>
      <c r="E71" s="99">
        <v>0</v>
      </c>
      <c r="F71" s="99">
        <v>0</v>
      </c>
      <c r="G71" s="68">
        <v>0</v>
      </c>
      <c r="H71" s="101"/>
      <c r="I71" s="101"/>
      <c r="J71" s="69"/>
      <c r="K71" s="99">
        <v>0</v>
      </c>
      <c r="L71" s="99">
        <v>0</v>
      </c>
      <c r="M71" s="68">
        <v>0</v>
      </c>
      <c r="N71" s="68">
        <v>0</v>
      </c>
      <c r="O71" s="99">
        <v>0</v>
      </c>
      <c r="P71" s="99">
        <v>588</v>
      </c>
      <c r="Q71" s="68">
        <v>0</v>
      </c>
      <c r="R71" s="99">
        <v>0</v>
      </c>
      <c r="S71" s="99">
        <v>0</v>
      </c>
      <c r="T71" s="99">
        <v>588</v>
      </c>
      <c r="U71" s="68">
        <v>0</v>
      </c>
      <c r="V71" s="99">
        <v>0</v>
      </c>
      <c r="W71" s="99">
        <v>0</v>
      </c>
      <c r="X71" s="99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0</v>
      </c>
      <c r="AD71" s="68">
        <v>0</v>
      </c>
      <c r="AE71" s="68">
        <v>0</v>
      </c>
      <c r="AF71" s="68">
        <v>0</v>
      </c>
      <c r="AG71" s="68">
        <v>0</v>
      </c>
      <c r="AH71" s="68">
        <v>0</v>
      </c>
      <c r="AI71" s="68">
        <v>0</v>
      </c>
      <c r="AJ71" s="99">
        <v>0</v>
      </c>
      <c r="AK71" s="68">
        <v>0</v>
      </c>
    </row>
    <row r="72" spans="1:37" ht="14.25" customHeight="1">
      <c r="A72" s="64" t="s">
        <v>91</v>
      </c>
      <c r="B72" s="98">
        <v>0</v>
      </c>
      <c r="C72" s="98">
        <v>0</v>
      </c>
      <c r="D72" s="65">
        <v>0</v>
      </c>
      <c r="E72" s="98">
        <v>0</v>
      </c>
      <c r="F72" s="98">
        <v>0</v>
      </c>
      <c r="G72" s="65">
        <v>0</v>
      </c>
      <c r="H72" s="102"/>
      <c r="I72" s="102"/>
      <c r="J72" s="66"/>
      <c r="K72" s="98">
        <v>0</v>
      </c>
      <c r="L72" s="98">
        <v>0</v>
      </c>
      <c r="M72" s="65">
        <v>0</v>
      </c>
      <c r="N72" s="65">
        <v>0</v>
      </c>
      <c r="O72" s="98">
        <v>0</v>
      </c>
      <c r="P72" s="98">
        <v>505.2</v>
      </c>
      <c r="Q72" s="65">
        <v>0</v>
      </c>
      <c r="R72" s="98">
        <v>0</v>
      </c>
      <c r="S72" s="98">
        <v>0</v>
      </c>
      <c r="T72" s="98">
        <v>505.2</v>
      </c>
      <c r="U72" s="65">
        <v>0</v>
      </c>
      <c r="V72" s="98">
        <v>0</v>
      </c>
      <c r="W72" s="98">
        <v>0</v>
      </c>
      <c r="X72" s="98">
        <v>0</v>
      </c>
      <c r="Y72" s="65">
        <v>0</v>
      </c>
      <c r="Z72" s="65">
        <v>0</v>
      </c>
      <c r="AA72" s="65">
        <v>0</v>
      </c>
      <c r="AB72" s="65">
        <v>0</v>
      </c>
      <c r="AC72" s="65">
        <v>0</v>
      </c>
      <c r="AD72" s="65">
        <v>0</v>
      </c>
      <c r="AE72" s="65">
        <v>0</v>
      </c>
      <c r="AF72" s="65">
        <v>0</v>
      </c>
      <c r="AG72" s="65">
        <v>0</v>
      </c>
      <c r="AH72" s="65">
        <v>0</v>
      </c>
      <c r="AI72" s="65">
        <v>0</v>
      </c>
      <c r="AJ72" s="98">
        <v>0</v>
      </c>
      <c r="AK72" s="65">
        <v>0</v>
      </c>
    </row>
    <row r="73" spans="1:37" ht="14.25" customHeight="1">
      <c r="A73" s="67" t="s">
        <v>187</v>
      </c>
      <c r="B73" s="99">
        <v>0</v>
      </c>
      <c r="C73" s="99">
        <v>0</v>
      </c>
      <c r="D73" s="68">
        <v>0</v>
      </c>
      <c r="E73" s="99">
        <v>0</v>
      </c>
      <c r="F73" s="99">
        <v>0</v>
      </c>
      <c r="G73" s="68">
        <v>0</v>
      </c>
      <c r="H73" s="101"/>
      <c r="I73" s="101"/>
      <c r="J73" s="69"/>
      <c r="K73" s="99">
        <v>0</v>
      </c>
      <c r="L73" s="99">
        <v>0</v>
      </c>
      <c r="M73" s="68">
        <v>0</v>
      </c>
      <c r="N73" s="68">
        <v>0</v>
      </c>
      <c r="O73" s="99">
        <v>0</v>
      </c>
      <c r="P73" s="99">
        <v>521</v>
      </c>
      <c r="Q73" s="68">
        <v>0</v>
      </c>
      <c r="R73" s="99">
        <v>0</v>
      </c>
      <c r="S73" s="99">
        <v>0</v>
      </c>
      <c r="T73" s="99">
        <v>521</v>
      </c>
      <c r="U73" s="68">
        <v>0</v>
      </c>
      <c r="V73" s="99">
        <v>0</v>
      </c>
      <c r="W73" s="99">
        <v>0</v>
      </c>
      <c r="X73" s="99">
        <v>0</v>
      </c>
      <c r="Y73" s="68">
        <v>0</v>
      </c>
      <c r="Z73" s="68">
        <v>0</v>
      </c>
      <c r="AA73" s="68">
        <v>0</v>
      </c>
      <c r="AB73" s="68">
        <v>0</v>
      </c>
      <c r="AC73" s="68">
        <v>0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  <c r="AJ73" s="99">
        <v>0</v>
      </c>
      <c r="AK73" s="68">
        <v>0</v>
      </c>
    </row>
    <row r="74" spans="1:37" ht="14.25" customHeight="1">
      <c r="A74" s="64" t="s">
        <v>188</v>
      </c>
      <c r="B74" s="98">
        <v>0</v>
      </c>
      <c r="C74" s="98">
        <v>0</v>
      </c>
      <c r="D74" s="65">
        <v>0</v>
      </c>
      <c r="E74" s="98">
        <v>0</v>
      </c>
      <c r="F74" s="98">
        <v>0</v>
      </c>
      <c r="G74" s="65">
        <v>0</v>
      </c>
      <c r="H74" s="102"/>
      <c r="I74" s="102"/>
      <c r="J74" s="66"/>
      <c r="K74" s="98">
        <v>0</v>
      </c>
      <c r="L74" s="98">
        <v>0</v>
      </c>
      <c r="M74" s="65">
        <v>0</v>
      </c>
      <c r="N74" s="65">
        <v>0</v>
      </c>
      <c r="O74" s="98">
        <v>0</v>
      </c>
      <c r="P74" s="98">
        <v>502</v>
      </c>
      <c r="Q74" s="65">
        <v>0</v>
      </c>
      <c r="R74" s="98">
        <v>0</v>
      </c>
      <c r="S74" s="98">
        <v>0</v>
      </c>
      <c r="T74" s="98">
        <v>502</v>
      </c>
      <c r="U74" s="65">
        <v>0</v>
      </c>
      <c r="V74" s="98">
        <v>0</v>
      </c>
      <c r="W74" s="98">
        <v>0</v>
      </c>
      <c r="X74" s="98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  <c r="AG74" s="65">
        <v>0</v>
      </c>
      <c r="AH74" s="65">
        <v>0</v>
      </c>
      <c r="AI74" s="65">
        <v>0</v>
      </c>
      <c r="AJ74" s="98">
        <v>0</v>
      </c>
      <c r="AK74" s="65">
        <v>0</v>
      </c>
    </row>
    <row r="75" spans="1:37" ht="14.25" customHeight="1">
      <c r="A75" s="67" t="s">
        <v>189</v>
      </c>
      <c r="B75" s="99">
        <v>0</v>
      </c>
      <c r="C75" s="99">
        <v>0</v>
      </c>
      <c r="D75" s="68">
        <v>0</v>
      </c>
      <c r="E75" s="99">
        <v>0</v>
      </c>
      <c r="F75" s="99">
        <v>0</v>
      </c>
      <c r="G75" s="68">
        <v>0</v>
      </c>
      <c r="H75" s="101"/>
      <c r="I75" s="101"/>
      <c r="J75" s="69"/>
      <c r="K75" s="99">
        <v>0</v>
      </c>
      <c r="L75" s="99">
        <v>0</v>
      </c>
      <c r="M75" s="68">
        <v>0</v>
      </c>
      <c r="N75" s="68">
        <v>0</v>
      </c>
      <c r="O75" s="99">
        <v>0</v>
      </c>
      <c r="P75" s="99">
        <v>554</v>
      </c>
      <c r="Q75" s="68">
        <v>0</v>
      </c>
      <c r="R75" s="99">
        <v>0</v>
      </c>
      <c r="S75" s="99">
        <v>0</v>
      </c>
      <c r="T75" s="99">
        <v>554</v>
      </c>
      <c r="U75" s="68">
        <v>0</v>
      </c>
      <c r="V75" s="99">
        <v>0</v>
      </c>
      <c r="W75" s="99">
        <v>0</v>
      </c>
      <c r="X75" s="99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0</v>
      </c>
      <c r="AD75" s="68">
        <v>0</v>
      </c>
      <c r="AE75" s="68">
        <v>0</v>
      </c>
      <c r="AF75" s="68">
        <v>0</v>
      </c>
      <c r="AG75" s="68">
        <v>0</v>
      </c>
      <c r="AH75" s="68">
        <v>0</v>
      </c>
      <c r="AI75" s="68">
        <v>0</v>
      </c>
      <c r="AJ75" s="99">
        <v>0</v>
      </c>
      <c r="AK75" s="68">
        <v>0</v>
      </c>
    </row>
    <row r="76" spans="1:37" ht="14.25" customHeight="1">
      <c r="A76" s="64" t="s">
        <v>92</v>
      </c>
      <c r="B76" s="98">
        <v>0</v>
      </c>
      <c r="C76" s="98">
        <v>0</v>
      </c>
      <c r="D76" s="65">
        <v>0</v>
      </c>
      <c r="E76" s="98">
        <v>0</v>
      </c>
      <c r="F76" s="98">
        <v>0</v>
      </c>
      <c r="G76" s="65">
        <v>0</v>
      </c>
      <c r="H76" s="102"/>
      <c r="I76" s="102"/>
      <c r="J76" s="66"/>
      <c r="K76" s="98">
        <v>0</v>
      </c>
      <c r="L76" s="98">
        <v>0</v>
      </c>
      <c r="M76" s="65">
        <v>0</v>
      </c>
      <c r="N76" s="65">
        <v>0</v>
      </c>
      <c r="O76" s="98">
        <v>0</v>
      </c>
      <c r="P76" s="98">
        <v>575</v>
      </c>
      <c r="Q76" s="65">
        <v>0</v>
      </c>
      <c r="R76" s="98">
        <v>0</v>
      </c>
      <c r="S76" s="98">
        <v>0</v>
      </c>
      <c r="T76" s="98">
        <v>575</v>
      </c>
      <c r="U76" s="65">
        <v>0</v>
      </c>
      <c r="V76" s="98">
        <v>0</v>
      </c>
      <c r="W76" s="98">
        <v>0</v>
      </c>
      <c r="X76" s="98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  <c r="AG76" s="65">
        <v>0</v>
      </c>
      <c r="AH76" s="65">
        <v>0</v>
      </c>
      <c r="AI76" s="65">
        <v>0</v>
      </c>
      <c r="AJ76" s="98">
        <v>0</v>
      </c>
      <c r="AK76" s="65">
        <v>0</v>
      </c>
    </row>
    <row r="77" spans="1:37" ht="14.25" customHeight="1">
      <c r="A77" s="67" t="s">
        <v>190</v>
      </c>
      <c r="B77" s="99">
        <v>0</v>
      </c>
      <c r="C77" s="99">
        <v>0</v>
      </c>
      <c r="D77" s="68">
        <v>0</v>
      </c>
      <c r="E77" s="99">
        <v>0</v>
      </c>
      <c r="F77" s="99">
        <v>0</v>
      </c>
      <c r="G77" s="68">
        <v>0</v>
      </c>
      <c r="H77" s="101"/>
      <c r="I77" s="101"/>
      <c r="J77" s="69"/>
      <c r="K77" s="99">
        <v>0</v>
      </c>
      <c r="L77" s="99">
        <v>0</v>
      </c>
      <c r="M77" s="68">
        <v>0</v>
      </c>
      <c r="N77" s="68">
        <v>0</v>
      </c>
      <c r="O77" s="99">
        <v>0</v>
      </c>
      <c r="P77" s="99">
        <v>571</v>
      </c>
      <c r="Q77" s="68">
        <v>0</v>
      </c>
      <c r="R77" s="99">
        <v>0</v>
      </c>
      <c r="S77" s="99">
        <v>0</v>
      </c>
      <c r="T77" s="99">
        <v>571</v>
      </c>
      <c r="U77" s="68">
        <v>0</v>
      </c>
      <c r="V77" s="99">
        <v>0</v>
      </c>
      <c r="W77" s="99">
        <v>0</v>
      </c>
      <c r="X77" s="99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0</v>
      </c>
      <c r="AD77" s="68">
        <v>0</v>
      </c>
      <c r="AE77" s="68">
        <v>0</v>
      </c>
      <c r="AF77" s="68">
        <v>0</v>
      </c>
      <c r="AG77" s="68">
        <v>0</v>
      </c>
      <c r="AH77" s="68">
        <v>0</v>
      </c>
      <c r="AI77" s="68">
        <v>0</v>
      </c>
      <c r="AJ77" s="99">
        <v>0</v>
      </c>
      <c r="AK77" s="68">
        <v>0</v>
      </c>
    </row>
    <row r="78" spans="1:37" ht="14.25" customHeight="1">
      <c r="A78" s="64" t="s">
        <v>191</v>
      </c>
      <c r="B78" s="98">
        <v>0</v>
      </c>
      <c r="C78" s="98">
        <v>0</v>
      </c>
      <c r="D78" s="65">
        <v>0</v>
      </c>
      <c r="E78" s="98">
        <v>0</v>
      </c>
      <c r="F78" s="98">
        <v>0</v>
      </c>
      <c r="G78" s="65">
        <v>0</v>
      </c>
      <c r="H78" s="102"/>
      <c r="I78" s="102"/>
      <c r="J78" s="66"/>
      <c r="K78" s="98">
        <v>0</v>
      </c>
      <c r="L78" s="98">
        <v>0</v>
      </c>
      <c r="M78" s="65">
        <v>0</v>
      </c>
      <c r="N78" s="65">
        <v>0</v>
      </c>
      <c r="O78" s="98">
        <v>0</v>
      </c>
      <c r="P78" s="98">
        <v>582</v>
      </c>
      <c r="Q78" s="65">
        <v>0</v>
      </c>
      <c r="R78" s="98">
        <v>0</v>
      </c>
      <c r="S78" s="98">
        <v>0</v>
      </c>
      <c r="T78" s="98">
        <v>582</v>
      </c>
      <c r="U78" s="65">
        <v>0</v>
      </c>
      <c r="V78" s="98">
        <v>0</v>
      </c>
      <c r="W78" s="98">
        <v>0</v>
      </c>
      <c r="X78" s="98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  <c r="AG78" s="65">
        <v>0</v>
      </c>
      <c r="AH78" s="65">
        <v>0</v>
      </c>
      <c r="AI78" s="65">
        <v>0</v>
      </c>
      <c r="AJ78" s="98">
        <v>0</v>
      </c>
      <c r="AK78" s="65">
        <v>0</v>
      </c>
    </row>
    <row r="79" spans="1:37" ht="14.25" customHeight="1">
      <c r="A79" s="67" t="s">
        <v>192</v>
      </c>
      <c r="B79" s="99">
        <v>0</v>
      </c>
      <c r="C79" s="99">
        <v>0</v>
      </c>
      <c r="D79" s="68">
        <v>0</v>
      </c>
      <c r="E79" s="99">
        <v>0</v>
      </c>
      <c r="F79" s="99">
        <v>0</v>
      </c>
      <c r="G79" s="68">
        <v>0</v>
      </c>
      <c r="H79" s="101"/>
      <c r="I79" s="101"/>
      <c r="J79" s="69"/>
      <c r="K79" s="99">
        <v>0</v>
      </c>
      <c r="L79" s="99">
        <v>0</v>
      </c>
      <c r="M79" s="68">
        <v>0</v>
      </c>
      <c r="N79" s="68">
        <v>0</v>
      </c>
      <c r="O79" s="99">
        <v>0</v>
      </c>
      <c r="P79" s="99">
        <v>602</v>
      </c>
      <c r="Q79" s="68">
        <v>0</v>
      </c>
      <c r="R79" s="99">
        <v>0</v>
      </c>
      <c r="S79" s="99">
        <v>0</v>
      </c>
      <c r="T79" s="99">
        <v>602</v>
      </c>
      <c r="U79" s="68">
        <v>0</v>
      </c>
      <c r="V79" s="99">
        <v>0</v>
      </c>
      <c r="W79" s="99">
        <v>0</v>
      </c>
      <c r="X79" s="99">
        <v>0</v>
      </c>
      <c r="Y79" s="68">
        <v>0</v>
      </c>
      <c r="Z79" s="68">
        <v>0</v>
      </c>
      <c r="AA79" s="68">
        <v>0</v>
      </c>
      <c r="AB79" s="68">
        <v>0</v>
      </c>
      <c r="AC79" s="68">
        <v>0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J79" s="99">
        <v>0</v>
      </c>
      <c r="AK79" s="68">
        <v>0</v>
      </c>
    </row>
    <row r="80" spans="1:37" ht="14.25" customHeight="1">
      <c r="A80" s="64" t="s">
        <v>93</v>
      </c>
      <c r="B80" s="98">
        <v>0</v>
      </c>
      <c r="C80" s="98">
        <v>0</v>
      </c>
      <c r="D80" s="65">
        <v>0</v>
      </c>
      <c r="E80" s="98">
        <v>0</v>
      </c>
      <c r="F80" s="98">
        <v>0</v>
      </c>
      <c r="G80" s="65">
        <v>0</v>
      </c>
      <c r="H80" s="102"/>
      <c r="I80" s="102"/>
      <c r="J80" s="66"/>
      <c r="K80" s="98">
        <v>0</v>
      </c>
      <c r="L80" s="98">
        <v>0</v>
      </c>
      <c r="M80" s="65">
        <v>0</v>
      </c>
      <c r="N80" s="65">
        <v>0</v>
      </c>
      <c r="O80" s="98">
        <v>0</v>
      </c>
      <c r="P80" s="98">
        <v>613</v>
      </c>
      <c r="Q80" s="65">
        <v>0</v>
      </c>
      <c r="R80" s="98">
        <v>0</v>
      </c>
      <c r="S80" s="98">
        <v>0</v>
      </c>
      <c r="T80" s="98">
        <v>613</v>
      </c>
      <c r="U80" s="65">
        <v>0</v>
      </c>
      <c r="V80" s="98">
        <v>0</v>
      </c>
      <c r="W80" s="98">
        <v>0</v>
      </c>
      <c r="X80" s="98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0</v>
      </c>
      <c r="AG80" s="65">
        <v>0</v>
      </c>
      <c r="AH80" s="65">
        <v>0</v>
      </c>
      <c r="AI80" s="65">
        <v>0</v>
      </c>
      <c r="AJ80" s="98">
        <v>0</v>
      </c>
      <c r="AK80" s="65">
        <v>0</v>
      </c>
    </row>
    <row r="81" spans="1:37" ht="14.25" customHeight="1">
      <c r="A81" s="67" t="s">
        <v>193</v>
      </c>
      <c r="B81" s="99">
        <v>0</v>
      </c>
      <c r="C81" s="99">
        <v>0</v>
      </c>
      <c r="D81" s="68">
        <v>0</v>
      </c>
      <c r="E81" s="99">
        <v>0</v>
      </c>
      <c r="F81" s="99">
        <v>0</v>
      </c>
      <c r="G81" s="68">
        <v>0</v>
      </c>
      <c r="H81" s="101"/>
      <c r="I81" s="101"/>
      <c r="J81" s="69"/>
      <c r="K81" s="99">
        <v>0</v>
      </c>
      <c r="L81" s="99">
        <v>0</v>
      </c>
      <c r="M81" s="68">
        <v>0</v>
      </c>
      <c r="N81" s="68">
        <v>0</v>
      </c>
      <c r="O81" s="99">
        <v>0</v>
      </c>
      <c r="P81" s="99">
        <v>603</v>
      </c>
      <c r="Q81" s="68">
        <v>0</v>
      </c>
      <c r="R81" s="99">
        <v>0</v>
      </c>
      <c r="S81" s="99">
        <v>0</v>
      </c>
      <c r="T81" s="99">
        <v>603</v>
      </c>
      <c r="U81" s="68">
        <v>0</v>
      </c>
      <c r="V81" s="99">
        <v>0</v>
      </c>
      <c r="W81" s="99">
        <v>0</v>
      </c>
      <c r="X81" s="99">
        <v>0</v>
      </c>
      <c r="Y81" s="68">
        <v>0</v>
      </c>
      <c r="Z81" s="68">
        <v>0</v>
      </c>
      <c r="AA81" s="68">
        <v>0</v>
      </c>
      <c r="AB81" s="68">
        <v>0</v>
      </c>
      <c r="AC81" s="68">
        <v>0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J81" s="99">
        <v>0</v>
      </c>
      <c r="AK81" s="68">
        <v>0</v>
      </c>
    </row>
    <row r="82" spans="1:37" ht="14.25" customHeight="1">
      <c r="A82" s="64" t="s">
        <v>194</v>
      </c>
      <c r="B82" s="98">
        <v>0</v>
      </c>
      <c r="C82" s="98">
        <v>0</v>
      </c>
      <c r="D82" s="65">
        <v>0</v>
      </c>
      <c r="E82" s="98">
        <v>0</v>
      </c>
      <c r="F82" s="98">
        <v>0</v>
      </c>
      <c r="G82" s="65">
        <v>0</v>
      </c>
      <c r="H82" s="102"/>
      <c r="I82" s="102"/>
      <c r="J82" s="66"/>
      <c r="K82" s="98">
        <v>0</v>
      </c>
      <c r="L82" s="98">
        <v>0</v>
      </c>
      <c r="M82" s="65">
        <v>0</v>
      </c>
      <c r="N82" s="65">
        <v>0</v>
      </c>
      <c r="O82" s="98">
        <v>4.5720000000000001</v>
      </c>
      <c r="P82" s="98">
        <v>600</v>
      </c>
      <c r="Q82" s="65">
        <v>2743.2</v>
      </c>
      <c r="R82" s="98">
        <v>0</v>
      </c>
      <c r="S82" s="98">
        <v>0</v>
      </c>
      <c r="T82" s="98">
        <v>600</v>
      </c>
      <c r="U82" s="65">
        <v>0</v>
      </c>
      <c r="V82" s="98">
        <v>0</v>
      </c>
      <c r="W82" s="98">
        <v>0</v>
      </c>
      <c r="X82" s="98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0</v>
      </c>
      <c r="AD82" s="65">
        <v>0</v>
      </c>
      <c r="AE82" s="65">
        <v>0</v>
      </c>
      <c r="AF82" s="65">
        <v>0</v>
      </c>
      <c r="AG82" s="65">
        <v>0</v>
      </c>
      <c r="AH82" s="65">
        <v>0</v>
      </c>
      <c r="AI82" s="65">
        <v>0</v>
      </c>
      <c r="AJ82" s="98">
        <v>4.5720000000000001</v>
      </c>
      <c r="AK82" s="65">
        <v>2743.2</v>
      </c>
    </row>
    <row r="83" spans="1:37" ht="14.25" customHeight="1">
      <c r="A83" s="67" t="s">
        <v>195</v>
      </c>
      <c r="B83" s="99">
        <v>0</v>
      </c>
      <c r="C83" s="99">
        <v>0</v>
      </c>
      <c r="D83" s="68">
        <v>0</v>
      </c>
      <c r="E83" s="99">
        <v>0</v>
      </c>
      <c r="F83" s="99">
        <v>0</v>
      </c>
      <c r="G83" s="68">
        <v>0</v>
      </c>
      <c r="H83" s="101"/>
      <c r="I83" s="101"/>
      <c r="J83" s="69"/>
      <c r="K83" s="99">
        <v>0</v>
      </c>
      <c r="L83" s="99">
        <v>0</v>
      </c>
      <c r="M83" s="68">
        <v>0</v>
      </c>
      <c r="N83" s="68">
        <v>0</v>
      </c>
      <c r="O83" s="99">
        <v>10.111000000000001</v>
      </c>
      <c r="P83" s="99">
        <v>610</v>
      </c>
      <c r="Q83" s="68">
        <v>6167.71</v>
      </c>
      <c r="R83" s="99">
        <v>0</v>
      </c>
      <c r="S83" s="99">
        <v>0</v>
      </c>
      <c r="T83" s="99">
        <v>610</v>
      </c>
      <c r="U83" s="68">
        <v>0</v>
      </c>
      <c r="V83" s="99">
        <v>0</v>
      </c>
      <c r="W83" s="99">
        <v>0</v>
      </c>
      <c r="X83" s="99">
        <v>0</v>
      </c>
      <c r="Y83" s="68">
        <v>0</v>
      </c>
      <c r="Z83" s="68">
        <v>0</v>
      </c>
      <c r="AA83" s="68">
        <v>0</v>
      </c>
      <c r="AB83" s="68">
        <v>0</v>
      </c>
      <c r="AC83" s="68">
        <v>0</v>
      </c>
      <c r="AD83" s="68">
        <v>0</v>
      </c>
      <c r="AE83" s="68">
        <v>0</v>
      </c>
      <c r="AF83" s="68">
        <v>0</v>
      </c>
      <c r="AG83" s="68">
        <v>0</v>
      </c>
      <c r="AH83" s="68">
        <v>0</v>
      </c>
      <c r="AI83" s="68">
        <v>0</v>
      </c>
      <c r="AJ83" s="99">
        <v>10.111000000000001</v>
      </c>
      <c r="AK83" s="68">
        <v>6167.71</v>
      </c>
    </row>
    <row r="84" spans="1:37" ht="14.25" customHeight="1">
      <c r="A84" s="64" t="s">
        <v>94</v>
      </c>
      <c r="B84" s="98">
        <v>0</v>
      </c>
      <c r="C84" s="98">
        <v>0</v>
      </c>
      <c r="D84" s="65">
        <v>0</v>
      </c>
      <c r="E84" s="98">
        <v>0</v>
      </c>
      <c r="F84" s="98">
        <v>0</v>
      </c>
      <c r="G84" s="65">
        <v>0</v>
      </c>
      <c r="H84" s="102"/>
      <c r="I84" s="102"/>
      <c r="J84" s="66"/>
      <c r="K84" s="98">
        <v>0</v>
      </c>
      <c r="L84" s="98">
        <v>0</v>
      </c>
      <c r="M84" s="65">
        <v>0</v>
      </c>
      <c r="N84" s="65">
        <v>0</v>
      </c>
      <c r="O84" s="98">
        <v>10.196999999999999</v>
      </c>
      <c r="P84" s="98">
        <v>613.85699999999997</v>
      </c>
      <c r="Q84" s="65">
        <v>6259.4998290000003</v>
      </c>
      <c r="R84" s="98">
        <v>0</v>
      </c>
      <c r="S84" s="98">
        <v>0</v>
      </c>
      <c r="T84" s="98">
        <v>613.86</v>
      </c>
      <c r="U84" s="65">
        <v>0</v>
      </c>
      <c r="V84" s="98">
        <v>0</v>
      </c>
      <c r="W84" s="98">
        <v>0</v>
      </c>
      <c r="X84" s="98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  <c r="AG84" s="65">
        <v>0</v>
      </c>
      <c r="AH84" s="65">
        <v>0</v>
      </c>
      <c r="AI84" s="65">
        <v>0</v>
      </c>
      <c r="AJ84" s="98">
        <v>10.196999999999999</v>
      </c>
      <c r="AK84" s="65">
        <v>6259.4998290000003</v>
      </c>
    </row>
    <row r="85" spans="1:37" ht="14.25" customHeight="1">
      <c r="A85" s="67" t="s">
        <v>196</v>
      </c>
      <c r="B85" s="99">
        <v>0</v>
      </c>
      <c r="C85" s="99">
        <v>0</v>
      </c>
      <c r="D85" s="68">
        <v>0</v>
      </c>
      <c r="E85" s="99">
        <v>0</v>
      </c>
      <c r="F85" s="99">
        <v>0</v>
      </c>
      <c r="G85" s="68">
        <v>0</v>
      </c>
      <c r="H85" s="101"/>
      <c r="I85" s="101"/>
      <c r="J85" s="69"/>
      <c r="K85" s="99">
        <v>0</v>
      </c>
      <c r="L85" s="99">
        <v>0</v>
      </c>
      <c r="M85" s="68">
        <v>0</v>
      </c>
      <c r="N85" s="68">
        <v>0</v>
      </c>
      <c r="O85" s="99">
        <v>10.111000000000001</v>
      </c>
      <c r="P85" s="99">
        <v>618</v>
      </c>
      <c r="Q85" s="68">
        <v>6248.598</v>
      </c>
      <c r="R85" s="99">
        <v>0</v>
      </c>
      <c r="S85" s="99">
        <v>0</v>
      </c>
      <c r="T85" s="99">
        <v>618</v>
      </c>
      <c r="U85" s="68">
        <v>0</v>
      </c>
      <c r="V85" s="99">
        <v>0</v>
      </c>
      <c r="W85" s="99">
        <v>0</v>
      </c>
      <c r="X85" s="99">
        <v>0</v>
      </c>
      <c r="Y85" s="68">
        <v>0</v>
      </c>
      <c r="Z85" s="68">
        <v>0</v>
      </c>
      <c r="AA85" s="68">
        <v>0</v>
      </c>
      <c r="AB85" s="68">
        <v>0</v>
      </c>
      <c r="AC85" s="68">
        <v>0</v>
      </c>
      <c r="AD85" s="68">
        <v>0</v>
      </c>
      <c r="AE85" s="68">
        <v>0</v>
      </c>
      <c r="AF85" s="68">
        <v>0</v>
      </c>
      <c r="AG85" s="68">
        <v>0</v>
      </c>
      <c r="AH85" s="68">
        <v>0</v>
      </c>
      <c r="AI85" s="68">
        <v>0</v>
      </c>
      <c r="AJ85" s="99">
        <v>10.111000000000001</v>
      </c>
      <c r="AK85" s="68">
        <v>6248.598</v>
      </c>
    </row>
    <row r="86" spans="1:37" ht="14.25" customHeight="1">
      <c r="A86" s="64" t="s">
        <v>197</v>
      </c>
      <c r="B86" s="98">
        <v>0</v>
      </c>
      <c r="C86" s="98">
        <v>0</v>
      </c>
      <c r="D86" s="65">
        <v>0</v>
      </c>
      <c r="E86" s="98">
        <v>0</v>
      </c>
      <c r="F86" s="98">
        <v>0</v>
      </c>
      <c r="G86" s="65">
        <v>0</v>
      </c>
      <c r="H86" s="102"/>
      <c r="I86" s="102"/>
      <c r="J86" s="66"/>
      <c r="K86" s="98">
        <v>0</v>
      </c>
      <c r="L86" s="98">
        <v>0</v>
      </c>
      <c r="M86" s="65">
        <v>0</v>
      </c>
      <c r="N86" s="65">
        <v>0</v>
      </c>
      <c r="O86" s="98">
        <v>10.111000000000001</v>
      </c>
      <c r="P86" s="98">
        <v>612</v>
      </c>
      <c r="Q86" s="65">
        <v>6187.9319999999998</v>
      </c>
      <c r="R86" s="98">
        <v>0</v>
      </c>
      <c r="S86" s="98">
        <v>0</v>
      </c>
      <c r="T86" s="98">
        <v>612</v>
      </c>
      <c r="U86" s="65">
        <v>0</v>
      </c>
      <c r="V86" s="98">
        <v>0</v>
      </c>
      <c r="W86" s="98">
        <v>0</v>
      </c>
      <c r="X86" s="98">
        <v>0</v>
      </c>
      <c r="Y86" s="65">
        <v>0</v>
      </c>
      <c r="Z86" s="65">
        <v>0</v>
      </c>
      <c r="AA86" s="65">
        <v>0</v>
      </c>
      <c r="AB86" s="65">
        <v>0</v>
      </c>
      <c r="AC86" s="65">
        <v>0</v>
      </c>
      <c r="AD86" s="65">
        <v>0</v>
      </c>
      <c r="AE86" s="65">
        <v>0</v>
      </c>
      <c r="AF86" s="65">
        <v>0</v>
      </c>
      <c r="AG86" s="65">
        <v>0</v>
      </c>
      <c r="AH86" s="65">
        <v>0</v>
      </c>
      <c r="AI86" s="65">
        <v>0</v>
      </c>
      <c r="AJ86" s="98">
        <v>10.111000000000001</v>
      </c>
      <c r="AK86" s="65">
        <v>6187.9319999999998</v>
      </c>
    </row>
    <row r="87" spans="1:37" ht="14.25" customHeight="1">
      <c r="A87" s="67" t="s">
        <v>198</v>
      </c>
      <c r="B87" s="99">
        <v>0</v>
      </c>
      <c r="C87" s="99">
        <v>0</v>
      </c>
      <c r="D87" s="68">
        <v>0</v>
      </c>
      <c r="E87" s="99">
        <v>0</v>
      </c>
      <c r="F87" s="99">
        <v>0</v>
      </c>
      <c r="G87" s="68">
        <v>0</v>
      </c>
      <c r="H87" s="101"/>
      <c r="I87" s="101"/>
      <c r="J87" s="69"/>
      <c r="K87" s="99">
        <v>0</v>
      </c>
      <c r="L87" s="99">
        <v>0</v>
      </c>
      <c r="M87" s="68">
        <v>0</v>
      </c>
      <c r="N87" s="68">
        <v>0</v>
      </c>
      <c r="O87" s="99">
        <v>10.111000000000001</v>
      </c>
      <c r="P87" s="99">
        <v>605</v>
      </c>
      <c r="Q87" s="68">
        <v>6117.1549999999997</v>
      </c>
      <c r="R87" s="99">
        <v>0</v>
      </c>
      <c r="S87" s="99">
        <v>0</v>
      </c>
      <c r="T87" s="99">
        <v>605</v>
      </c>
      <c r="U87" s="68">
        <v>0</v>
      </c>
      <c r="V87" s="99">
        <v>0</v>
      </c>
      <c r="W87" s="99">
        <v>0</v>
      </c>
      <c r="X87" s="99">
        <v>0</v>
      </c>
      <c r="Y87" s="68">
        <v>0</v>
      </c>
      <c r="Z87" s="68">
        <v>0</v>
      </c>
      <c r="AA87" s="68">
        <v>0</v>
      </c>
      <c r="AB87" s="68">
        <v>0</v>
      </c>
      <c r="AC87" s="68">
        <v>0</v>
      </c>
      <c r="AD87" s="68">
        <v>0</v>
      </c>
      <c r="AE87" s="68">
        <v>0</v>
      </c>
      <c r="AF87" s="68">
        <v>0</v>
      </c>
      <c r="AG87" s="68">
        <v>0</v>
      </c>
      <c r="AH87" s="68">
        <v>0</v>
      </c>
      <c r="AI87" s="68">
        <v>0</v>
      </c>
      <c r="AJ87" s="99">
        <v>10.111000000000001</v>
      </c>
      <c r="AK87" s="68">
        <v>6117.1549999999997</v>
      </c>
    </row>
    <row r="88" spans="1:37" ht="14.25" customHeight="1">
      <c r="A88" s="64" t="s">
        <v>95</v>
      </c>
      <c r="B88" s="98">
        <v>0</v>
      </c>
      <c r="C88" s="98">
        <v>0</v>
      </c>
      <c r="D88" s="65">
        <v>0</v>
      </c>
      <c r="E88" s="98">
        <v>0</v>
      </c>
      <c r="F88" s="98">
        <v>0</v>
      </c>
      <c r="G88" s="65">
        <v>0</v>
      </c>
      <c r="H88" s="102"/>
      <c r="I88" s="102"/>
      <c r="J88" s="66"/>
      <c r="K88" s="98">
        <v>0</v>
      </c>
      <c r="L88" s="98">
        <v>0</v>
      </c>
      <c r="M88" s="65">
        <v>0</v>
      </c>
      <c r="N88" s="65">
        <v>0</v>
      </c>
      <c r="O88" s="98">
        <v>10.111000000000001</v>
      </c>
      <c r="P88" s="98">
        <v>604</v>
      </c>
      <c r="Q88" s="65">
        <v>6107.0439999999999</v>
      </c>
      <c r="R88" s="98">
        <v>0</v>
      </c>
      <c r="S88" s="98">
        <v>0</v>
      </c>
      <c r="T88" s="98">
        <v>604</v>
      </c>
      <c r="U88" s="65">
        <v>0</v>
      </c>
      <c r="V88" s="98">
        <v>0</v>
      </c>
      <c r="W88" s="98">
        <v>0</v>
      </c>
      <c r="X88" s="98">
        <v>0</v>
      </c>
      <c r="Y88" s="65">
        <v>0</v>
      </c>
      <c r="Z88" s="65">
        <v>0</v>
      </c>
      <c r="AA88" s="65">
        <v>0</v>
      </c>
      <c r="AB88" s="65">
        <v>0</v>
      </c>
      <c r="AC88" s="65">
        <v>0</v>
      </c>
      <c r="AD88" s="65">
        <v>0</v>
      </c>
      <c r="AE88" s="65">
        <v>0</v>
      </c>
      <c r="AF88" s="65">
        <v>0</v>
      </c>
      <c r="AG88" s="65">
        <v>0</v>
      </c>
      <c r="AH88" s="65">
        <v>0</v>
      </c>
      <c r="AI88" s="65">
        <v>0</v>
      </c>
      <c r="AJ88" s="98">
        <v>10.111000000000001</v>
      </c>
      <c r="AK88" s="65">
        <v>6107.0439999999999</v>
      </c>
    </row>
    <row r="89" spans="1:37" ht="14.25" customHeight="1">
      <c r="A89" s="67" t="s">
        <v>199</v>
      </c>
      <c r="B89" s="99">
        <v>0</v>
      </c>
      <c r="C89" s="99">
        <v>0</v>
      </c>
      <c r="D89" s="68">
        <v>0</v>
      </c>
      <c r="E89" s="99">
        <v>0</v>
      </c>
      <c r="F89" s="99">
        <v>0</v>
      </c>
      <c r="G89" s="68">
        <v>0</v>
      </c>
      <c r="H89" s="101"/>
      <c r="I89" s="101"/>
      <c r="J89" s="69"/>
      <c r="K89" s="99">
        <v>0</v>
      </c>
      <c r="L89" s="99">
        <v>0</v>
      </c>
      <c r="M89" s="68">
        <v>0</v>
      </c>
      <c r="N89" s="68">
        <v>0</v>
      </c>
      <c r="O89" s="99">
        <v>10.199</v>
      </c>
      <c r="P89" s="99">
        <v>614</v>
      </c>
      <c r="Q89" s="68">
        <v>6262.1859999999997</v>
      </c>
      <c r="R89" s="99">
        <v>0</v>
      </c>
      <c r="S89" s="99">
        <v>0</v>
      </c>
      <c r="T89" s="99">
        <v>614</v>
      </c>
      <c r="U89" s="68">
        <v>0</v>
      </c>
      <c r="V89" s="99">
        <v>0</v>
      </c>
      <c r="W89" s="99">
        <v>0</v>
      </c>
      <c r="X89" s="99">
        <v>0</v>
      </c>
      <c r="Y89" s="68">
        <v>0</v>
      </c>
      <c r="Z89" s="68">
        <v>0</v>
      </c>
      <c r="AA89" s="68">
        <v>0</v>
      </c>
      <c r="AB89" s="68">
        <v>0</v>
      </c>
      <c r="AC89" s="68">
        <v>0</v>
      </c>
      <c r="AD89" s="68">
        <v>0</v>
      </c>
      <c r="AE89" s="68">
        <v>0</v>
      </c>
      <c r="AF89" s="68">
        <v>0</v>
      </c>
      <c r="AG89" s="68">
        <v>0</v>
      </c>
      <c r="AH89" s="68">
        <v>0</v>
      </c>
      <c r="AI89" s="68">
        <v>0</v>
      </c>
      <c r="AJ89" s="99">
        <v>10.199</v>
      </c>
      <c r="AK89" s="68">
        <v>6262.1859999999997</v>
      </c>
    </row>
    <row r="90" spans="1:37" ht="14.25" customHeight="1">
      <c r="A90" s="64" t="s">
        <v>200</v>
      </c>
      <c r="B90" s="98">
        <v>0</v>
      </c>
      <c r="C90" s="98">
        <v>0</v>
      </c>
      <c r="D90" s="65">
        <v>0</v>
      </c>
      <c r="E90" s="98">
        <v>0</v>
      </c>
      <c r="F90" s="98">
        <v>0</v>
      </c>
      <c r="G90" s="65">
        <v>0</v>
      </c>
      <c r="H90" s="102"/>
      <c r="I90" s="102"/>
      <c r="J90" s="66"/>
      <c r="K90" s="98">
        <v>0</v>
      </c>
      <c r="L90" s="98">
        <v>0</v>
      </c>
      <c r="M90" s="65">
        <v>0</v>
      </c>
      <c r="N90" s="65">
        <v>0</v>
      </c>
      <c r="O90" s="98">
        <v>10.111000000000001</v>
      </c>
      <c r="P90" s="98">
        <v>617.42899999999997</v>
      </c>
      <c r="Q90" s="65">
        <v>6242.824619</v>
      </c>
      <c r="R90" s="98">
        <v>0</v>
      </c>
      <c r="S90" s="98">
        <v>0</v>
      </c>
      <c r="T90" s="98">
        <v>617.42999999999995</v>
      </c>
      <c r="U90" s="65">
        <v>0</v>
      </c>
      <c r="V90" s="98">
        <v>0</v>
      </c>
      <c r="W90" s="98">
        <v>0</v>
      </c>
      <c r="X90" s="98">
        <v>0</v>
      </c>
      <c r="Y90" s="65">
        <v>0</v>
      </c>
      <c r="Z90" s="65">
        <v>0</v>
      </c>
      <c r="AA90" s="65">
        <v>0</v>
      </c>
      <c r="AB90" s="65">
        <v>0</v>
      </c>
      <c r="AC90" s="65">
        <v>0</v>
      </c>
      <c r="AD90" s="65">
        <v>0</v>
      </c>
      <c r="AE90" s="65">
        <v>0</v>
      </c>
      <c r="AF90" s="65">
        <v>0</v>
      </c>
      <c r="AG90" s="65">
        <v>0</v>
      </c>
      <c r="AH90" s="65">
        <v>0</v>
      </c>
      <c r="AI90" s="65">
        <v>0</v>
      </c>
      <c r="AJ90" s="98">
        <v>10.111000000000001</v>
      </c>
      <c r="AK90" s="65">
        <v>6242.824619</v>
      </c>
    </row>
    <row r="91" spans="1:37" ht="14.25" customHeight="1">
      <c r="A91" s="67" t="s">
        <v>201</v>
      </c>
      <c r="B91" s="99">
        <v>0</v>
      </c>
      <c r="C91" s="99">
        <v>0</v>
      </c>
      <c r="D91" s="68">
        <v>0</v>
      </c>
      <c r="E91" s="99">
        <v>0</v>
      </c>
      <c r="F91" s="99">
        <v>0</v>
      </c>
      <c r="G91" s="68">
        <v>0</v>
      </c>
      <c r="H91" s="101"/>
      <c r="I91" s="101"/>
      <c r="J91" s="69"/>
      <c r="K91" s="99">
        <v>0</v>
      </c>
      <c r="L91" s="99">
        <v>0</v>
      </c>
      <c r="M91" s="68">
        <v>0</v>
      </c>
      <c r="N91" s="68">
        <v>0</v>
      </c>
      <c r="O91" s="99">
        <v>10.199</v>
      </c>
      <c r="P91" s="99">
        <v>620</v>
      </c>
      <c r="Q91" s="68">
        <v>6323.38</v>
      </c>
      <c r="R91" s="99">
        <v>0</v>
      </c>
      <c r="S91" s="99">
        <v>0</v>
      </c>
      <c r="T91" s="99">
        <v>620</v>
      </c>
      <c r="U91" s="68">
        <v>0</v>
      </c>
      <c r="V91" s="99">
        <v>0</v>
      </c>
      <c r="W91" s="99">
        <v>0</v>
      </c>
      <c r="X91" s="99">
        <v>0</v>
      </c>
      <c r="Y91" s="68">
        <v>0</v>
      </c>
      <c r="Z91" s="68">
        <v>0</v>
      </c>
      <c r="AA91" s="68">
        <v>0</v>
      </c>
      <c r="AB91" s="68">
        <v>0</v>
      </c>
      <c r="AC91" s="68">
        <v>0</v>
      </c>
      <c r="AD91" s="68">
        <v>0</v>
      </c>
      <c r="AE91" s="68">
        <v>0</v>
      </c>
      <c r="AF91" s="68">
        <v>0</v>
      </c>
      <c r="AG91" s="68">
        <v>0</v>
      </c>
      <c r="AH91" s="68">
        <v>0</v>
      </c>
      <c r="AI91" s="68">
        <v>0</v>
      </c>
      <c r="AJ91" s="99">
        <v>10.199</v>
      </c>
      <c r="AK91" s="68">
        <v>6323.38</v>
      </c>
    </row>
    <row r="92" spans="1:37" ht="14.25" customHeight="1">
      <c r="A92" s="64" t="s">
        <v>97</v>
      </c>
      <c r="B92" s="98">
        <v>0</v>
      </c>
      <c r="C92" s="98">
        <v>0</v>
      </c>
      <c r="D92" s="65">
        <v>0</v>
      </c>
      <c r="E92" s="98">
        <v>0</v>
      </c>
      <c r="F92" s="98">
        <v>0</v>
      </c>
      <c r="G92" s="65">
        <v>0</v>
      </c>
      <c r="H92" s="102"/>
      <c r="I92" s="102"/>
      <c r="J92" s="66"/>
      <c r="K92" s="98">
        <v>0</v>
      </c>
      <c r="L92" s="98">
        <v>0</v>
      </c>
      <c r="M92" s="65">
        <v>0</v>
      </c>
      <c r="N92" s="65">
        <v>0</v>
      </c>
      <c r="O92" s="98">
        <v>10.199</v>
      </c>
      <c r="P92" s="98">
        <v>625</v>
      </c>
      <c r="Q92" s="65">
        <v>6374.375</v>
      </c>
      <c r="R92" s="98">
        <v>0</v>
      </c>
      <c r="S92" s="98">
        <v>0</v>
      </c>
      <c r="T92" s="98">
        <v>625</v>
      </c>
      <c r="U92" s="65">
        <v>0</v>
      </c>
      <c r="V92" s="98">
        <v>0</v>
      </c>
      <c r="W92" s="98">
        <v>0</v>
      </c>
      <c r="X92" s="98">
        <v>0</v>
      </c>
      <c r="Y92" s="65">
        <v>0</v>
      </c>
      <c r="Z92" s="65">
        <v>0</v>
      </c>
      <c r="AA92" s="65">
        <v>0</v>
      </c>
      <c r="AB92" s="65">
        <v>0</v>
      </c>
      <c r="AC92" s="65">
        <v>0</v>
      </c>
      <c r="AD92" s="65">
        <v>0</v>
      </c>
      <c r="AE92" s="65">
        <v>0</v>
      </c>
      <c r="AF92" s="65">
        <v>0</v>
      </c>
      <c r="AG92" s="65">
        <v>0</v>
      </c>
      <c r="AH92" s="65">
        <v>0</v>
      </c>
      <c r="AI92" s="65">
        <v>0</v>
      </c>
      <c r="AJ92" s="98">
        <v>10.199</v>
      </c>
      <c r="AK92" s="65">
        <v>6374.375</v>
      </c>
    </row>
    <row r="93" spans="1:37" ht="14.25" customHeight="1">
      <c r="A93" s="67" t="s">
        <v>202</v>
      </c>
      <c r="B93" s="99">
        <v>0</v>
      </c>
      <c r="C93" s="99">
        <v>0</v>
      </c>
      <c r="D93" s="68">
        <v>0</v>
      </c>
      <c r="E93" s="99">
        <v>0</v>
      </c>
      <c r="F93" s="99">
        <v>0</v>
      </c>
      <c r="G93" s="68">
        <v>0</v>
      </c>
      <c r="H93" s="101"/>
      <c r="I93" s="101"/>
      <c r="J93" s="69"/>
      <c r="K93" s="99">
        <v>0</v>
      </c>
      <c r="L93" s="99">
        <v>0</v>
      </c>
      <c r="M93" s="68">
        <v>0</v>
      </c>
      <c r="N93" s="68">
        <v>0</v>
      </c>
      <c r="O93" s="99">
        <v>10.111000000000001</v>
      </c>
      <c r="P93" s="99">
        <v>624</v>
      </c>
      <c r="Q93" s="68">
        <v>6309.2640000000001</v>
      </c>
      <c r="R93" s="99">
        <v>0</v>
      </c>
      <c r="S93" s="99">
        <v>0</v>
      </c>
      <c r="T93" s="99">
        <v>624</v>
      </c>
      <c r="U93" s="68">
        <v>0</v>
      </c>
      <c r="V93" s="99">
        <v>0</v>
      </c>
      <c r="W93" s="99">
        <v>0</v>
      </c>
      <c r="X93" s="99">
        <v>0</v>
      </c>
      <c r="Y93" s="68">
        <v>0</v>
      </c>
      <c r="Z93" s="68">
        <v>0</v>
      </c>
      <c r="AA93" s="68">
        <v>0</v>
      </c>
      <c r="AB93" s="68">
        <v>0</v>
      </c>
      <c r="AC93" s="68">
        <v>0</v>
      </c>
      <c r="AD93" s="68">
        <v>0</v>
      </c>
      <c r="AE93" s="68">
        <v>0</v>
      </c>
      <c r="AF93" s="68">
        <v>0</v>
      </c>
      <c r="AG93" s="68">
        <v>0</v>
      </c>
      <c r="AH93" s="68">
        <v>0</v>
      </c>
      <c r="AI93" s="68">
        <v>0</v>
      </c>
      <c r="AJ93" s="99">
        <v>10.111000000000001</v>
      </c>
      <c r="AK93" s="68">
        <v>6309.2640000000001</v>
      </c>
    </row>
    <row r="94" spans="1:37" ht="14.25" customHeight="1">
      <c r="A94" s="64" t="s">
        <v>203</v>
      </c>
      <c r="B94" s="98">
        <v>0</v>
      </c>
      <c r="C94" s="98">
        <v>0</v>
      </c>
      <c r="D94" s="65">
        <v>0</v>
      </c>
      <c r="E94" s="98">
        <v>0</v>
      </c>
      <c r="F94" s="98">
        <v>0</v>
      </c>
      <c r="G94" s="65">
        <v>0</v>
      </c>
      <c r="H94" s="102"/>
      <c r="I94" s="102"/>
      <c r="J94" s="66"/>
      <c r="K94" s="98">
        <v>0</v>
      </c>
      <c r="L94" s="98">
        <v>0</v>
      </c>
      <c r="M94" s="65">
        <v>0</v>
      </c>
      <c r="N94" s="65">
        <v>0</v>
      </c>
      <c r="O94" s="98">
        <v>10.199</v>
      </c>
      <c r="P94" s="98">
        <v>623</v>
      </c>
      <c r="Q94" s="65">
        <v>6353.9769999999999</v>
      </c>
      <c r="R94" s="98">
        <v>0</v>
      </c>
      <c r="S94" s="98">
        <v>0</v>
      </c>
      <c r="T94" s="98">
        <v>623</v>
      </c>
      <c r="U94" s="65">
        <v>0</v>
      </c>
      <c r="V94" s="98">
        <v>0</v>
      </c>
      <c r="W94" s="98">
        <v>0</v>
      </c>
      <c r="X94" s="98">
        <v>0</v>
      </c>
      <c r="Y94" s="65">
        <v>0</v>
      </c>
      <c r="Z94" s="65">
        <v>0</v>
      </c>
      <c r="AA94" s="65">
        <v>0</v>
      </c>
      <c r="AB94" s="65">
        <v>0</v>
      </c>
      <c r="AC94" s="65">
        <v>0</v>
      </c>
      <c r="AD94" s="65">
        <v>0</v>
      </c>
      <c r="AE94" s="65">
        <v>0</v>
      </c>
      <c r="AF94" s="65">
        <v>0</v>
      </c>
      <c r="AG94" s="65">
        <v>0</v>
      </c>
      <c r="AH94" s="65">
        <v>0</v>
      </c>
      <c r="AI94" s="65">
        <v>0</v>
      </c>
      <c r="AJ94" s="98">
        <v>10.199</v>
      </c>
      <c r="AK94" s="65">
        <v>6353.9769999999999</v>
      </c>
    </row>
    <row r="95" spans="1:37" ht="14.25" customHeight="1">
      <c r="A95" s="67" t="s">
        <v>204</v>
      </c>
      <c r="B95" s="99">
        <v>0</v>
      </c>
      <c r="C95" s="99">
        <v>0</v>
      </c>
      <c r="D95" s="68">
        <v>0</v>
      </c>
      <c r="E95" s="99">
        <v>0</v>
      </c>
      <c r="F95" s="99">
        <v>0</v>
      </c>
      <c r="G95" s="68">
        <v>0</v>
      </c>
      <c r="H95" s="101"/>
      <c r="I95" s="101"/>
      <c r="J95" s="69"/>
      <c r="K95" s="99">
        <v>0</v>
      </c>
      <c r="L95" s="99">
        <v>0</v>
      </c>
      <c r="M95" s="68">
        <v>0</v>
      </c>
      <c r="N95" s="68">
        <v>0</v>
      </c>
      <c r="O95" s="99">
        <v>10.199</v>
      </c>
      <c r="P95" s="99">
        <v>614</v>
      </c>
      <c r="Q95" s="68">
        <v>6262.1859999999997</v>
      </c>
      <c r="R95" s="99">
        <v>0</v>
      </c>
      <c r="S95" s="99">
        <v>0</v>
      </c>
      <c r="T95" s="99">
        <v>614</v>
      </c>
      <c r="U95" s="68">
        <v>0</v>
      </c>
      <c r="V95" s="99">
        <v>0</v>
      </c>
      <c r="W95" s="99">
        <v>0</v>
      </c>
      <c r="X95" s="99">
        <v>0</v>
      </c>
      <c r="Y95" s="68">
        <v>0</v>
      </c>
      <c r="Z95" s="68">
        <v>0</v>
      </c>
      <c r="AA95" s="68">
        <v>0</v>
      </c>
      <c r="AB95" s="68">
        <v>0</v>
      </c>
      <c r="AC95" s="68">
        <v>0</v>
      </c>
      <c r="AD95" s="68">
        <v>0</v>
      </c>
      <c r="AE95" s="68">
        <v>0</v>
      </c>
      <c r="AF95" s="68">
        <v>0</v>
      </c>
      <c r="AG95" s="68">
        <v>0</v>
      </c>
      <c r="AH95" s="68">
        <v>0</v>
      </c>
      <c r="AI95" s="68">
        <v>0</v>
      </c>
      <c r="AJ95" s="99">
        <v>10.199</v>
      </c>
      <c r="AK95" s="68">
        <v>6262.1859999999997</v>
      </c>
    </row>
    <row r="96" spans="1:37" ht="14.25" customHeight="1">
      <c r="A96" s="64" t="s">
        <v>98</v>
      </c>
      <c r="B96" s="98">
        <v>0</v>
      </c>
      <c r="C96" s="98">
        <v>0</v>
      </c>
      <c r="D96" s="65">
        <v>0</v>
      </c>
      <c r="E96" s="98">
        <v>0</v>
      </c>
      <c r="F96" s="98">
        <v>0</v>
      </c>
      <c r="G96" s="65">
        <v>0</v>
      </c>
      <c r="H96" s="102"/>
      <c r="I96" s="102"/>
      <c r="J96" s="66"/>
      <c r="K96" s="98">
        <v>0</v>
      </c>
      <c r="L96" s="98">
        <v>0</v>
      </c>
      <c r="M96" s="65">
        <v>0</v>
      </c>
      <c r="N96" s="65">
        <v>0</v>
      </c>
      <c r="O96" s="98">
        <v>10.199</v>
      </c>
      <c r="P96" s="98">
        <v>609.28</v>
      </c>
      <c r="Q96" s="65">
        <v>6214.0467200000003</v>
      </c>
      <c r="R96" s="98">
        <v>0</v>
      </c>
      <c r="S96" s="98">
        <v>0</v>
      </c>
      <c r="T96" s="98">
        <v>609.28</v>
      </c>
      <c r="U96" s="65">
        <v>0</v>
      </c>
      <c r="V96" s="98">
        <v>0</v>
      </c>
      <c r="W96" s="98">
        <v>0</v>
      </c>
      <c r="X96" s="98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  <c r="AG96" s="65">
        <v>0</v>
      </c>
      <c r="AH96" s="65">
        <v>0</v>
      </c>
      <c r="AI96" s="65">
        <v>0</v>
      </c>
      <c r="AJ96" s="98">
        <v>10.199</v>
      </c>
      <c r="AK96" s="65">
        <v>6214.0467200000003</v>
      </c>
    </row>
    <row r="97" spans="1:37" ht="14.25" customHeight="1">
      <c r="A97" s="67" t="s">
        <v>205</v>
      </c>
      <c r="B97" s="99">
        <v>0</v>
      </c>
      <c r="C97" s="99">
        <v>0</v>
      </c>
      <c r="D97" s="68">
        <v>0</v>
      </c>
      <c r="E97" s="99">
        <v>0</v>
      </c>
      <c r="F97" s="99">
        <v>0</v>
      </c>
      <c r="G97" s="68">
        <v>0</v>
      </c>
      <c r="H97" s="101"/>
      <c r="I97" s="101"/>
      <c r="J97" s="69"/>
      <c r="K97" s="99">
        <v>0</v>
      </c>
      <c r="L97" s="99">
        <v>0</v>
      </c>
      <c r="M97" s="68">
        <v>0</v>
      </c>
      <c r="N97" s="68">
        <v>0</v>
      </c>
      <c r="O97" s="99">
        <v>10.111000000000001</v>
      </c>
      <c r="P97" s="99">
        <v>625</v>
      </c>
      <c r="Q97" s="68">
        <v>6319.375</v>
      </c>
      <c r="R97" s="99">
        <v>0</v>
      </c>
      <c r="S97" s="99">
        <v>0</v>
      </c>
      <c r="T97" s="99">
        <v>625</v>
      </c>
      <c r="U97" s="68">
        <v>0</v>
      </c>
      <c r="V97" s="99">
        <v>0</v>
      </c>
      <c r="W97" s="99">
        <v>0</v>
      </c>
      <c r="X97" s="99">
        <v>0</v>
      </c>
      <c r="Y97" s="68">
        <v>0</v>
      </c>
      <c r="Z97" s="68">
        <v>0</v>
      </c>
      <c r="AA97" s="68">
        <v>0</v>
      </c>
      <c r="AB97" s="68">
        <v>0</v>
      </c>
      <c r="AC97" s="68">
        <v>0</v>
      </c>
      <c r="AD97" s="68">
        <v>0</v>
      </c>
      <c r="AE97" s="68">
        <v>0</v>
      </c>
      <c r="AF97" s="68">
        <v>0</v>
      </c>
      <c r="AG97" s="68">
        <v>0</v>
      </c>
      <c r="AH97" s="68">
        <v>0</v>
      </c>
      <c r="AI97" s="68">
        <v>0</v>
      </c>
      <c r="AJ97" s="99">
        <v>10.111000000000001</v>
      </c>
      <c r="AK97" s="68">
        <v>6319.375</v>
      </c>
    </row>
    <row r="98" spans="1:37" ht="14.25" customHeight="1">
      <c r="A98" s="64" t="s">
        <v>206</v>
      </c>
      <c r="B98" s="98">
        <v>0</v>
      </c>
      <c r="C98" s="98">
        <v>0</v>
      </c>
      <c r="D98" s="65">
        <v>0</v>
      </c>
      <c r="E98" s="98">
        <v>0</v>
      </c>
      <c r="F98" s="98">
        <v>0</v>
      </c>
      <c r="G98" s="65">
        <v>0</v>
      </c>
      <c r="H98" s="102"/>
      <c r="I98" s="102"/>
      <c r="J98" s="66"/>
      <c r="K98" s="98">
        <v>0</v>
      </c>
      <c r="L98" s="98">
        <v>0</v>
      </c>
      <c r="M98" s="65">
        <v>0</v>
      </c>
      <c r="N98" s="65">
        <v>0</v>
      </c>
      <c r="O98" s="98">
        <v>5.0990000000000002</v>
      </c>
      <c r="P98" s="98">
        <v>620</v>
      </c>
      <c r="Q98" s="65">
        <v>3161.38</v>
      </c>
      <c r="R98" s="98">
        <v>0</v>
      </c>
      <c r="S98" s="98">
        <v>0</v>
      </c>
      <c r="T98" s="98">
        <v>620</v>
      </c>
      <c r="U98" s="65">
        <v>0</v>
      </c>
      <c r="V98" s="98">
        <v>0</v>
      </c>
      <c r="W98" s="98">
        <v>0</v>
      </c>
      <c r="X98" s="98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  <c r="AG98" s="65">
        <v>0</v>
      </c>
      <c r="AH98" s="65">
        <v>0</v>
      </c>
      <c r="AI98" s="65">
        <v>0</v>
      </c>
      <c r="AJ98" s="98">
        <v>5.0990000000000002</v>
      </c>
      <c r="AK98" s="65">
        <v>3161.38</v>
      </c>
    </row>
    <row r="99" spans="1:37" ht="14.25" customHeight="1">
      <c r="A99" s="67" t="s">
        <v>207</v>
      </c>
      <c r="B99" s="99">
        <v>0</v>
      </c>
      <c r="C99" s="99">
        <v>0</v>
      </c>
      <c r="D99" s="68">
        <v>0</v>
      </c>
      <c r="E99" s="99">
        <v>0</v>
      </c>
      <c r="F99" s="99">
        <v>0</v>
      </c>
      <c r="G99" s="68">
        <v>0</v>
      </c>
      <c r="H99" s="101"/>
      <c r="I99" s="101"/>
      <c r="J99" s="69"/>
      <c r="K99" s="99">
        <v>0</v>
      </c>
      <c r="L99" s="99">
        <v>0</v>
      </c>
      <c r="M99" s="68">
        <v>0</v>
      </c>
      <c r="N99" s="68">
        <v>0</v>
      </c>
      <c r="O99" s="99">
        <v>0</v>
      </c>
      <c r="P99" s="99">
        <v>606</v>
      </c>
      <c r="Q99" s="68">
        <v>0</v>
      </c>
      <c r="R99" s="99">
        <v>0</v>
      </c>
      <c r="S99" s="99">
        <v>0</v>
      </c>
      <c r="T99" s="99">
        <v>606</v>
      </c>
      <c r="U99" s="68">
        <v>0</v>
      </c>
      <c r="V99" s="99">
        <v>0</v>
      </c>
      <c r="W99" s="99">
        <v>0</v>
      </c>
      <c r="X99" s="99">
        <v>0</v>
      </c>
      <c r="Y99" s="68">
        <v>0</v>
      </c>
      <c r="Z99" s="68">
        <v>0</v>
      </c>
      <c r="AA99" s="68">
        <v>0</v>
      </c>
      <c r="AB99" s="68">
        <v>0</v>
      </c>
      <c r="AC99" s="68">
        <v>0</v>
      </c>
      <c r="AD99" s="68">
        <v>0</v>
      </c>
      <c r="AE99" s="68">
        <v>0</v>
      </c>
      <c r="AF99" s="68">
        <v>0</v>
      </c>
      <c r="AG99" s="68">
        <v>0</v>
      </c>
      <c r="AH99" s="68">
        <v>0</v>
      </c>
      <c r="AI99" s="68">
        <v>0</v>
      </c>
      <c r="AJ99" s="99">
        <v>0</v>
      </c>
      <c r="AK99" s="68">
        <v>0</v>
      </c>
    </row>
    <row r="100" spans="1:37" ht="14.25" customHeight="1">
      <c r="A100" s="64" t="s">
        <v>99</v>
      </c>
      <c r="B100" s="98">
        <v>0</v>
      </c>
      <c r="C100" s="98">
        <v>0</v>
      </c>
      <c r="D100" s="65">
        <v>0</v>
      </c>
      <c r="E100" s="98">
        <v>0</v>
      </c>
      <c r="F100" s="98">
        <v>0</v>
      </c>
      <c r="G100" s="65">
        <v>0</v>
      </c>
      <c r="H100" s="102"/>
      <c r="I100" s="102"/>
      <c r="J100" s="66"/>
      <c r="K100" s="98">
        <v>0</v>
      </c>
      <c r="L100" s="98">
        <v>0</v>
      </c>
      <c r="M100" s="65">
        <v>0</v>
      </c>
      <c r="N100" s="65">
        <v>0</v>
      </c>
      <c r="O100" s="98">
        <v>0</v>
      </c>
      <c r="P100" s="98">
        <v>597</v>
      </c>
      <c r="Q100" s="65">
        <v>0</v>
      </c>
      <c r="R100" s="98">
        <v>0</v>
      </c>
      <c r="S100" s="98">
        <v>0</v>
      </c>
      <c r="T100" s="98">
        <v>597</v>
      </c>
      <c r="U100" s="65">
        <v>0</v>
      </c>
      <c r="V100" s="98">
        <v>0</v>
      </c>
      <c r="W100" s="98">
        <v>0</v>
      </c>
      <c r="X100" s="98">
        <v>0</v>
      </c>
      <c r="Y100" s="65">
        <v>0</v>
      </c>
      <c r="Z100" s="65">
        <v>0</v>
      </c>
      <c r="AA100" s="65">
        <v>-1.28</v>
      </c>
      <c r="AB100" s="65">
        <v>0</v>
      </c>
      <c r="AC100" s="65">
        <v>0</v>
      </c>
      <c r="AD100" s="65">
        <v>0</v>
      </c>
      <c r="AE100" s="65">
        <v>0</v>
      </c>
      <c r="AF100" s="65">
        <v>0</v>
      </c>
      <c r="AG100" s="65">
        <v>0</v>
      </c>
      <c r="AH100" s="65">
        <v>0</v>
      </c>
      <c r="AI100" s="65">
        <v>0</v>
      </c>
      <c r="AJ100" s="98">
        <v>0</v>
      </c>
      <c r="AK100" s="65">
        <v>-1.28</v>
      </c>
    </row>
    <row r="101" spans="1:37" ht="14.25" customHeight="1">
      <c r="A101" s="67" t="s">
        <v>100</v>
      </c>
      <c r="B101" s="99">
        <v>0</v>
      </c>
      <c r="C101" s="99">
        <v>0</v>
      </c>
      <c r="D101" s="68">
        <v>0</v>
      </c>
      <c r="E101" s="99">
        <v>0</v>
      </c>
      <c r="F101" s="99">
        <v>0</v>
      </c>
      <c r="G101" s="68">
        <v>0</v>
      </c>
      <c r="H101" s="101"/>
      <c r="I101" s="101"/>
      <c r="J101" s="69"/>
      <c r="K101" s="99">
        <v>0</v>
      </c>
      <c r="L101" s="99">
        <v>0</v>
      </c>
      <c r="M101" s="68">
        <v>0</v>
      </c>
      <c r="N101" s="65">
        <v>0</v>
      </c>
      <c r="O101" s="99">
        <v>161.94999999999999</v>
      </c>
      <c r="P101" s="99">
        <v>615.33888958320472</v>
      </c>
      <c r="Q101" s="68">
        <v>99654.133168</v>
      </c>
      <c r="R101" s="99">
        <v>0</v>
      </c>
      <c r="S101" s="99">
        <v>0</v>
      </c>
      <c r="T101" s="99" t="s">
        <v>96</v>
      </c>
      <c r="U101" s="68">
        <v>0</v>
      </c>
      <c r="V101" s="99">
        <v>0</v>
      </c>
      <c r="W101" s="99">
        <v>0</v>
      </c>
      <c r="X101" s="99" t="s">
        <v>96</v>
      </c>
      <c r="Y101" s="68">
        <v>0</v>
      </c>
      <c r="Z101" s="68">
        <v>0</v>
      </c>
      <c r="AA101" s="68">
        <v>-1.28</v>
      </c>
      <c r="AB101" s="68">
        <v>0</v>
      </c>
      <c r="AC101" s="68">
        <v>0</v>
      </c>
      <c r="AD101" s="65">
        <v>0</v>
      </c>
      <c r="AE101" s="65">
        <v>0</v>
      </c>
      <c r="AF101" s="65">
        <v>0</v>
      </c>
      <c r="AG101" s="68">
        <v>0</v>
      </c>
      <c r="AH101" s="68">
        <v>0</v>
      </c>
      <c r="AI101" s="68">
        <v>0</v>
      </c>
      <c r="AJ101" s="98">
        <v>161.94999999999999</v>
      </c>
      <c r="AK101" s="98">
        <v>99652.853168000001</v>
      </c>
    </row>
    <row r="102" spans="1:37" ht="14.25" customHeight="1">
      <c r="A102" s="123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  <c r="AA102" s="117"/>
      <c r="AB102" s="117"/>
      <c r="AC102" s="117"/>
      <c r="AD102" s="117"/>
      <c r="AE102" s="117"/>
      <c r="AF102" s="117"/>
      <c r="AG102" s="117"/>
      <c r="AH102" s="117"/>
      <c r="AI102" s="117"/>
      <c r="AJ102" s="117"/>
      <c r="AK102" s="117"/>
    </row>
    <row r="103" spans="1:37" ht="14.25" customHeight="1">
      <c r="A103" s="123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  <c r="AA103" s="117"/>
      <c r="AB103" s="117"/>
      <c r="AC103" s="117"/>
      <c r="AD103" s="117"/>
      <c r="AE103" s="117"/>
      <c r="AF103" s="117"/>
      <c r="AG103" s="117"/>
      <c r="AH103" s="117"/>
      <c r="AI103" s="117"/>
      <c r="AJ103" s="117"/>
      <c r="AK103" s="117"/>
    </row>
    <row r="104" spans="1:37" ht="14.25" customHeight="1"/>
    <row r="105" spans="1:37" ht="14.25" customHeight="1"/>
    <row r="106" spans="1:37" ht="14.25" customHeight="1"/>
    <row r="107" spans="1:37" ht="14.25" customHeight="1"/>
    <row r="108" spans="1:37" ht="14.25" customHeight="1">
      <c r="AK108" s="91"/>
    </row>
  </sheetData>
  <mergeCells count="15">
    <mergeCell ref="A1:AK1"/>
    <mergeCell ref="O3:Q3"/>
    <mergeCell ref="AB3:AC3"/>
    <mergeCell ref="Z3:AA3"/>
    <mergeCell ref="A2:J2"/>
    <mergeCell ref="A3:A4"/>
    <mergeCell ref="AG3:AI3"/>
    <mergeCell ref="K3:M3"/>
    <mergeCell ref="A103:AK103"/>
    <mergeCell ref="R3:U3"/>
    <mergeCell ref="AE3:AF3"/>
    <mergeCell ref="B3:J3"/>
    <mergeCell ref="A102:AK102"/>
    <mergeCell ref="AJ3:AK3"/>
    <mergeCell ref="V3:Y3"/>
  </mergeCells>
  <phoneticPr fontId="7" type="noConversion"/>
  <printOptions horizontalCentered="1"/>
  <pageMargins left="0.75" right="0.75" top="0.26899999380111689" bottom="0.26899999380111689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defaultColWidth="10" defaultRowHeight="15.6"/>
  <cols>
    <col min="1" max="1" width="30.6640625" style="24" customWidth="1"/>
    <col min="2" max="2" width="16.33203125" style="24" customWidth="1"/>
    <col min="3" max="5" width="21.33203125" style="24" customWidth="1"/>
    <col min="6" max="7" width="10" style="24" customWidth="1"/>
    <col min="8" max="8" width="18.5546875" style="71" customWidth="1"/>
    <col min="9" max="9" width="21.44140625" style="24" customWidth="1"/>
    <col min="10" max="10" width="19.5546875" style="1" customWidth="1"/>
    <col min="11" max="11" width="19.5546875" style="24" customWidth="1"/>
    <col min="12" max="13" width="24.5546875" style="1" customWidth="1"/>
    <col min="14" max="14" width="10" style="24" customWidth="1"/>
    <col min="15" max="16384" width="10" style="24"/>
  </cols>
  <sheetData>
    <row r="1" spans="1:14">
      <c r="A1" s="24" t="s">
        <v>208</v>
      </c>
      <c r="G1" s="24" t="s">
        <v>209</v>
      </c>
      <c r="I1" s="24" t="s">
        <v>210</v>
      </c>
      <c r="J1" s="1" t="s">
        <v>211</v>
      </c>
      <c r="K1" s="24" t="s">
        <v>212</v>
      </c>
      <c r="L1" s="1" t="s">
        <v>213</v>
      </c>
      <c r="M1" s="1" t="s">
        <v>214</v>
      </c>
      <c r="N1" s="24" t="s">
        <v>215</v>
      </c>
    </row>
    <row r="2" spans="1:14">
      <c r="A2" s="24" t="s">
        <v>216</v>
      </c>
      <c r="G2" s="25">
        <v>1</v>
      </c>
      <c r="H2" s="71" t="s">
        <v>217</v>
      </c>
      <c r="I2" s="24" t="str">
        <f t="shared" ref="I2:I33" si="0">RIGHT(H2,4)</f>
        <v>0015</v>
      </c>
      <c r="J2">
        <v>438.88900000000001</v>
      </c>
      <c r="K2">
        <v>438.88900000000001</v>
      </c>
      <c r="L2" s="1">
        <f t="shared" ref="L2:L33" si="1">IF(N2&lt;=0, N2, 0)</f>
        <v>-0.05</v>
      </c>
      <c r="M2" s="1">
        <f t="shared" ref="M2:M33" si="2">IF(N2&gt;=0, N2, 0)</f>
        <v>0</v>
      </c>
      <c r="N2" s="24">
        <v>-0.05</v>
      </c>
    </row>
    <row r="3" spans="1:14">
      <c r="G3" s="25">
        <v>2</v>
      </c>
      <c r="H3" s="71" t="s">
        <v>218</v>
      </c>
      <c r="I3" s="24" t="str">
        <f t="shared" si="0"/>
        <v>0030</v>
      </c>
      <c r="J3">
        <v>437.6</v>
      </c>
      <c r="K3">
        <v>437.6</v>
      </c>
      <c r="L3" s="1">
        <f t="shared" si="1"/>
        <v>0</v>
      </c>
      <c r="M3" s="1">
        <f t="shared" si="2"/>
        <v>0</v>
      </c>
      <c r="N3" s="24">
        <v>0</v>
      </c>
    </row>
    <row r="4" spans="1:14" ht="16.2" customHeight="1" thickBot="1">
      <c r="G4" s="25">
        <v>3</v>
      </c>
      <c r="H4" s="71" t="s">
        <v>219</v>
      </c>
      <c r="I4" s="24" t="str">
        <f t="shared" si="0"/>
        <v>0045</v>
      </c>
      <c r="J4">
        <v>462.4</v>
      </c>
      <c r="K4">
        <v>462.4</v>
      </c>
      <c r="L4" s="1">
        <f t="shared" si="1"/>
        <v>0</v>
      </c>
      <c r="M4" s="1">
        <f t="shared" si="2"/>
        <v>0</v>
      </c>
      <c r="N4" s="24">
        <v>0</v>
      </c>
    </row>
    <row r="5" spans="1:14" ht="16.2" customHeight="1" thickTop="1">
      <c r="A5" s="2" t="s">
        <v>220</v>
      </c>
      <c r="B5" s="3" t="s">
        <v>221</v>
      </c>
      <c r="C5" s="3" t="s">
        <v>222</v>
      </c>
      <c r="D5" s="3" t="s">
        <v>223</v>
      </c>
      <c r="E5" s="26" t="s">
        <v>224</v>
      </c>
      <c r="G5" s="25">
        <v>4</v>
      </c>
      <c r="H5" s="71" t="s">
        <v>225</v>
      </c>
      <c r="I5" s="24" t="str">
        <f t="shared" si="0"/>
        <v>0100</v>
      </c>
      <c r="J5">
        <v>432</v>
      </c>
      <c r="K5">
        <v>432</v>
      </c>
      <c r="L5" s="1">
        <f t="shared" si="1"/>
        <v>0</v>
      </c>
      <c r="M5" s="1">
        <f t="shared" si="2"/>
        <v>0</v>
      </c>
      <c r="N5" s="24">
        <v>0</v>
      </c>
    </row>
    <row r="6" spans="1:14">
      <c r="A6" s="4">
        <v>1</v>
      </c>
      <c r="B6" s="1" t="s">
        <v>226</v>
      </c>
      <c r="C6" s="1">
        <v>-100</v>
      </c>
      <c r="D6" s="1">
        <v>-95</v>
      </c>
      <c r="E6" s="40">
        <v>0</v>
      </c>
      <c r="G6" s="25">
        <v>5</v>
      </c>
      <c r="H6" s="71" t="s">
        <v>227</v>
      </c>
      <c r="I6" s="24" t="str">
        <f t="shared" si="0"/>
        <v>0115</v>
      </c>
      <c r="J6">
        <v>428</v>
      </c>
      <c r="K6">
        <v>428</v>
      </c>
      <c r="L6" s="1">
        <f t="shared" si="1"/>
        <v>0</v>
      </c>
      <c r="M6" s="1">
        <f t="shared" si="2"/>
        <v>0</v>
      </c>
      <c r="N6" s="24">
        <v>0</v>
      </c>
    </row>
    <row r="7" spans="1:14">
      <c r="A7" s="4">
        <v>2</v>
      </c>
      <c r="B7" s="1" t="s">
        <v>226</v>
      </c>
      <c r="C7" s="1">
        <v>-95</v>
      </c>
      <c r="D7" s="1">
        <v>0</v>
      </c>
      <c r="E7" s="27">
        <v>100</v>
      </c>
      <c r="G7" s="25">
        <v>6</v>
      </c>
      <c r="H7" s="71" t="s">
        <v>228</v>
      </c>
      <c r="I7" s="24" t="str">
        <f t="shared" si="0"/>
        <v>0130</v>
      </c>
      <c r="J7">
        <v>409.4</v>
      </c>
      <c r="K7">
        <v>409.4</v>
      </c>
      <c r="L7" s="1">
        <f t="shared" si="1"/>
        <v>0</v>
      </c>
      <c r="M7" s="1">
        <f t="shared" si="2"/>
        <v>0</v>
      </c>
      <c r="N7" s="24">
        <v>0</v>
      </c>
    </row>
    <row r="8" spans="1:14">
      <c r="A8" s="4">
        <v>3</v>
      </c>
      <c r="B8" s="1" t="s">
        <v>226</v>
      </c>
      <c r="C8" s="1"/>
      <c r="D8" s="1"/>
      <c r="E8" s="27"/>
      <c r="G8" s="25">
        <v>7</v>
      </c>
      <c r="H8" s="71" t="s">
        <v>229</v>
      </c>
      <c r="I8" s="24" t="str">
        <f t="shared" si="0"/>
        <v>0145</v>
      </c>
      <c r="J8">
        <v>413.28</v>
      </c>
      <c r="K8">
        <v>413.28</v>
      </c>
      <c r="L8" s="1">
        <f t="shared" si="1"/>
        <v>0</v>
      </c>
      <c r="M8" s="1">
        <f t="shared" si="2"/>
        <v>0</v>
      </c>
      <c r="N8" s="24">
        <v>0</v>
      </c>
    </row>
    <row r="9" spans="1:14">
      <c r="A9" s="4">
        <v>4</v>
      </c>
      <c r="B9" s="1" t="s">
        <v>226</v>
      </c>
      <c r="C9" s="1"/>
      <c r="D9" s="1"/>
      <c r="E9" s="27"/>
      <c r="G9" s="25">
        <v>8</v>
      </c>
      <c r="H9" s="71" t="s">
        <v>230</v>
      </c>
      <c r="I9" s="24" t="str">
        <f t="shared" si="0"/>
        <v>0200</v>
      </c>
      <c r="J9">
        <v>401.4</v>
      </c>
      <c r="K9">
        <v>401.4</v>
      </c>
      <c r="L9" s="1">
        <f t="shared" si="1"/>
        <v>0</v>
      </c>
      <c r="M9" s="1">
        <f t="shared" si="2"/>
        <v>0</v>
      </c>
      <c r="N9" s="24">
        <v>0</v>
      </c>
    </row>
    <row r="10" spans="1:14">
      <c r="A10" s="4">
        <v>5</v>
      </c>
      <c r="B10" s="1" t="s">
        <v>226</v>
      </c>
      <c r="C10" s="1"/>
      <c r="D10" s="1"/>
      <c r="E10" s="27"/>
      <c r="G10" s="25">
        <v>9</v>
      </c>
      <c r="H10" s="71" t="s">
        <v>231</v>
      </c>
      <c r="I10" s="24" t="str">
        <f t="shared" si="0"/>
        <v>0215</v>
      </c>
      <c r="J10">
        <v>402</v>
      </c>
      <c r="K10">
        <v>402</v>
      </c>
      <c r="L10" s="1">
        <f t="shared" si="1"/>
        <v>0</v>
      </c>
      <c r="M10" s="1">
        <f t="shared" si="2"/>
        <v>0</v>
      </c>
      <c r="N10" s="24">
        <v>0</v>
      </c>
    </row>
    <row r="11" spans="1:14">
      <c r="A11" s="4">
        <v>6</v>
      </c>
      <c r="B11" s="1" t="s">
        <v>232</v>
      </c>
      <c r="C11" s="1">
        <v>0</v>
      </c>
      <c r="D11" s="1">
        <v>95</v>
      </c>
      <c r="E11" s="27">
        <v>250</v>
      </c>
      <c r="G11" s="25">
        <v>10</v>
      </c>
      <c r="H11" s="71" t="s">
        <v>233</v>
      </c>
      <c r="I11" s="24" t="str">
        <f t="shared" si="0"/>
        <v>0230</v>
      </c>
      <c r="J11">
        <v>395.08</v>
      </c>
      <c r="K11">
        <v>395.08</v>
      </c>
      <c r="L11" s="1">
        <f t="shared" si="1"/>
        <v>0</v>
      </c>
      <c r="M11" s="1">
        <f t="shared" si="2"/>
        <v>0</v>
      </c>
      <c r="N11" s="24">
        <v>0</v>
      </c>
    </row>
    <row r="12" spans="1:14">
      <c r="A12" s="4">
        <v>7</v>
      </c>
      <c r="B12" s="1" t="s">
        <v>232</v>
      </c>
      <c r="C12" s="1">
        <v>95</v>
      </c>
      <c r="D12" s="1">
        <v>100</v>
      </c>
      <c r="E12" s="40">
        <v>300</v>
      </c>
      <c r="G12" s="25">
        <v>11</v>
      </c>
      <c r="H12" s="71" t="s">
        <v>234</v>
      </c>
      <c r="I12" s="24" t="str">
        <f t="shared" si="0"/>
        <v>0245</v>
      </c>
      <c r="J12">
        <v>392</v>
      </c>
      <c r="K12">
        <v>392</v>
      </c>
      <c r="L12" s="1">
        <f t="shared" si="1"/>
        <v>0</v>
      </c>
      <c r="M12" s="1">
        <f t="shared" si="2"/>
        <v>0</v>
      </c>
      <c r="N12" s="24">
        <v>0</v>
      </c>
    </row>
    <row r="13" spans="1:14">
      <c r="A13" s="4">
        <v>8</v>
      </c>
      <c r="B13" s="1" t="s">
        <v>232</v>
      </c>
      <c r="C13" s="1"/>
      <c r="D13" s="1"/>
      <c r="E13" s="40"/>
      <c r="G13" s="25">
        <v>12</v>
      </c>
      <c r="H13" s="71" t="s">
        <v>235</v>
      </c>
      <c r="I13" s="24" t="str">
        <f t="shared" si="0"/>
        <v>0300</v>
      </c>
      <c r="J13">
        <v>382.4</v>
      </c>
      <c r="K13">
        <v>382.4</v>
      </c>
      <c r="L13" s="1">
        <f t="shared" si="1"/>
        <v>0</v>
      </c>
      <c r="M13" s="1">
        <f t="shared" si="2"/>
        <v>0</v>
      </c>
      <c r="N13" s="24">
        <v>0</v>
      </c>
    </row>
    <row r="14" spans="1:14">
      <c r="A14" s="4">
        <v>9</v>
      </c>
      <c r="B14" s="1" t="s">
        <v>232</v>
      </c>
      <c r="C14" s="1"/>
      <c r="D14" s="1"/>
      <c r="E14" s="27"/>
      <c r="G14" s="25">
        <v>13</v>
      </c>
      <c r="H14" s="71" t="s">
        <v>236</v>
      </c>
      <c r="I14" s="24" t="str">
        <f t="shared" si="0"/>
        <v>0315</v>
      </c>
      <c r="J14">
        <v>373.52</v>
      </c>
      <c r="K14">
        <v>373.52</v>
      </c>
      <c r="L14" s="1">
        <f t="shared" si="1"/>
        <v>0</v>
      </c>
      <c r="M14" s="1">
        <f t="shared" si="2"/>
        <v>0</v>
      </c>
      <c r="N14" s="24">
        <v>0</v>
      </c>
    </row>
    <row r="15" spans="1:14" ht="16.2" customHeight="1" thickBot="1">
      <c r="A15" s="5">
        <v>10</v>
      </c>
      <c r="B15" s="6" t="s">
        <v>232</v>
      </c>
      <c r="C15" s="6"/>
      <c r="D15" s="6"/>
      <c r="E15" s="28"/>
      <c r="G15" s="25">
        <v>14</v>
      </c>
      <c r="H15" s="71" t="s">
        <v>237</v>
      </c>
      <c r="I15" s="24" t="str">
        <f t="shared" si="0"/>
        <v>0330</v>
      </c>
      <c r="J15">
        <v>374</v>
      </c>
      <c r="K15">
        <v>374</v>
      </c>
      <c r="L15" s="1">
        <f t="shared" si="1"/>
        <v>0</v>
      </c>
      <c r="M15" s="1">
        <f t="shared" si="2"/>
        <v>0</v>
      </c>
      <c r="N15" s="24">
        <v>0</v>
      </c>
    </row>
    <row r="16" spans="1:14" ht="16.2" customHeight="1" thickTop="1">
      <c r="G16" s="25">
        <v>15</v>
      </c>
      <c r="H16" s="71" t="s">
        <v>238</v>
      </c>
      <c r="I16" s="24" t="str">
        <f t="shared" si="0"/>
        <v>0345</v>
      </c>
      <c r="J16">
        <v>373.88</v>
      </c>
      <c r="K16">
        <v>373.88</v>
      </c>
      <c r="L16" s="1">
        <f t="shared" si="1"/>
        <v>0</v>
      </c>
      <c r="M16" s="1">
        <f t="shared" si="2"/>
        <v>0</v>
      </c>
      <c r="N16" s="24">
        <v>0</v>
      </c>
    </row>
    <row r="17" spans="1:14" ht="16.2" customHeight="1" thickBot="1">
      <c r="G17" s="25">
        <v>16</v>
      </c>
      <c r="H17" s="71" t="s">
        <v>239</v>
      </c>
      <c r="I17" s="24" t="str">
        <f t="shared" si="0"/>
        <v>0400</v>
      </c>
      <c r="J17">
        <v>376</v>
      </c>
      <c r="K17">
        <v>376</v>
      </c>
      <c r="L17" s="1">
        <f t="shared" si="1"/>
        <v>0</v>
      </c>
      <c r="M17" s="1">
        <f t="shared" si="2"/>
        <v>0</v>
      </c>
      <c r="N17" s="24">
        <v>0</v>
      </c>
    </row>
    <row r="18" spans="1:14" ht="16.2" customHeight="1" thickTop="1">
      <c r="A18" s="7" t="s">
        <v>240</v>
      </c>
      <c r="B18" s="8">
        <v>0</v>
      </c>
      <c r="G18" s="25">
        <v>17</v>
      </c>
      <c r="H18" s="71" t="s">
        <v>241</v>
      </c>
      <c r="I18" s="24" t="str">
        <f t="shared" si="0"/>
        <v>0415</v>
      </c>
      <c r="J18">
        <v>376</v>
      </c>
      <c r="K18">
        <v>376</v>
      </c>
      <c r="L18" s="1">
        <f t="shared" si="1"/>
        <v>0</v>
      </c>
      <c r="M18" s="1">
        <f t="shared" si="2"/>
        <v>0</v>
      </c>
      <c r="N18" s="24">
        <v>0</v>
      </c>
    </row>
    <row r="19" spans="1:14">
      <c r="A19" s="9" t="s">
        <v>242</v>
      </c>
      <c r="B19" s="10">
        <v>100</v>
      </c>
      <c r="G19" s="25">
        <v>18</v>
      </c>
      <c r="H19" s="71" t="s">
        <v>243</v>
      </c>
      <c r="I19" s="24" t="str">
        <f t="shared" si="0"/>
        <v>0430</v>
      </c>
      <c r="J19">
        <v>385.36</v>
      </c>
      <c r="K19">
        <v>385.36</v>
      </c>
      <c r="L19" s="1">
        <f t="shared" si="1"/>
        <v>0</v>
      </c>
      <c r="M19" s="1">
        <f t="shared" si="2"/>
        <v>0</v>
      </c>
      <c r="N19" s="24">
        <v>0</v>
      </c>
    </row>
    <row r="20" spans="1:14">
      <c r="A20" s="9" t="s">
        <v>244</v>
      </c>
      <c r="B20" s="10">
        <v>180</v>
      </c>
      <c r="G20" s="25">
        <v>19</v>
      </c>
      <c r="H20" s="71" t="s">
        <v>245</v>
      </c>
      <c r="I20" s="24" t="str">
        <f t="shared" si="0"/>
        <v>0445</v>
      </c>
      <c r="J20">
        <v>398</v>
      </c>
      <c r="K20">
        <v>398</v>
      </c>
      <c r="L20" s="1">
        <f t="shared" si="1"/>
        <v>0</v>
      </c>
      <c r="M20" s="1">
        <f t="shared" si="2"/>
        <v>0</v>
      </c>
      <c r="N20" s="24">
        <v>0</v>
      </c>
    </row>
    <row r="21" spans="1:14" ht="16.2" customHeight="1" thickBot="1">
      <c r="A21" s="11" t="s">
        <v>246</v>
      </c>
      <c r="B21" s="12">
        <v>0.9</v>
      </c>
      <c r="G21" s="25">
        <v>20</v>
      </c>
      <c r="H21" s="71" t="s">
        <v>247</v>
      </c>
      <c r="I21" s="24" t="str">
        <f t="shared" si="0"/>
        <v>0500</v>
      </c>
      <c r="J21">
        <v>408</v>
      </c>
      <c r="K21">
        <v>408</v>
      </c>
      <c r="L21" s="1">
        <f t="shared" si="1"/>
        <v>0</v>
      </c>
      <c r="M21" s="1">
        <f t="shared" si="2"/>
        <v>0</v>
      </c>
      <c r="N21" s="24">
        <v>0</v>
      </c>
    </row>
    <row r="22" spans="1:14" ht="16.2" customHeight="1" thickTop="1">
      <c r="G22" s="25">
        <v>21</v>
      </c>
      <c r="H22" s="71" t="s">
        <v>248</v>
      </c>
      <c r="I22" s="24" t="str">
        <f t="shared" si="0"/>
        <v>0515</v>
      </c>
      <c r="J22">
        <v>409.12</v>
      </c>
      <c r="K22">
        <v>409.12</v>
      </c>
      <c r="L22" s="1">
        <f t="shared" si="1"/>
        <v>0</v>
      </c>
      <c r="M22" s="1">
        <f t="shared" si="2"/>
        <v>0.02</v>
      </c>
      <c r="N22" s="24">
        <v>0.02</v>
      </c>
    </row>
    <row r="23" spans="1:14">
      <c r="G23" s="25">
        <v>22</v>
      </c>
      <c r="H23" s="71" t="s">
        <v>249</v>
      </c>
      <c r="I23" s="24" t="str">
        <f t="shared" si="0"/>
        <v>0530</v>
      </c>
      <c r="J23">
        <v>404</v>
      </c>
      <c r="K23">
        <v>404</v>
      </c>
      <c r="L23" s="1">
        <f t="shared" si="1"/>
        <v>0</v>
      </c>
      <c r="M23" s="1">
        <f t="shared" si="2"/>
        <v>0</v>
      </c>
      <c r="N23" s="24">
        <v>0</v>
      </c>
    </row>
    <row r="24" spans="1:14" ht="16.2" customHeight="1" thickBot="1">
      <c r="G24" s="25">
        <v>23</v>
      </c>
      <c r="H24" s="71" t="s">
        <v>250</v>
      </c>
      <c r="I24" s="24" t="str">
        <f t="shared" si="0"/>
        <v>0545</v>
      </c>
      <c r="J24">
        <v>381.48</v>
      </c>
      <c r="K24">
        <v>381.48</v>
      </c>
      <c r="L24" s="1">
        <f t="shared" si="1"/>
        <v>0</v>
      </c>
      <c r="M24" s="1">
        <f t="shared" si="2"/>
        <v>0</v>
      </c>
      <c r="N24" s="24">
        <v>0</v>
      </c>
    </row>
    <row r="25" spans="1:14" ht="16.2" customHeight="1" thickTop="1">
      <c r="A25" s="13" t="s">
        <v>251</v>
      </c>
      <c r="B25" s="14">
        <f>SUM(L:L)/4</f>
        <v>-181.26999999999998</v>
      </c>
      <c r="C25" s="14" t="s">
        <v>252</v>
      </c>
      <c r="D25" s="15">
        <f>SUM(M:M)/4</f>
        <v>170.88500000000008</v>
      </c>
      <c r="G25" s="25">
        <v>24</v>
      </c>
      <c r="H25" s="71" t="s">
        <v>253</v>
      </c>
      <c r="I25" s="24" t="str">
        <f t="shared" si="0"/>
        <v>0600</v>
      </c>
      <c r="J25">
        <v>374</v>
      </c>
      <c r="K25">
        <v>374</v>
      </c>
      <c r="L25" s="1">
        <f t="shared" si="1"/>
        <v>0</v>
      </c>
      <c r="M25" s="1">
        <f t="shared" si="2"/>
        <v>0</v>
      </c>
      <c r="N25" s="24">
        <v>0</v>
      </c>
    </row>
    <row r="26" spans="1:14">
      <c r="A26" s="16" t="s">
        <v>254</v>
      </c>
      <c r="B26" s="17">
        <f>B27/B25</f>
        <v>-79.964218500027584</v>
      </c>
      <c r="C26" s="24" t="s">
        <v>255</v>
      </c>
      <c r="D26" s="18">
        <f>D27/D25</f>
        <v>614.65436100301349</v>
      </c>
      <c r="G26" s="25">
        <v>25</v>
      </c>
      <c r="H26" s="71" t="s">
        <v>256</v>
      </c>
      <c r="I26" s="24" t="str">
        <f t="shared" si="0"/>
        <v>0615</v>
      </c>
      <c r="J26">
        <v>359</v>
      </c>
      <c r="K26">
        <v>359</v>
      </c>
      <c r="L26" s="1">
        <f t="shared" si="1"/>
        <v>0</v>
      </c>
      <c r="M26" s="1">
        <f t="shared" si="2"/>
        <v>0</v>
      </c>
      <c r="N26" s="24">
        <v>0</v>
      </c>
    </row>
    <row r="27" spans="1:14">
      <c r="A27" s="16" t="s">
        <v>257</v>
      </c>
      <c r="B27" s="19">
        <f>SUMPRODUCT(J:J,L:L)/4</f>
        <v>14495.1138875</v>
      </c>
      <c r="C27" s="24" t="s">
        <v>258</v>
      </c>
      <c r="D27" s="20">
        <f t="array" ref="D27">SUMPRODUCT(K:K,M:M)/4</f>
        <v>105035.21048000001</v>
      </c>
      <c r="G27" s="25">
        <v>26</v>
      </c>
      <c r="H27" s="71" t="s">
        <v>259</v>
      </c>
      <c r="I27" s="24" t="str">
        <f t="shared" si="0"/>
        <v>0630</v>
      </c>
      <c r="J27">
        <v>361</v>
      </c>
      <c r="K27">
        <v>361</v>
      </c>
      <c r="L27" s="1">
        <f t="shared" si="1"/>
        <v>0</v>
      </c>
      <c r="M27" s="1">
        <f t="shared" si="2"/>
        <v>0</v>
      </c>
      <c r="N27" s="24">
        <v>0</v>
      </c>
    </row>
    <row r="28" spans="1:14" ht="16.2" customHeight="1" thickBot="1">
      <c r="A28" s="21" t="s">
        <v>260</v>
      </c>
      <c r="B28" s="103">
        <f>D26-B26</f>
        <v>694.61857950304102</v>
      </c>
      <c r="C28" s="22" t="s">
        <v>261</v>
      </c>
      <c r="D28" s="23">
        <f>D27+B27</f>
        <v>119530.32436750001</v>
      </c>
      <c r="G28" s="25">
        <v>27</v>
      </c>
      <c r="H28" s="71" t="s">
        <v>262</v>
      </c>
      <c r="I28" s="24" t="str">
        <f t="shared" si="0"/>
        <v>0645</v>
      </c>
      <c r="J28">
        <v>364</v>
      </c>
      <c r="K28">
        <v>364</v>
      </c>
      <c r="L28" s="1">
        <f t="shared" si="1"/>
        <v>0</v>
      </c>
      <c r="M28" s="1">
        <f t="shared" si="2"/>
        <v>0</v>
      </c>
      <c r="N28" s="24">
        <v>0</v>
      </c>
    </row>
    <row r="29" spans="1:14" ht="16.2" customHeight="1" thickTop="1">
      <c r="G29" s="25">
        <v>28</v>
      </c>
      <c r="H29" s="71" t="s">
        <v>263</v>
      </c>
      <c r="I29" s="24" t="str">
        <f t="shared" si="0"/>
        <v>0700</v>
      </c>
      <c r="J29">
        <v>316</v>
      </c>
      <c r="K29">
        <v>316</v>
      </c>
      <c r="L29" s="1">
        <f t="shared" si="1"/>
        <v>0</v>
      </c>
      <c r="M29" s="1">
        <f t="shared" si="2"/>
        <v>0</v>
      </c>
      <c r="N29" s="24">
        <v>0</v>
      </c>
    </row>
    <row r="30" spans="1:14">
      <c r="D30" s="41">
        <f>[1]充放测算!O4</f>
        <v>81275.269920000021</v>
      </c>
      <c r="G30" s="25">
        <v>29</v>
      </c>
      <c r="H30" s="71" t="s">
        <v>264</v>
      </c>
      <c r="I30" s="24" t="str">
        <f t="shared" si="0"/>
        <v>0715</v>
      </c>
      <c r="J30">
        <v>-80</v>
      </c>
      <c r="K30">
        <v>-80</v>
      </c>
      <c r="L30" s="1">
        <f t="shared" si="1"/>
        <v>0</v>
      </c>
      <c r="M30" s="1">
        <f t="shared" si="2"/>
        <v>0</v>
      </c>
      <c r="N30" s="24">
        <v>0</v>
      </c>
    </row>
    <row r="31" spans="1:14">
      <c r="G31" s="25">
        <v>30</v>
      </c>
      <c r="H31" s="71" t="s">
        <v>265</v>
      </c>
      <c r="I31" s="24" t="str">
        <f t="shared" si="0"/>
        <v>0730</v>
      </c>
      <c r="J31">
        <v>-80</v>
      </c>
      <c r="K31">
        <v>-80</v>
      </c>
      <c r="L31" s="1">
        <f t="shared" si="1"/>
        <v>0</v>
      </c>
      <c r="M31" s="1">
        <f t="shared" si="2"/>
        <v>0</v>
      </c>
      <c r="N31" s="24">
        <v>0</v>
      </c>
    </row>
    <row r="32" spans="1:14">
      <c r="G32" s="25">
        <v>31</v>
      </c>
      <c r="H32" s="71" t="s">
        <v>266</v>
      </c>
      <c r="I32" s="24" t="str">
        <f t="shared" si="0"/>
        <v>0745</v>
      </c>
      <c r="J32">
        <v>-80</v>
      </c>
      <c r="K32">
        <v>-80</v>
      </c>
      <c r="L32" s="1">
        <f t="shared" si="1"/>
        <v>0</v>
      </c>
      <c r="M32" s="1">
        <f t="shared" si="2"/>
        <v>0</v>
      </c>
      <c r="N32" s="24">
        <v>0</v>
      </c>
    </row>
    <row r="33" spans="1:14" ht="16.2" customHeight="1" thickBot="1">
      <c r="G33" s="25">
        <v>32</v>
      </c>
      <c r="H33" s="71" t="s">
        <v>267</v>
      </c>
      <c r="I33" s="24" t="str">
        <f t="shared" si="0"/>
        <v>0800</v>
      </c>
      <c r="J33">
        <v>-80</v>
      </c>
      <c r="K33">
        <v>-80</v>
      </c>
      <c r="L33" s="1">
        <f t="shared" si="1"/>
        <v>0</v>
      </c>
      <c r="M33" s="1">
        <f t="shared" si="2"/>
        <v>0</v>
      </c>
      <c r="N33" s="24">
        <v>0</v>
      </c>
    </row>
    <row r="34" spans="1:14">
      <c r="A34" s="73" t="s">
        <v>220</v>
      </c>
      <c r="B34" s="74" t="s">
        <v>221</v>
      </c>
      <c r="C34" s="74" t="s">
        <v>222</v>
      </c>
      <c r="D34" s="74" t="s">
        <v>223</v>
      </c>
      <c r="E34" s="75" t="s">
        <v>268</v>
      </c>
      <c r="G34" s="25">
        <v>33</v>
      </c>
      <c r="H34" s="71" t="s">
        <v>269</v>
      </c>
      <c r="I34" s="24" t="str">
        <f t="shared" ref="I34:I65" si="3">RIGHT(H34,4)</f>
        <v>0815</v>
      </c>
      <c r="J34">
        <v>-80</v>
      </c>
      <c r="K34">
        <v>-80</v>
      </c>
      <c r="L34" s="1">
        <f t="shared" ref="L34:L65" si="4">IF(N34&lt;=0, N34, 0)</f>
        <v>0</v>
      </c>
      <c r="M34" s="1">
        <f t="shared" ref="M34:M65" si="5">IF(N34&gt;=0, N34, 0)</f>
        <v>0</v>
      </c>
      <c r="N34" s="24">
        <v>0</v>
      </c>
    </row>
    <row r="35" spans="1:14">
      <c r="A35" s="76"/>
      <c r="B35" s="77"/>
      <c r="C35" s="77"/>
      <c r="D35" s="77"/>
      <c r="E35" s="78"/>
      <c r="G35" s="25">
        <v>34</v>
      </c>
      <c r="H35" s="71" t="s">
        <v>270</v>
      </c>
      <c r="I35" s="24" t="str">
        <f t="shared" si="3"/>
        <v>0830</v>
      </c>
      <c r="J35">
        <v>-80</v>
      </c>
      <c r="K35">
        <v>-80</v>
      </c>
      <c r="L35" s="1">
        <f t="shared" si="4"/>
        <v>0</v>
      </c>
      <c r="M35" s="1">
        <f t="shared" si="5"/>
        <v>0</v>
      </c>
      <c r="N35" s="24">
        <v>0</v>
      </c>
    </row>
    <row r="36" spans="1:14" ht="16.2" customHeight="1" thickBot="1">
      <c r="A36" s="79">
        <v>1</v>
      </c>
      <c r="B36" s="80" t="s">
        <v>226</v>
      </c>
      <c r="C36" s="80">
        <v>-100</v>
      </c>
      <c r="D36" s="80">
        <v>-95</v>
      </c>
      <c r="E36" s="80">
        <v>0</v>
      </c>
      <c r="G36" s="25">
        <v>35</v>
      </c>
      <c r="H36" s="71" t="s">
        <v>271</v>
      </c>
      <c r="I36" s="24" t="str">
        <f t="shared" si="3"/>
        <v>0845</v>
      </c>
      <c r="J36">
        <v>-80</v>
      </c>
      <c r="K36">
        <v>-80</v>
      </c>
      <c r="L36" s="1">
        <f t="shared" si="4"/>
        <v>0</v>
      </c>
      <c r="M36" s="1">
        <f t="shared" si="5"/>
        <v>0</v>
      </c>
      <c r="N36" s="24">
        <v>0</v>
      </c>
    </row>
    <row r="37" spans="1:14" ht="16.2" customHeight="1" thickBot="1">
      <c r="A37" s="81">
        <v>2</v>
      </c>
      <c r="B37" s="82" t="s">
        <v>226</v>
      </c>
      <c r="C37" s="82">
        <v>-95</v>
      </c>
      <c r="D37" s="82">
        <v>0</v>
      </c>
      <c r="E37" s="82">
        <v>150</v>
      </c>
      <c r="G37" s="25">
        <v>36</v>
      </c>
      <c r="H37" s="71" t="s">
        <v>272</v>
      </c>
      <c r="I37" s="24" t="str">
        <f t="shared" si="3"/>
        <v>0900</v>
      </c>
      <c r="J37">
        <v>-80</v>
      </c>
      <c r="K37">
        <v>-80</v>
      </c>
      <c r="L37" s="1">
        <f t="shared" si="4"/>
        <v>0</v>
      </c>
      <c r="M37" s="1">
        <f t="shared" si="5"/>
        <v>0</v>
      </c>
      <c r="N37" s="24">
        <v>0</v>
      </c>
    </row>
    <row r="38" spans="1:14" ht="16.2" customHeight="1" thickBot="1">
      <c r="A38" s="83">
        <v>3</v>
      </c>
      <c r="B38" s="84" t="s">
        <v>232</v>
      </c>
      <c r="C38" s="84">
        <v>0</v>
      </c>
      <c r="D38" s="84">
        <v>95</v>
      </c>
      <c r="E38" s="84">
        <v>280</v>
      </c>
      <c r="G38" s="25">
        <v>37</v>
      </c>
      <c r="H38" s="71" t="s">
        <v>273</v>
      </c>
      <c r="I38" s="24" t="str">
        <f t="shared" si="3"/>
        <v>0915</v>
      </c>
      <c r="J38">
        <v>-80</v>
      </c>
      <c r="K38">
        <v>-80</v>
      </c>
      <c r="L38" s="1">
        <f t="shared" si="4"/>
        <v>0</v>
      </c>
      <c r="M38" s="1">
        <f t="shared" si="5"/>
        <v>0</v>
      </c>
      <c r="N38" s="24">
        <v>0</v>
      </c>
    </row>
    <row r="39" spans="1:14" ht="16.2" customHeight="1" thickBot="1">
      <c r="A39" s="85">
        <v>4</v>
      </c>
      <c r="B39" s="86" t="s">
        <v>232</v>
      </c>
      <c r="C39" s="86">
        <v>95</v>
      </c>
      <c r="D39" s="86">
        <v>100</v>
      </c>
      <c r="E39" s="86">
        <v>350</v>
      </c>
      <c r="G39" s="25">
        <v>38</v>
      </c>
      <c r="H39" s="71" t="s">
        <v>274</v>
      </c>
      <c r="I39" s="24" t="str">
        <f t="shared" si="3"/>
        <v>0930</v>
      </c>
      <c r="J39">
        <v>-80</v>
      </c>
      <c r="K39">
        <v>-80</v>
      </c>
      <c r="L39" s="1">
        <f t="shared" si="4"/>
        <v>0</v>
      </c>
      <c r="M39" s="1">
        <f t="shared" si="5"/>
        <v>0</v>
      </c>
      <c r="N39" s="24">
        <v>0</v>
      </c>
    </row>
    <row r="40" spans="1:14">
      <c r="G40" s="25">
        <v>39</v>
      </c>
      <c r="H40" s="71" t="s">
        <v>275</v>
      </c>
      <c r="I40" s="24" t="str">
        <f t="shared" si="3"/>
        <v>0945</v>
      </c>
      <c r="J40">
        <v>-80</v>
      </c>
      <c r="K40">
        <v>-80</v>
      </c>
      <c r="L40" s="1">
        <f t="shared" si="4"/>
        <v>0</v>
      </c>
      <c r="M40" s="1">
        <f t="shared" si="5"/>
        <v>0</v>
      </c>
      <c r="N40" s="24">
        <v>0</v>
      </c>
    </row>
    <row r="41" spans="1:14">
      <c r="G41" s="25">
        <v>40</v>
      </c>
      <c r="H41" s="71" t="s">
        <v>276</v>
      </c>
      <c r="I41" s="24" t="str">
        <f t="shared" si="3"/>
        <v>1000</v>
      </c>
      <c r="J41">
        <v>-80</v>
      </c>
      <c r="K41">
        <v>-80</v>
      </c>
      <c r="L41" s="1">
        <f t="shared" si="4"/>
        <v>0</v>
      </c>
      <c r="M41" s="1">
        <f t="shared" si="5"/>
        <v>0</v>
      </c>
      <c r="N41" s="24">
        <v>0</v>
      </c>
    </row>
    <row r="42" spans="1:14">
      <c r="G42" s="25">
        <v>41</v>
      </c>
      <c r="H42" s="71" t="s">
        <v>277</v>
      </c>
      <c r="I42" s="24" t="str">
        <f t="shared" si="3"/>
        <v>1015</v>
      </c>
      <c r="J42">
        <v>-80</v>
      </c>
      <c r="K42">
        <v>-80</v>
      </c>
      <c r="L42" s="1">
        <f t="shared" si="4"/>
        <v>0</v>
      </c>
      <c r="M42" s="1">
        <f t="shared" si="5"/>
        <v>0</v>
      </c>
      <c r="N42" s="24">
        <v>0</v>
      </c>
    </row>
    <row r="43" spans="1:14">
      <c r="G43" s="25">
        <v>42</v>
      </c>
      <c r="H43" s="71" t="s">
        <v>278</v>
      </c>
      <c r="I43" s="24" t="str">
        <f t="shared" si="3"/>
        <v>1030</v>
      </c>
      <c r="J43">
        <v>-80</v>
      </c>
      <c r="K43">
        <v>-80</v>
      </c>
      <c r="L43" s="1">
        <f t="shared" si="4"/>
        <v>0</v>
      </c>
      <c r="M43" s="1">
        <f t="shared" si="5"/>
        <v>0</v>
      </c>
      <c r="N43" s="24">
        <v>0</v>
      </c>
    </row>
    <row r="44" spans="1:14">
      <c r="G44" s="25">
        <v>43</v>
      </c>
      <c r="H44" s="71" t="s">
        <v>279</v>
      </c>
      <c r="I44" s="24" t="str">
        <f t="shared" si="3"/>
        <v>1045</v>
      </c>
      <c r="J44">
        <v>-80</v>
      </c>
      <c r="K44">
        <v>-80</v>
      </c>
      <c r="L44" s="1">
        <f t="shared" si="4"/>
        <v>0</v>
      </c>
      <c r="M44" s="1">
        <f t="shared" si="5"/>
        <v>0</v>
      </c>
      <c r="N44" s="24">
        <v>0</v>
      </c>
    </row>
    <row r="45" spans="1:14">
      <c r="G45" s="25">
        <v>44</v>
      </c>
      <c r="H45" s="71" t="s">
        <v>280</v>
      </c>
      <c r="I45" s="24" t="str">
        <f t="shared" si="3"/>
        <v>1100</v>
      </c>
      <c r="J45">
        <v>-80</v>
      </c>
      <c r="K45">
        <v>-80</v>
      </c>
      <c r="L45" s="1">
        <f t="shared" si="4"/>
        <v>-70.56</v>
      </c>
      <c r="M45" s="1">
        <f t="shared" si="5"/>
        <v>0</v>
      </c>
      <c r="N45" s="24">
        <v>-70.56</v>
      </c>
    </row>
    <row r="46" spans="1:14">
      <c r="G46" s="25">
        <v>45</v>
      </c>
      <c r="H46" s="71" t="s">
        <v>281</v>
      </c>
      <c r="I46" s="24" t="str">
        <f t="shared" si="3"/>
        <v>1115</v>
      </c>
      <c r="J46">
        <v>-80</v>
      </c>
      <c r="K46">
        <v>-80</v>
      </c>
      <c r="L46" s="1">
        <f t="shared" si="4"/>
        <v>-70.56</v>
      </c>
      <c r="M46" s="1">
        <f t="shared" si="5"/>
        <v>0</v>
      </c>
      <c r="N46" s="24">
        <v>-70.56</v>
      </c>
    </row>
    <row r="47" spans="1:14">
      <c r="G47" s="25">
        <v>46</v>
      </c>
      <c r="H47" s="71" t="s">
        <v>282</v>
      </c>
      <c r="I47" s="24" t="str">
        <f t="shared" si="3"/>
        <v>1130</v>
      </c>
      <c r="J47">
        <v>-80</v>
      </c>
      <c r="K47">
        <v>-80</v>
      </c>
      <c r="L47" s="1">
        <f t="shared" si="4"/>
        <v>-70.56</v>
      </c>
      <c r="M47" s="1">
        <f t="shared" si="5"/>
        <v>0</v>
      </c>
      <c r="N47" s="24">
        <v>-70.56</v>
      </c>
    </row>
    <row r="48" spans="1:14">
      <c r="G48" s="25">
        <v>47</v>
      </c>
      <c r="H48" s="71" t="s">
        <v>283</v>
      </c>
      <c r="I48" s="24" t="str">
        <f t="shared" si="3"/>
        <v>1145</v>
      </c>
      <c r="J48">
        <v>-80</v>
      </c>
      <c r="K48">
        <v>-80</v>
      </c>
      <c r="L48" s="1">
        <f t="shared" si="4"/>
        <v>-95</v>
      </c>
      <c r="M48" s="1">
        <f t="shared" si="5"/>
        <v>0</v>
      </c>
      <c r="N48" s="24">
        <v>-95</v>
      </c>
    </row>
    <row r="49" spans="7:14">
      <c r="G49" s="25">
        <v>48</v>
      </c>
      <c r="H49" s="71" t="s">
        <v>284</v>
      </c>
      <c r="I49" s="24" t="str">
        <f t="shared" si="3"/>
        <v>1200</v>
      </c>
      <c r="J49">
        <v>-80</v>
      </c>
      <c r="K49">
        <v>-80</v>
      </c>
      <c r="L49" s="1">
        <f t="shared" si="4"/>
        <v>-95</v>
      </c>
      <c r="M49" s="1">
        <f t="shared" si="5"/>
        <v>0</v>
      </c>
      <c r="N49" s="24">
        <v>-95</v>
      </c>
    </row>
    <row r="50" spans="7:14">
      <c r="G50" s="25">
        <v>49</v>
      </c>
      <c r="H50" s="71" t="s">
        <v>285</v>
      </c>
      <c r="I50" s="24" t="str">
        <f t="shared" si="3"/>
        <v>1215</v>
      </c>
      <c r="J50">
        <v>-80</v>
      </c>
      <c r="K50">
        <v>-80</v>
      </c>
      <c r="L50" s="1">
        <f t="shared" si="4"/>
        <v>-95</v>
      </c>
      <c r="M50" s="1">
        <f t="shared" si="5"/>
        <v>0</v>
      </c>
      <c r="N50" s="24">
        <v>-95</v>
      </c>
    </row>
    <row r="51" spans="7:14">
      <c r="G51" s="25">
        <v>50</v>
      </c>
      <c r="H51" s="71" t="s">
        <v>286</v>
      </c>
      <c r="I51" s="24" t="str">
        <f t="shared" si="3"/>
        <v>1230</v>
      </c>
      <c r="J51">
        <v>-80</v>
      </c>
      <c r="K51">
        <v>-80</v>
      </c>
      <c r="L51" s="1">
        <f t="shared" si="4"/>
        <v>-95</v>
      </c>
      <c r="M51" s="1">
        <f t="shared" si="5"/>
        <v>0</v>
      </c>
      <c r="N51" s="24">
        <v>-95</v>
      </c>
    </row>
    <row r="52" spans="7:14">
      <c r="G52" s="25">
        <v>51</v>
      </c>
      <c r="H52" s="71" t="s">
        <v>287</v>
      </c>
      <c r="I52" s="24" t="str">
        <f t="shared" si="3"/>
        <v>1245</v>
      </c>
      <c r="J52">
        <v>-80</v>
      </c>
      <c r="K52">
        <v>-80</v>
      </c>
      <c r="L52" s="1">
        <f t="shared" si="4"/>
        <v>-95</v>
      </c>
      <c r="M52" s="1">
        <f t="shared" si="5"/>
        <v>0</v>
      </c>
      <c r="N52" s="24">
        <v>-95</v>
      </c>
    </row>
    <row r="53" spans="7:14">
      <c r="G53" s="25">
        <v>52</v>
      </c>
      <c r="H53" s="71" t="s">
        <v>288</v>
      </c>
      <c r="I53" s="24" t="str">
        <f t="shared" si="3"/>
        <v>1300</v>
      </c>
      <c r="J53">
        <v>-80</v>
      </c>
      <c r="K53">
        <v>-80</v>
      </c>
      <c r="L53" s="1">
        <f t="shared" si="4"/>
        <v>-25.31</v>
      </c>
      <c r="M53" s="1">
        <f t="shared" si="5"/>
        <v>0</v>
      </c>
      <c r="N53" s="24">
        <v>-25.31</v>
      </c>
    </row>
    <row r="54" spans="7:14">
      <c r="G54" s="25">
        <v>53</v>
      </c>
      <c r="H54" s="71" t="s">
        <v>289</v>
      </c>
      <c r="I54" s="24" t="str">
        <f t="shared" si="3"/>
        <v>1315</v>
      </c>
      <c r="J54">
        <v>-80</v>
      </c>
      <c r="K54">
        <v>-80</v>
      </c>
      <c r="L54" s="1">
        <f t="shared" si="4"/>
        <v>0</v>
      </c>
      <c r="M54" s="1">
        <f t="shared" si="5"/>
        <v>0</v>
      </c>
      <c r="N54" s="24">
        <v>0</v>
      </c>
    </row>
    <row r="55" spans="7:14">
      <c r="G55" s="25">
        <v>54</v>
      </c>
      <c r="H55" s="71" t="s">
        <v>290</v>
      </c>
      <c r="I55" s="24" t="str">
        <f t="shared" si="3"/>
        <v>1330</v>
      </c>
      <c r="J55">
        <v>-80</v>
      </c>
      <c r="K55">
        <v>-80</v>
      </c>
      <c r="L55" s="1">
        <f t="shared" si="4"/>
        <v>0</v>
      </c>
      <c r="M55" s="1">
        <f t="shared" si="5"/>
        <v>0</v>
      </c>
      <c r="N55" s="24">
        <v>0</v>
      </c>
    </row>
    <row r="56" spans="7:14">
      <c r="G56" s="25">
        <v>55</v>
      </c>
      <c r="H56" s="71" t="s">
        <v>291</v>
      </c>
      <c r="I56" s="24" t="str">
        <f t="shared" si="3"/>
        <v>1345</v>
      </c>
      <c r="J56">
        <v>-80</v>
      </c>
      <c r="K56">
        <v>-80</v>
      </c>
      <c r="L56" s="1">
        <f t="shared" si="4"/>
        <v>0</v>
      </c>
      <c r="M56" s="1">
        <f t="shared" si="5"/>
        <v>0</v>
      </c>
      <c r="N56" s="24">
        <v>0</v>
      </c>
    </row>
    <row r="57" spans="7:14">
      <c r="G57" s="25">
        <v>56</v>
      </c>
      <c r="H57" s="71" t="s">
        <v>292</v>
      </c>
      <c r="I57" s="24" t="str">
        <f t="shared" si="3"/>
        <v>1400</v>
      </c>
      <c r="J57">
        <v>-80</v>
      </c>
      <c r="K57">
        <v>-80</v>
      </c>
      <c r="L57" s="1">
        <f t="shared" si="4"/>
        <v>0</v>
      </c>
      <c r="M57" s="1">
        <f t="shared" si="5"/>
        <v>0</v>
      </c>
      <c r="N57" s="24">
        <v>0</v>
      </c>
    </row>
    <row r="58" spans="7:14">
      <c r="G58" s="25">
        <v>57</v>
      </c>
      <c r="H58" s="71" t="s">
        <v>293</v>
      </c>
      <c r="I58" s="24" t="str">
        <f t="shared" si="3"/>
        <v>1415</v>
      </c>
      <c r="J58">
        <v>-80</v>
      </c>
      <c r="K58">
        <v>-80</v>
      </c>
      <c r="L58" s="1">
        <f t="shared" si="4"/>
        <v>0</v>
      </c>
      <c r="M58" s="1">
        <f t="shared" si="5"/>
        <v>0</v>
      </c>
      <c r="N58" s="24">
        <v>0</v>
      </c>
    </row>
    <row r="59" spans="7:14">
      <c r="G59" s="25">
        <v>58</v>
      </c>
      <c r="H59" s="71" t="s">
        <v>294</v>
      </c>
      <c r="I59" s="24" t="str">
        <f t="shared" si="3"/>
        <v>1430</v>
      </c>
      <c r="J59">
        <v>-80</v>
      </c>
      <c r="K59">
        <v>-80</v>
      </c>
      <c r="L59" s="1">
        <f t="shared" si="4"/>
        <v>0</v>
      </c>
      <c r="M59" s="1">
        <f t="shared" si="5"/>
        <v>0</v>
      </c>
      <c r="N59" s="24">
        <v>0</v>
      </c>
    </row>
    <row r="60" spans="7:14">
      <c r="G60" s="25">
        <v>59</v>
      </c>
      <c r="H60" s="71" t="s">
        <v>295</v>
      </c>
      <c r="I60" s="24" t="str">
        <f t="shared" si="3"/>
        <v>1445</v>
      </c>
      <c r="J60">
        <v>-80</v>
      </c>
      <c r="K60">
        <v>-80</v>
      </c>
      <c r="L60" s="1">
        <f t="shared" si="4"/>
        <v>0</v>
      </c>
      <c r="M60" s="1">
        <f t="shared" si="5"/>
        <v>0</v>
      </c>
      <c r="N60" s="24">
        <v>0</v>
      </c>
    </row>
    <row r="61" spans="7:14">
      <c r="G61" s="25">
        <v>60</v>
      </c>
      <c r="H61" s="71" t="s">
        <v>296</v>
      </c>
      <c r="I61" s="24" t="str">
        <f t="shared" si="3"/>
        <v>1500</v>
      </c>
      <c r="J61">
        <v>-80</v>
      </c>
      <c r="K61">
        <v>-80</v>
      </c>
      <c r="L61" s="1">
        <f t="shared" si="4"/>
        <v>0</v>
      </c>
      <c r="M61" s="1">
        <f t="shared" si="5"/>
        <v>0</v>
      </c>
      <c r="N61" s="24">
        <v>0</v>
      </c>
    </row>
    <row r="62" spans="7:14">
      <c r="G62" s="25">
        <v>61</v>
      </c>
      <c r="H62" s="71" t="s">
        <v>297</v>
      </c>
      <c r="I62" s="24" t="str">
        <f t="shared" si="3"/>
        <v>1515</v>
      </c>
      <c r="J62">
        <v>-80</v>
      </c>
      <c r="K62">
        <v>-80</v>
      </c>
      <c r="L62" s="1">
        <f t="shared" si="4"/>
        <v>-6.52</v>
      </c>
      <c r="M62" s="1">
        <f t="shared" si="5"/>
        <v>0</v>
      </c>
      <c r="N62" s="24">
        <v>-6.52</v>
      </c>
    </row>
    <row r="63" spans="7:14">
      <c r="G63" s="25">
        <v>62</v>
      </c>
      <c r="H63" s="71" t="s">
        <v>298</v>
      </c>
      <c r="I63" s="24" t="str">
        <f t="shared" si="3"/>
        <v>1530</v>
      </c>
      <c r="J63">
        <v>-80</v>
      </c>
      <c r="K63">
        <v>-80</v>
      </c>
      <c r="L63" s="1">
        <f t="shared" si="4"/>
        <v>-6.52</v>
      </c>
      <c r="M63" s="1">
        <f t="shared" si="5"/>
        <v>0</v>
      </c>
      <c r="N63" s="24">
        <v>-6.52</v>
      </c>
    </row>
    <row r="64" spans="7:14">
      <c r="G64" s="25">
        <v>63</v>
      </c>
      <c r="H64" s="71" t="s">
        <v>299</v>
      </c>
      <c r="I64" s="24" t="str">
        <f t="shared" si="3"/>
        <v>1545</v>
      </c>
      <c r="J64">
        <v>-80</v>
      </c>
      <c r="K64">
        <v>-80</v>
      </c>
      <c r="L64" s="1">
        <f t="shared" si="4"/>
        <v>0</v>
      </c>
      <c r="M64" s="1">
        <f t="shared" si="5"/>
        <v>0</v>
      </c>
      <c r="N64" s="24">
        <v>0</v>
      </c>
    </row>
    <row r="65" spans="7:14">
      <c r="G65" s="25">
        <v>64</v>
      </c>
      <c r="H65" s="71" t="s">
        <v>300</v>
      </c>
      <c r="I65" s="24" t="str">
        <f t="shared" si="3"/>
        <v>1600</v>
      </c>
      <c r="J65">
        <v>-80</v>
      </c>
      <c r="K65">
        <v>-80</v>
      </c>
      <c r="L65" s="1">
        <f t="shared" si="4"/>
        <v>0</v>
      </c>
      <c r="M65" s="1">
        <f t="shared" si="5"/>
        <v>0</v>
      </c>
      <c r="N65" s="24">
        <v>0</v>
      </c>
    </row>
    <row r="66" spans="7:14">
      <c r="G66" s="25">
        <v>65</v>
      </c>
      <c r="H66" s="71" t="s">
        <v>301</v>
      </c>
      <c r="I66" s="24" t="str">
        <f t="shared" ref="I66:I97" si="6">RIGHT(H66,4)</f>
        <v>1615</v>
      </c>
      <c r="J66">
        <v>-80</v>
      </c>
      <c r="K66">
        <v>-80</v>
      </c>
      <c r="L66" s="1">
        <f t="shared" ref="L66:L97" si="7">IF(N66&lt;=0, N66, 0)</f>
        <v>0</v>
      </c>
      <c r="M66" s="1">
        <f t="shared" ref="M66:M97" si="8">IF(N66&gt;=0, N66, 0)</f>
        <v>0</v>
      </c>
      <c r="N66" s="24">
        <v>0</v>
      </c>
    </row>
    <row r="67" spans="7:14">
      <c r="G67" s="25">
        <v>66</v>
      </c>
      <c r="H67" s="71" t="s">
        <v>302</v>
      </c>
      <c r="I67" s="24" t="str">
        <f t="shared" si="6"/>
        <v>1630</v>
      </c>
      <c r="J67">
        <v>403</v>
      </c>
      <c r="K67">
        <v>403</v>
      </c>
      <c r="L67" s="1">
        <f t="shared" si="7"/>
        <v>0</v>
      </c>
      <c r="M67" s="1">
        <f t="shared" si="8"/>
        <v>0</v>
      </c>
      <c r="N67" s="24">
        <v>0</v>
      </c>
    </row>
    <row r="68" spans="7:14">
      <c r="G68" s="25">
        <v>67</v>
      </c>
      <c r="H68" s="71" t="s">
        <v>303</v>
      </c>
      <c r="I68" s="24" t="str">
        <f t="shared" si="6"/>
        <v>1645</v>
      </c>
      <c r="J68">
        <v>588</v>
      </c>
      <c r="K68">
        <v>588</v>
      </c>
      <c r="L68" s="1">
        <f t="shared" si="7"/>
        <v>0</v>
      </c>
      <c r="M68" s="1">
        <f t="shared" si="8"/>
        <v>0</v>
      </c>
      <c r="N68" s="24">
        <v>0</v>
      </c>
    </row>
    <row r="69" spans="7:14">
      <c r="G69" s="25">
        <v>68</v>
      </c>
      <c r="H69" s="71" t="s">
        <v>304</v>
      </c>
      <c r="I69" s="24" t="str">
        <f t="shared" si="6"/>
        <v>1700</v>
      </c>
      <c r="J69">
        <v>505.2</v>
      </c>
      <c r="K69">
        <v>505.2</v>
      </c>
      <c r="L69" s="1">
        <f t="shared" si="7"/>
        <v>0</v>
      </c>
      <c r="M69" s="1">
        <f t="shared" si="8"/>
        <v>0</v>
      </c>
      <c r="N69" s="24">
        <v>0</v>
      </c>
    </row>
    <row r="70" spans="7:14">
      <c r="G70" s="25">
        <v>69</v>
      </c>
      <c r="H70" s="71" t="s">
        <v>305</v>
      </c>
      <c r="I70" s="24" t="str">
        <f t="shared" si="6"/>
        <v>1715</v>
      </c>
      <c r="J70">
        <v>521</v>
      </c>
      <c r="K70">
        <v>521</v>
      </c>
      <c r="L70" s="1">
        <f t="shared" si="7"/>
        <v>0</v>
      </c>
      <c r="M70" s="1">
        <f t="shared" si="8"/>
        <v>0</v>
      </c>
      <c r="N70" s="24">
        <v>0</v>
      </c>
    </row>
    <row r="71" spans="7:14">
      <c r="G71" s="25">
        <v>70</v>
      </c>
      <c r="H71" s="71" t="s">
        <v>306</v>
      </c>
      <c r="I71" s="24" t="str">
        <f t="shared" si="6"/>
        <v>1730</v>
      </c>
      <c r="J71">
        <v>502</v>
      </c>
      <c r="K71">
        <v>502</v>
      </c>
      <c r="L71" s="1">
        <f t="shared" si="7"/>
        <v>0</v>
      </c>
      <c r="M71" s="1">
        <f t="shared" si="8"/>
        <v>0</v>
      </c>
      <c r="N71" s="24">
        <v>0</v>
      </c>
    </row>
    <row r="72" spans="7:14">
      <c r="G72" s="25">
        <v>71</v>
      </c>
      <c r="H72" s="71" t="s">
        <v>307</v>
      </c>
      <c r="I72" s="24" t="str">
        <f t="shared" si="6"/>
        <v>1745</v>
      </c>
      <c r="J72">
        <v>554</v>
      </c>
      <c r="K72">
        <v>554</v>
      </c>
      <c r="L72" s="1">
        <f t="shared" si="7"/>
        <v>0</v>
      </c>
      <c r="M72" s="1">
        <f t="shared" si="8"/>
        <v>0</v>
      </c>
      <c r="N72" s="24">
        <v>0</v>
      </c>
    </row>
    <row r="73" spans="7:14">
      <c r="G73" s="25">
        <v>72</v>
      </c>
      <c r="H73" s="71" t="s">
        <v>308</v>
      </c>
      <c r="I73" s="24" t="str">
        <f t="shared" si="6"/>
        <v>1800</v>
      </c>
      <c r="J73">
        <v>575</v>
      </c>
      <c r="K73">
        <v>575</v>
      </c>
      <c r="L73" s="1">
        <f t="shared" si="7"/>
        <v>0</v>
      </c>
      <c r="M73" s="1">
        <f t="shared" si="8"/>
        <v>0</v>
      </c>
      <c r="N73" s="24">
        <v>0</v>
      </c>
    </row>
    <row r="74" spans="7:14">
      <c r="G74" s="25">
        <v>73</v>
      </c>
      <c r="H74" s="71" t="s">
        <v>309</v>
      </c>
      <c r="I74" s="24" t="str">
        <f t="shared" si="6"/>
        <v>1815</v>
      </c>
      <c r="J74">
        <v>571</v>
      </c>
      <c r="K74">
        <v>571</v>
      </c>
      <c r="L74" s="1">
        <f t="shared" si="7"/>
        <v>0</v>
      </c>
      <c r="M74" s="1">
        <f t="shared" si="8"/>
        <v>0</v>
      </c>
      <c r="N74" s="24">
        <v>0</v>
      </c>
    </row>
    <row r="75" spans="7:14">
      <c r="G75" s="25">
        <v>74</v>
      </c>
      <c r="H75" s="71" t="s">
        <v>310</v>
      </c>
      <c r="I75" s="24" t="str">
        <f t="shared" si="6"/>
        <v>1830</v>
      </c>
      <c r="J75">
        <v>582</v>
      </c>
      <c r="K75">
        <v>582</v>
      </c>
      <c r="L75" s="1">
        <f t="shared" si="7"/>
        <v>0</v>
      </c>
      <c r="M75" s="1">
        <f t="shared" si="8"/>
        <v>0</v>
      </c>
      <c r="N75" s="24">
        <v>0</v>
      </c>
    </row>
    <row r="76" spans="7:14">
      <c r="G76" s="25">
        <v>75</v>
      </c>
      <c r="H76" s="71" t="s">
        <v>311</v>
      </c>
      <c r="I76" s="24" t="str">
        <f t="shared" si="6"/>
        <v>1845</v>
      </c>
      <c r="J76">
        <v>602</v>
      </c>
      <c r="K76">
        <v>602</v>
      </c>
      <c r="L76" s="1">
        <f t="shared" si="7"/>
        <v>0</v>
      </c>
      <c r="M76" s="1">
        <f t="shared" si="8"/>
        <v>0</v>
      </c>
      <c r="N76" s="24">
        <v>0</v>
      </c>
    </row>
    <row r="77" spans="7:14">
      <c r="G77" s="25">
        <v>76</v>
      </c>
      <c r="H77" s="71" t="s">
        <v>312</v>
      </c>
      <c r="I77" s="24" t="str">
        <f t="shared" si="6"/>
        <v>1900</v>
      </c>
      <c r="J77">
        <v>613</v>
      </c>
      <c r="K77">
        <v>613</v>
      </c>
      <c r="L77" s="1">
        <f t="shared" si="7"/>
        <v>0</v>
      </c>
      <c r="M77" s="1">
        <f t="shared" si="8"/>
        <v>0</v>
      </c>
      <c r="N77" s="24">
        <v>0</v>
      </c>
    </row>
    <row r="78" spans="7:14">
      <c r="G78" s="25">
        <v>77</v>
      </c>
      <c r="H78" s="71" t="s">
        <v>313</v>
      </c>
      <c r="I78" s="24" t="str">
        <f t="shared" si="6"/>
        <v>1915</v>
      </c>
      <c r="J78">
        <v>603</v>
      </c>
      <c r="K78">
        <v>603</v>
      </c>
      <c r="L78" s="1">
        <f t="shared" si="7"/>
        <v>0</v>
      </c>
      <c r="M78" s="1">
        <f t="shared" si="8"/>
        <v>0</v>
      </c>
      <c r="N78" s="24">
        <v>0</v>
      </c>
    </row>
    <row r="79" spans="7:14">
      <c r="G79" s="25">
        <v>78</v>
      </c>
      <c r="H79" s="71" t="s">
        <v>314</v>
      </c>
      <c r="I79" s="24" t="str">
        <f t="shared" si="6"/>
        <v>1930</v>
      </c>
      <c r="J79">
        <v>600</v>
      </c>
      <c r="K79">
        <v>600</v>
      </c>
      <c r="L79" s="1">
        <f t="shared" si="7"/>
        <v>0</v>
      </c>
      <c r="M79" s="1">
        <f t="shared" si="8"/>
        <v>42.72</v>
      </c>
      <c r="N79" s="24">
        <v>42.72</v>
      </c>
    </row>
    <row r="80" spans="7:14">
      <c r="G80" s="25">
        <v>79</v>
      </c>
      <c r="H80" s="71" t="s">
        <v>315</v>
      </c>
      <c r="I80" s="24" t="str">
        <f t="shared" si="6"/>
        <v>1945</v>
      </c>
      <c r="J80">
        <v>610</v>
      </c>
      <c r="K80">
        <v>610</v>
      </c>
      <c r="L80" s="1">
        <f t="shared" si="7"/>
        <v>0</v>
      </c>
      <c r="M80" s="1">
        <f t="shared" si="8"/>
        <v>42.72</v>
      </c>
      <c r="N80" s="24">
        <v>42.72</v>
      </c>
    </row>
    <row r="81" spans="7:14">
      <c r="G81" s="25">
        <v>80</v>
      </c>
      <c r="H81" s="71" t="s">
        <v>316</v>
      </c>
      <c r="I81" s="24" t="str">
        <f t="shared" si="6"/>
        <v>2000</v>
      </c>
      <c r="J81">
        <v>613.85699999999997</v>
      </c>
      <c r="K81">
        <v>613.85699999999997</v>
      </c>
      <c r="L81" s="1">
        <f t="shared" si="7"/>
        <v>0</v>
      </c>
      <c r="M81" s="1">
        <f t="shared" si="8"/>
        <v>42.72</v>
      </c>
      <c r="N81" s="24">
        <v>42.72</v>
      </c>
    </row>
    <row r="82" spans="7:14">
      <c r="G82" s="25">
        <v>81</v>
      </c>
      <c r="H82" s="71" t="s">
        <v>317</v>
      </c>
      <c r="I82" s="24" t="str">
        <f t="shared" si="6"/>
        <v>2015</v>
      </c>
      <c r="J82">
        <v>618</v>
      </c>
      <c r="K82">
        <v>618</v>
      </c>
      <c r="L82" s="1">
        <f t="shared" si="7"/>
        <v>0</v>
      </c>
      <c r="M82" s="1">
        <f t="shared" si="8"/>
        <v>42.72</v>
      </c>
      <c r="N82" s="24">
        <v>42.72</v>
      </c>
    </row>
    <row r="83" spans="7:14">
      <c r="G83" s="25">
        <v>82</v>
      </c>
      <c r="H83" s="71" t="s">
        <v>318</v>
      </c>
      <c r="I83" s="24" t="str">
        <f t="shared" si="6"/>
        <v>2030</v>
      </c>
      <c r="J83">
        <v>612</v>
      </c>
      <c r="K83">
        <v>612</v>
      </c>
      <c r="L83" s="1">
        <f t="shared" si="7"/>
        <v>0</v>
      </c>
      <c r="M83" s="1">
        <f t="shared" si="8"/>
        <v>42.72</v>
      </c>
      <c r="N83" s="24">
        <v>42.72</v>
      </c>
    </row>
    <row r="84" spans="7:14">
      <c r="G84" s="25">
        <v>83</v>
      </c>
      <c r="H84" s="71" t="s">
        <v>319</v>
      </c>
      <c r="I84" s="24" t="str">
        <f t="shared" si="6"/>
        <v>2045</v>
      </c>
      <c r="J84">
        <v>605</v>
      </c>
      <c r="K84">
        <v>605</v>
      </c>
      <c r="L84" s="1">
        <f t="shared" si="7"/>
        <v>0</v>
      </c>
      <c r="M84" s="1">
        <f t="shared" si="8"/>
        <v>42.72</v>
      </c>
      <c r="N84" s="24">
        <v>42.72</v>
      </c>
    </row>
    <row r="85" spans="7:14">
      <c r="G85" s="25">
        <v>84</v>
      </c>
      <c r="H85" s="71" t="s">
        <v>320</v>
      </c>
      <c r="I85" s="24" t="str">
        <f t="shared" si="6"/>
        <v>2100</v>
      </c>
      <c r="J85">
        <v>604</v>
      </c>
      <c r="K85">
        <v>604</v>
      </c>
      <c r="L85" s="1">
        <f t="shared" si="7"/>
        <v>0</v>
      </c>
      <c r="M85" s="1">
        <f t="shared" si="8"/>
        <v>42.72</v>
      </c>
      <c r="N85" s="24">
        <v>42.72</v>
      </c>
    </row>
    <row r="86" spans="7:14">
      <c r="G86" s="25">
        <v>85</v>
      </c>
      <c r="H86" s="71" t="s">
        <v>321</v>
      </c>
      <c r="I86" s="24" t="str">
        <f t="shared" si="6"/>
        <v>2115</v>
      </c>
      <c r="J86">
        <v>614</v>
      </c>
      <c r="K86">
        <v>614</v>
      </c>
      <c r="L86" s="1">
        <f t="shared" si="7"/>
        <v>0</v>
      </c>
      <c r="M86" s="1">
        <f t="shared" si="8"/>
        <v>42.72</v>
      </c>
      <c r="N86" s="24">
        <v>42.72</v>
      </c>
    </row>
    <row r="87" spans="7:14">
      <c r="G87" s="25">
        <v>86</v>
      </c>
      <c r="H87" s="71" t="s">
        <v>322</v>
      </c>
      <c r="I87" s="24" t="str">
        <f t="shared" si="6"/>
        <v>2130</v>
      </c>
      <c r="J87">
        <v>617.42899999999997</v>
      </c>
      <c r="K87">
        <v>617.42899999999997</v>
      </c>
      <c r="L87" s="1">
        <f t="shared" si="7"/>
        <v>0</v>
      </c>
      <c r="M87" s="1">
        <f t="shared" si="8"/>
        <v>42.72</v>
      </c>
      <c r="N87" s="24">
        <v>42.72</v>
      </c>
    </row>
    <row r="88" spans="7:14">
      <c r="G88" s="25">
        <v>87</v>
      </c>
      <c r="H88" s="71" t="s">
        <v>323</v>
      </c>
      <c r="I88" s="24" t="str">
        <f t="shared" si="6"/>
        <v>2145</v>
      </c>
      <c r="J88">
        <v>620</v>
      </c>
      <c r="K88">
        <v>620</v>
      </c>
      <c r="L88" s="1">
        <f t="shared" si="7"/>
        <v>0</v>
      </c>
      <c r="M88" s="1">
        <f t="shared" si="8"/>
        <v>42.72</v>
      </c>
      <c r="N88" s="24">
        <v>42.72</v>
      </c>
    </row>
    <row r="89" spans="7:14">
      <c r="G89" s="25">
        <v>88</v>
      </c>
      <c r="H89" s="71" t="s">
        <v>324</v>
      </c>
      <c r="I89" s="24" t="str">
        <f t="shared" si="6"/>
        <v>2200</v>
      </c>
      <c r="J89">
        <v>625</v>
      </c>
      <c r="K89">
        <v>625</v>
      </c>
      <c r="L89" s="1">
        <f t="shared" si="7"/>
        <v>0</v>
      </c>
      <c r="M89" s="1">
        <f t="shared" si="8"/>
        <v>42.72</v>
      </c>
      <c r="N89" s="24">
        <v>42.72</v>
      </c>
    </row>
    <row r="90" spans="7:14">
      <c r="G90" s="25">
        <v>89</v>
      </c>
      <c r="H90" s="71" t="s">
        <v>325</v>
      </c>
      <c r="I90" s="24" t="str">
        <f t="shared" si="6"/>
        <v>2215</v>
      </c>
      <c r="J90">
        <v>624</v>
      </c>
      <c r="K90">
        <v>624</v>
      </c>
      <c r="L90" s="1">
        <f t="shared" si="7"/>
        <v>0</v>
      </c>
      <c r="M90" s="1">
        <f t="shared" si="8"/>
        <v>42.72</v>
      </c>
      <c r="N90" s="24">
        <v>42.72</v>
      </c>
    </row>
    <row r="91" spans="7:14">
      <c r="G91" s="25">
        <v>90</v>
      </c>
      <c r="H91" s="71" t="s">
        <v>326</v>
      </c>
      <c r="I91" s="24" t="str">
        <f t="shared" si="6"/>
        <v>2230</v>
      </c>
      <c r="J91">
        <v>623</v>
      </c>
      <c r="K91">
        <v>623</v>
      </c>
      <c r="L91" s="1">
        <f t="shared" si="7"/>
        <v>0</v>
      </c>
      <c r="M91" s="1">
        <f t="shared" si="8"/>
        <v>42.72</v>
      </c>
      <c r="N91" s="24">
        <v>42.72</v>
      </c>
    </row>
    <row r="92" spans="7:14">
      <c r="G92" s="25">
        <v>91</v>
      </c>
      <c r="H92" s="71" t="s">
        <v>327</v>
      </c>
      <c r="I92" s="24" t="str">
        <f t="shared" si="6"/>
        <v>2245</v>
      </c>
      <c r="J92">
        <v>614</v>
      </c>
      <c r="K92">
        <v>614</v>
      </c>
      <c r="L92" s="1">
        <f t="shared" si="7"/>
        <v>0</v>
      </c>
      <c r="M92" s="1">
        <f t="shared" si="8"/>
        <v>42.72</v>
      </c>
      <c r="N92" s="24">
        <v>42.72</v>
      </c>
    </row>
    <row r="93" spans="7:14">
      <c r="G93" s="25">
        <v>92</v>
      </c>
      <c r="H93" s="71" t="s">
        <v>328</v>
      </c>
      <c r="I93" s="24" t="str">
        <f t="shared" si="6"/>
        <v>2300</v>
      </c>
      <c r="J93">
        <v>609.28</v>
      </c>
      <c r="K93">
        <v>609.28</v>
      </c>
      <c r="L93" s="1">
        <f t="shared" si="7"/>
        <v>0</v>
      </c>
      <c r="M93" s="1">
        <f t="shared" si="8"/>
        <v>42.72</v>
      </c>
      <c r="N93" s="24">
        <v>42.72</v>
      </c>
    </row>
    <row r="94" spans="7:14">
      <c r="G94" s="25">
        <v>93</v>
      </c>
      <c r="H94" s="71" t="s">
        <v>329</v>
      </c>
      <c r="I94" s="24" t="str">
        <f t="shared" si="6"/>
        <v>2315</v>
      </c>
      <c r="J94">
        <v>625</v>
      </c>
      <c r="K94">
        <v>625</v>
      </c>
      <c r="L94" s="1">
        <f t="shared" si="7"/>
        <v>0</v>
      </c>
      <c r="M94" s="1">
        <f t="shared" si="8"/>
        <v>42.72</v>
      </c>
      <c r="N94" s="24">
        <v>42.72</v>
      </c>
    </row>
    <row r="95" spans="7:14">
      <c r="G95" s="25">
        <v>94</v>
      </c>
      <c r="H95" s="71" t="s">
        <v>330</v>
      </c>
      <c r="I95" s="24" t="str">
        <f t="shared" si="6"/>
        <v>2330</v>
      </c>
      <c r="J95">
        <v>620</v>
      </c>
      <c r="K95">
        <v>620</v>
      </c>
      <c r="L95" s="1">
        <f t="shared" si="7"/>
        <v>0</v>
      </c>
      <c r="M95" s="1">
        <f t="shared" si="8"/>
        <v>0</v>
      </c>
      <c r="N95" s="24">
        <v>0</v>
      </c>
    </row>
    <row r="96" spans="7:14">
      <c r="G96" s="25">
        <v>95</v>
      </c>
      <c r="H96" s="71" t="s">
        <v>331</v>
      </c>
      <c r="I96" s="24" t="str">
        <f t="shared" si="6"/>
        <v>2345</v>
      </c>
      <c r="J96">
        <v>606</v>
      </c>
      <c r="K96">
        <v>606</v>
      </c>
      <c r="L96" s="1">
        <f t="shared" si="7"/>
        <v>0</v>
      </c>
      <c r="M96" s="1">
        <f t="shared" si="8"/>
        <v>0</v>
      </c>
      <c r="N96" s="24">
        <v>0</v>
      </c>
    </row>
    <row r="97" spans="7:14">
      <c r="G97" s="25">
        <v>96</v>
      </c>
      <c r="H97" s="71" t="s">
        <v>332</v>
      </c>
      <c r="I97" s="24" t="str">
        <f t="shared" si="6"/>
        <v>2400</v>
      </c>
      <c r="J97">
        <v>597</v>
      </c>
      <c r="K97">
        <v>597</v>
      </c>
      <c r="L97" s="1">
        <f t="shared" si="7"/>
        <v>0</v>
      </c>
      <c r="M97" s="1">
        <f t="shared" si="8"/>
        <v>0</v>
      </c>
      <c r="N97" s="24">
        <v>0</v>
      </c>
    </row>
    <row r="98" spans="7:14">
      <c r="N98" s="24">
        <v>0</v>
      </c>
    </row>
    <row r="99" spans="7:14">
      <c r="N99" s="24">
        <v>0</v>
      </c>
    </row>
    <row r="100" spans="7:14">
      <c r="N100" s="24">
        <v>0</v>
      </c>
    </row>
  </sheetData>
  <phoneticPr fontId="7" type="noConversion"/>
  <pageMargins left="0.75" right="0.75" top="1" bottom="1" header="0.5" footer="0.5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3"/>
  <sheetViews>
    <sheetView zoomScale="130" zoomScaleNormal="130" workbookViewId="0">
      <selection activeCell="D8" sqref="D8"/>
    </sheetView>
  </sheetViews>
  <sheetFormatPr defaultColWidth="10.6640625" defaultRowHeight="15" customHeight="1"/>
  <cols>
    <col min="1" max="1" width="15.21875" style="94" customWidth="1"/>
    <col min="2" max="5" width="15.21875" style="46" customWidth="1"/>
    <col min="6" max="17" width="7.44140625" style="46" customWidth="1"/>
    <col min="18" max="19" width="10.6640625" style="46" customWidth="1"/>
    <col min="20" max="16384" width="10.6640625" style="46"/>
  </cols>
  <sheetData>
    <row r="1" spans="1:17" ht="15" customHeight="1" thickTop="1" thickBot="1">
      <c r="A1" s="43" t="s">
        <v>333</v>
      </c>
      <c r="B1" s="44"/>
      <c r="C1" s="45">
        <v>70.5</v>
      </c>
    </row>
    <row r="2" spans="1:17" ht="15" customHeight="1" thickTop="1" thickBot="1">
      <c r="A2" s="46"/>
      <c r="J2" s="94"/>
      <c r="K2" s="94"/>
      <c r="L2" s="94"/>
    </row>
    <row r="3" spans="1:17" ht="15" customHeight="1" thickTop="1" thickBot="1">
      <c r="A3" s="47" t="s">
        <v>334</v>
      </c>
      <c r="B3" s="48"/>
      <c r="C3" s="49">
        <f t="array" aca="1" ref="C3" ca="1">SUMPRODUCT(C8:C103,D8:D103)/SUM(C8:C103)</f>
        <v>0.32500000000000007</v>
      </c>
      <c r="E3" s="47" t="s">
        <v>335</v>
      </c>
      <c r="F3" s="48"/>
      <c r="G3" s="49">
        <f t="array" aca="1" ref="G3" ca="1">SUMPRODUCT(D8:D103,E8:E103)/SUM(E8:E103)</f>
        <v>0.11624786230484914</v>
      </c>
      <c r="H3" s="94"/>
      <c r="J3" s="94"/>
      <c r="K3" s="94"/>
      <c r="L3" s="94"/>
    </row>
    <row r="4" spans="1:17" ht="15" customHeight="1" thickTop="1">
      <c r="A4" s="46"/>
      <c r="F4" s="50"/>
      <c r="G4" s="50"/>
      <c r="H4" s="94"/>
      <c r="J4" s="94"/>
      <c r="K4" s="94"/>
      <c r="L4" s="94"/>
    </row>
    <row r="5" spans="1:17" ht="15" customHeight="1" thickBot="1">
      <c r="A5" s="46"/>
      <c r="F5" s="50"/>
      <c r="G5" s="50"/>
      <c r="H5" s="94"/>
      <c r="J5" s="94"/>
      <c r="K5" s="94"/>
      <c r="L5" s="94"/>
    </row>
    <row r="6" spans="1:17" ht="15" customHeight="1" thickTop="1">
      <c r="A6" s="129" t="s">
        <v>210</v>
      </c>
      <c r="B6" s="129" t="s">
        <v>336</v>
      </c>
      <c r="C6" s="129" t="s">
        <v>337</v>
      </c>
      <c r="D6" s="51" t="s">
        <v>338</v>
      </c>
      <c r="E6" s="129" t="s">
        <v>339</v>
      </c>
      <c r="F6" s="132" t="s">
        <v>340</v>
      </c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7" ht="15" customHeight="1" thickBot="1">
      <c r="A7" s="130"/>
      <c r="B7" s="131"/>
      <c r="C7" s="131"/>
      <c r="D7" s="52" t="s">
        <v>341</v>
      </c>
      <c r="E7" s="131"/>
      <c r="F7" s="53" t="s">
        <v>342</v>
      </c>
      <c r="G7" s="93" t="s">
        <v>343</v>
      </c>
      <c r="H7" s="93" t="s">
        <v>341</v>
      </c>
      <c r="I7" s="93" t="s">
        <v>344</v>
      </c>
      <c r="J7" s="93" t="s">
        <v>345</v>
      </c>
      <c r="K7" s="93" t="s">
        <v>346</v>
      </c>
      <c r="L7" s="93" t="s">
        <v>347</v>
      </c>
      <c r="M7" s="93" t="s">
        <v>348</v>
      </c>
      <c r="N7" s="93" t="s">
        <v>349</v>
      </c>
      <c r="O7" s="93" t="s">
        <v>350</v>
      </c>
      <c r="P7" s="93" t="s">
        <v>351</v>
      </c>
      <c r="Q7" s="54" t="s">
        <v>352</v>
      </c>
    </row>
    <row r="8" spans="1:17" ht="15" customHeight="1" thickTop="1">
      <c r="A8" s="126">
        <v>1</v>
      </c>
      <c r="B8" s="93">
        <v>1</v>
      </c>
      <c r="C8" s="87">
        <f t="shared" ref="C8:C39" si="0">IF(E8&lt;0,1,0)</f>
        <v>1</v>
      </c>
      <c r="D8" s="55">
        <f t="array" aca="1" ref="D8" ca="1">INDIRECT(ADDRESS(B8+ROW($D$7),MATCH($D$7,$F$7:$Q$7,0)+5))</f>
        <v>1</v>
      </c>
      <c r="E8" s="56">
        <f>报价及预中标!L2</f>
        <v>-0.05</v>
      </c>
      <c r="F8" s="53">
        <v>1</v>
      </c>
      <c r="G8" s="53">
        <v>1</v>
      </c>
      <c r="H8" s="93">
        <v>1</v>
      </c>
      <c r="I8" s="93">
        <v>1</v>
      </c>
      <c r="J8" s="93">
        <v>1</v>
      </c>
      <c r="K8" s="93">
        <v>1</v>
      </c>
      <c r="L8" s="93">
        <v>0.3</v>
      </c>
      <c r="M8" s="93">
        <v>0.3</v>
      </c>
      <c r="N8" s="93">
        <v>1</v>
      </c>
      <c r="O8" s="93">
        <v>1</v>
      </c>
      <c r="P8" s="93">
        <v>1</v>
      </c>
      <c r="Q8" s="53">
        <v>1</v>
      </c>
    </row>
    <row r="9" spans="1:17" ht="15" customHeight="1">
      <c r="A9" s="127"/>
      <c r="B9" s="93">
        <v>2</v>
      </c>
      <c r="C9" s="87">
        <f t="shared" si="0"/>
        <v>0</v>
      </c>
      <c r="D9" s="93">
        <f t="array" aca="1" ref="D9" ca="1">INDIRECT(ADDRESS(B9+ROW($D$7),MATCH($D$7,$F$7:$Q$7,0)+5))</f>
        <v>1</v>
      </c>
      <c r="E9" s="56">
        <f>报价及预中标!L3</f>
        <v>0</v>
      </c>
      <c r="F9" s="53">
        <v>1</v>
      </c>
      <c r="G9" s="53">
        <v>1</v>
      </c>
      <c r="H9" s="93">
        <v>1</v>
      </c>
      <c r="I9" s="93">
        <v>1</v>
      </c>
      <c r="J9" s="93">
        <v>1</v>
      </c>
      <c r="K9" s="93">
        <v>1</v>
      </c>
      <c r="L9" s="93">
        <v>0.3</v>
      </c>
      <c r="M9" s="93">
        <v>0.3</v>
      </c>
      <c r="N9" s="93">
        <v>1</v>
      </c>
      <c r="O9" s="93">
        <v>1</v>
      </c>
      <c r="P9" s="93">
        <v>1</v>
      </c>
      <c r="Q9" s="53">
        <v>1</v>
      </c>
    </row>
    <row r="10" spans="1:17" ht="15" customHeight="1">
      <c r="A10" s="127"/>
      <c r="B10" s="93">
        <v>3</v>
      </c>
      <c r="C10" s="87">
        <f t="shared" si="0"/>
        <v>0</v>
      </c>
      <c r="D10" s="93">
        <f t="array" aca="1" ref="D10" ca="1">INDIRECT(ADDRESS(B10+ROW($D$7),MATCH($D$7,$F$7:$Q$7,0)+5))</f>
        <v>1</v>
      </c>
      <c r="E10" s="56">
        <f>报价及预中标!L4</f>
        <v>0</v>
      </c>
      <c r="F10" s="53">
        <v>1</v>
      </c>
      <c r="G10" s="53">
        <v>1</v>
      </c>
      <c r="H10" s="93">
        <v>1</v>
      </c>
      <c r="I10" s="93">
        <v>1</v>
      </c>
      <c r="J10" s="93">
        <v>1</v>
      </c>
      <c r="K10" s="93">
        <v>1</v>
      </c>
      <c r="L10" s="93">
        <v>0.3</v>
      </c>
      <c r="M10" s="93">
        <v>0.3</v>
      </c>
      <c r="N10" s="93">
        <v>1</v>
      </c>
      <c r="O10" s="93">
        <v>1</v>
      </c>
      <c r="P10" s="93">
        <v>1</v>
      </c>
      <c r="Q10" s="53">
        <v>1</v>
      </c>
    </row>
    <row r="11" spans="1:17" ht="15" customHeight="1">
      <c r="A11" s="128"/>
      <c r="B11" s="93">
        <v>4</v>
      </c>
      <c r="C11" s="87">
        <f t="shared" si="0"/>
        <v>0</v>
      </c>
      <c r="D11" s="93">
        <f t="array" aca="1" ref="D11" ca="1">INDIRECT(ADDRESS(B11+ROW($D$7),MATCH($D$7,$F$7:$Q$7,0)+5))</f>
        <v>1</v>
      </c>
      <c r="E11" s="56">
        <f>报价及预中标!L5</f>
        <v>0</v>
      </c>
      <c r="F11" s="53">
        <v>1</v>
      </c>
      <c r="G11" s="53">
        <v>1</v>
      </c>
      <c r="H11" s="93">
        <v>1</v>
      </c>
      <c r="I11" s="93">
        <v>1</v>
      </c>
      <c r="J11" s="93">
        <v>1</v>
      </c>
      <c r="K11" s="93">
        <v>1</v>
      </c>
      <c r="L11" s="93">
        <v>0.3</v>
      </c>
      <c r="M11" s="93">
        <v>0.3</v>
      </c>
      <c r="N11" s="93">
        <v>1</v>
      </c>
      <c r="O11" s="93">
        <v>1</v>
      </c>
      <c r="P11" s="93">
        <v>1</v>
      </c>
      <c r="Q11" s="53">
        <v>1</v>
      </c>
    </row>
    <row r="12" spans="1:17" ht="15" customHeight="1">
      <c r="A12" s="126">
        <v>2</v>
      </c>
      <c r="B12" s="93">
        <v>5</v>
      </c>
      <c r="C12" s="87">
        <f t="shared" si="0"/>
        <v>0</v>
      </c>
      <c r="D12" s="93">
        <f t="array" aca="1" ref="D12" ca="1">INDIRECT(ADDRESS(B12+ROW($D$7),MATCH($D$7,$F$7:$Q$7,0)+5))</f>
        <v>1</v>
      </c>
      <c r="E12" s="56">
        <f>报价及预中标!L6</f>
        <v>0</v>
      </c>
      <c r="F12" s="53">
        <v>0.3</v>
      </c>
      <c r="G12" s="53">
        <v>0.3</v>
      </c>
      <c r="H12" s="93">
        <v>1</v>
      </c>
      <c r="I12" s="93">
        <v>1</v>
      </c>
      <c r="J12" s="93">
        <v>1</v>
      </c>
      <c r="K12" s="93">
        <v>1</v>
      </c>
      <c r="L12" s="93">
        <v>0.3</v>
      </c>
      <c r="M12" s="93">
        <v>0.3</v>
      </c>
      <c r="N12" s="93">
        <v>1</v>
      </c>
      <c r="O12" s="93">
        <v>1</v>
      </c>
      <c r="P12" s="93">
        <v>1</v>
      </c>
      <c r="Q12" s="53">
        <v>0.3</v>
      </c>
    </row>
    <row r="13" spans="1:17" ht="15" customHeight="1">
      <c r="A13" s="127"/>
      <c r="B13" s="93">
        <v>6</v>
      </c>
      <c r="C13" s="87">
        <f t="shared" si="0"/>
        <v>0</v>
      </c>
      <c r="D13" s="93">
        <f t="array" aca="1" ref="D13" ca="1">INDIRECT(ADDRESS(B13+ROW($D$7),MATCH($D$7,$F$7:$Q$7,0)+5))</f>
        <v>1</v>
      </c>
      <c r="E13" s="56">
        <f>报价及预中标!L7</f>
        <v>0</v>
      </c>
      <c r="F13" s="53">
        <v>0.3</v>
      </c>
      <c r="G13" s="53">
        <v>0.3</v>
      </c>
      <c r="H13" s="93">
        <v>1</v>
      </c>
      <c r="I13" s="93">
        <v>1</v>
      </c>
      <c r="J13" s="93">
        <v>1</v>
      </c>
      <c r="K13" s="93">
        <v>1</v>
      </c>
      <c r="L13" s="93">
        <v>0.3</v>
      </c>
      <c r="M13" s="93">
        <v>0.3</v>
      </c>
      <c r="N13" s="93">
        <v>1</v>
      </c>
      <c r="O13" s="93">
        <v>1</v>
      </c>
      <c r="P13" s="93">
        <v>1</v>
      </c>
      <c r="Q13" s="53">
        <v>0.3</v>
      </c>
    </row>
    <row r="14" spans="1:17" ht="15" customHeight="1">
      <c r="A14" s="127"/>
      <c r="B14" s="93">
        <v>7</v>
      </c>
      <c r="C14" s="87">
        <f t="shared" si="0"/>
        <v>0</v>
      </c>
      <c r="D14" s="93">
        <f t="array" aca="1" ref="D14" ca="1">INDIRECT(ADDRESS(B14+ROW($D$7),MATCH($D$7,$F$7:$Q$7,0)+5))</f>
        <v>1</v>
      </c>
      <c r="E14" s="56">
        <f>报价及预中标!L8</f>
        <v>0</v>
      </c>
      <c r="F14" s="53">
        <v>0.3</v>
      </c>
      <c r="G14" s="53">
        <v>0.3</v>
      </c>
      <c r="H14" s="93">
        <v>1</v>
      </c>
      <c r="I14" s="93">
        <v>1</v>
      </c>
      <c r="J14" s="93">
        <v>1</v>
      </c>
      <c r="K14" s="93">
        <v>1</v>
      </c>
      <c r="L14" s="93">
        <v>0.3</v>
      </c>
      <c r="M14" s="93">
        <v>0.3</v>
      </c>
      <c r="N14" s="93">
        <v>1</v>
      </c>
      <c r="O14" s="93">
        <v>1</v>
      </c>
      <c r="P14" s="93">
        <v>1</v>
      </c>
      <c r="Q14" s="53">
        <v>0.3</v>
      </c>
    </row>
    <row r="15" spans="1:17" ht="15" customHeight="1">
      <c r="A15" s="128"/>
      <c r="B15" s="93">
        <v>8</v>
      </c>
      <c r="C15" s="87">
        <f t="shared" si="0"/>
        <v>0</v>
      </c>
      <c r="D15" s="93">
        <f t="array" aca="1" ref="D15" ca="1">INDIRECT(ADDRESS(B15+ROW($D$7),MATCH($D$7,$F$7:$Q$7,0)+5))</f>
        <v>1</v>
      </c>
      <c r="E15" s="56">
        <f>报价及预中标!L9</f>
        <v>0</v>
      </c>
      <c r="F15" s="53">
        <v>0.3</v>
      </c>
      <c r="G15" s="53">
        <v>0.3</v>
      </c>
      <c r="H15" s="93">
        <v>1</v>
      </c>
      <c r="I15" s="93">
        <v>1</v>
      </c>
      <c r="J15" s="93">
        <v>1</v>
      </c>
      <c r="K15" s="93">
        <v>1</v>
      </c>
      <c r="L15" s="93">
        <v>0.3</v>
      </c>
      <c r="M15" s="93">
        <v>0.3</v>
      </c>
      <c r="N15" s="93">
        <v>1</v>
      </c>
      <c r="O15" s="93">
        <v>1</v>
      </c>
      <c r="P15" s="93">
        <v>1</v>
      </c>
      <c r="Q15" s="53">
        <v>0.3</v>
      </c>
    </row>
    <row r="16" spans="1:17" ht="15" customHeight="1">
      <c r="A16" s="126">
        <v>3</v>
      </c>
      <c r="B16" s="93">
        <v>9</v>
      </c>
      <c r="C16" s="87">
        <f t="shared" si="0"/>
        <v>0</v>
      </c>
      <c r="D16" s="93">
        <f t="array" aca="1" ref="D16" ca="1">INDIRECT(ADDRESS(B16+ROW($D$7),MATCH($D$7,$F$7:$Q$7,0)+5))</f>
        <v>1</v>
      </c>
      <c r="E16" s="56">
        <f>报价及预中标!L10</f>
        <v>0</v>
      </c>
      <c r="F16" s="53">
        <v>0.3</v>
      </c>
      <c r="G16" s="53">
        <v>0.3</v>
      </c>
      <c r="H16" s="93">
        <v>1</v>
      </c>
      <c r="I16" s="93">
        <v>1</v>
      </c>
      <c r="J16" s="93">
        <v>1</v>
      </c>
      <c r="K16" s="93">
        <v>1</v>
      </c>
      <c r="L16" s="93">
        <v>0.3</v>
      </c>
      <c r="M16" s="93">
        <v>0.3</v>
      </c>
      <c r="N16" s="93">
        <v>1</v>
      </c>
      <c r="O16" s="93">
        <v>1</v>
      </c>
      <c r="P16" s="93">
        <v>1</v>
      </c>
      <c r="Q16" s="53">
        <v>0.3</v>
      </c>
    </row>
    <row r="17" spans="1:17" ht="15" customHeight="1">
      <c r="A17" s="127"/>
      <c r="B17" s="93">
        <v>10</v>
      </c>
      <c r="C17" s="87">
        <f t="shared" si="0"/>
        <v>0</v>
      </c>
      <c r="D17" s="93">
        <f t="array" aca="1" ref="D17" ca="1">INDIRECT(ADDRESS(B17+ROW($D$7),MATCH($D$7,$F$7:$Q$7,0)+5))</f>
        <v>1</v>
      </c>
      <c r="E17" s="56">
        <f>报价及预中标!L11</f>
        <v>0</v>
      </c>
      <c r="F17" s="53">
        <v>0.3</v>
      </c>
      <c r="G17" s="53">
        <v>0.3</v>
      </c>
      <c r="H17" s="93">
        <v>1</v>
      </c>
      <c r="I17" s="93">
        <v>1</v>
      </c>
      <c r="J17" s="93">
        <v>1</v>
      </c>
      <c r="K17" s="93">
        <v>1</v>
      </c>
      <c r="L17" s="93">
        <v>0.3</v>
      </c>
      <c r="M17" s="93">
        <v>0.3</v>
      </c>
      <c r="N17" s="93">
        <v>1</v>
      </c>
      <c r="O17" s="93">
        <v>1</v>
      </c>
      <c r="P17" s="93">
        <v>1</v>
      </c>
      <c r="Q17" s="53">
        <v>0.3</v>
      </c>
    </row>
    <row r="18" spans="1:17" ht="15" customHeight="1">
      <c r="A18" s="127"/>
      <c r="B18" s="93">
        <v>11</v>
      </c>
      <c r="C18" s="87">
        <f t="shared" si="0"/>
        <v>0</v>
      </c>
      <c r="D18" s="93">
        <f t="array" aca="1" ref="D18" ca="1">INDIRECT(ADDRESS(B18+ROW($D$7),MATCH($D$7,$F$7:$Q$7,0)+5))</f>
        <v>1</v>
      </c>
      <c r="E18" s="56">
        <f>报价及预中标!L12</f>
        <v>0</v>
      </c>
      <c r="F18" s="53">
        <v>0.3</v>
      </c>
      <c r="G18" s="53">
        <v>0.3</v>
      </c>
      <c r="H18" s="93">
        <v>1</v>
      </c>
      <c r="I18" s="93">
        <v>1</v>
      </c>
      <c r="J18" s="93">
        <v>1</v>
      </c>
      <c r="K18" s="93">
        <v>1</v>
      </c>
      <c r="L18" s="93">
        <v>0.3</v>
      </c>
      <c r="M18" s="93">
        <v>0.3</v>
      </c>
      <c r="N18" s="93">
        <v>1</v>
      </c>
      <c r="O18" s="93">
        <v>1</v>
      </c>
      <c r="P18" s="93">
        <v>1</v>
      </c>
      <c r="Q18" s="53">
        <v>0.3</v>
      </c>
    </row>
    <row r="19" spans="1:17" ht="15" customHeight="1">
      <c r="A19" s="128"/>
      <c r="B19" s="93">
        <v>12</v>
      </c>
      <c r="C19" s="87">
        <f t="shared" si="0"/>
        <v>0</v>
      </c>
      <c r="D19" s="93">
        <f t="array" aca="1" ref="D19" ca="1">INDIRECT(ADDRESS(B19+ROW($D$7),MATCH($D$7,$F$7:$Q$7,0)+5))</f>
        <v>1</v>
      </c>
      <c r="E19" s="56">
        <f>报价及预中标!L13</f>
        <v>0</v>
      </c>
      <c r="F19" s="53">
        <v>0.3</v>
      </c>
      <c r="G19" s="53">
        <v>0.3</v>
      </c>
      <c r="H19" s="93">
        <v>1</v>
      </c>
      <c r="I19" s="93">
        <v>1</v>
      </c>
      <c r="J19" s="93">
        <v>1</v>
      </c>
      <c r="K19" s="93">
        <v>1</v>
      </c>
      <c r="L19" s="93">
        <v>0.3</v>
      </c>
      <c r="M19" s="93">
        <v>0.3</v>
      </c>
      <c r="N19" s="93">
        <v>1</v>
      </c>
      <c r="O19" s="93">
        <v>1</v>
      </c>
      <c r="P19" s="93">
        <v>1</v>
      </c>
      <c r="Q19" s="53">
        <v>0.3</v>
      </c>
    </row>
    <row r="20" spans="1:17" ht="15" customHeight="1">
      <c r="A20" s="126">
        <v>4</v>
      </c>
      <c r="B20" s="93">
        <v>13</v>
      </c>
      <c r="C20" s="87">
        <f t="shared" si="0"/>
        <v>0</v>
      </c>
      <c r="D20" s="93">
        <f t="array" aca="1" ref="D20" ca="1">INDIRECT(ADDRESS(B20+ROW($D$7),MATCH($D$7,$F$7:$Q$7,0)+5))</f>
        <v>1</v>
      </c>
      <c r="E20" s="56">
        <f>报价及预中标!L14</f>
        <v>0</v>
      </c>
      <c r="F20" s="53">
        <v>0.3</v>
      </c>
      <c r="G20" s="53">
        <v>0.3</v>
      </c>
      <c r="H20" s="93">
        <v>1</v>
      </c>
      <c r="I20" s="93">
        <v>1</v>
      </c>
      <c r="J20" s="93">
        <v>1</v>
      </c>
      <c r="K20" s="93">
        <v>1</v>
      </c>
      <c r="L20" s="93">
        <v>0.3</v>
      </c>
      <c r="M20" s="93">
        <v>0.3</v>
      </c>
      <c r="N20" s="93">
        <v>1</v>
      </c>
      <c r="O20" s="93">
        <v>1</v>
      </c>
      <c r="P20" s="93">
        <v>1</v>
      </c>
      <c r="Q20" s="53">
        <v>0.3</v>
      </c>
    </row>
    <row r="21" spans="1:17" ht="15" customHeight="1">
      <c r="A21" s="127"/>
      <c r="B21" s="93">
        <v>14</v>
      </c>
      <c r="C21" s="87">
        <f t="shared" si="0"/>
        <v>0</v>
      </c>
      <c r="D21" s="93">
        <f t="array" aca="1" ref="D21" ca="1">INDIRECT(ADDRESS(B21+ROW($D$7),MATCH($D$7,$F$7:$Q$7,0)+5))</f>
        <v>1</v>
      </c>
      <c r="E21" s="56">
        <f>报价及预中标!L15</f>
        <v>0</v>
      </c>
      <c r="F21" s="53">
        <v>0.3</v>
      </c>
      <c r="G21" s="53">
        <v>0.3</v>
      </c>
      <c r="H21" s="93">
        <v>1</v>
      </c>
      <c r="I21" s="93">
        <v>1</v>
      </c>
      <c r="J21" s="93">
        <v>1</v>
      </c>
      <c r="K21" s="93">
        <v>1</v>
      </c>
      <c r="L21" s="93">
        <v>0.3</v>
      </c>
      <c r="M21" s="93">
        <v>0.3</v>
      </c>
      <c r="N21" s="93">
        <v>1</v>
      </c>
      <c r="O21" s="93">
        <v>1</v>
      </c>
      <c r="P21" s="93">
        <v>1</v>
      </c>
      <c r="Q21" s="53">
        <v>0.3</v>
      </c>
    </row>
    <row r="22" spans="1:17" ht="15" customHeight="1">
      <c r="A22" s="127"/>
      <c r="B22" s="93">
        <v>15</v>
      </c>
      <c r="C22" s="87">
        <f t="shared" si="0"/>
        <v>0</v>
      </c>
      <c r="D22" s="93">
        <f t="array" aca="1" ref="D22" ca="1">INDIRECT(ADDRESS(B22+ROW($D$7),MATCH($D$7,$F$7:$Q$7,0)+5))</f>
        <v>1</v>
      </c>
      <c r="E22" s="56">
        <f>报价及预中标!L16</f>
        <v>0</v>
      </c>
      <c r="F22" s="53">
        <v>0.3</v>
      </c>
      <c r="G22" s="53">
        <v>0.3</v>
      </c>
      <c r="H22" s="93">
        <v>1</v>
      </c>
      <c r="I22" s="93">
        <v>1</v>
      </c>
      <c r="J22" s="93">
        <v>1</v>
      </c>
      <c r="K22" s="93">
        <v>1</v>
      </c>
      <c r="L22" s="93">
        <v>0.3</v>
      </c>
      <c r="M22" s="93">
        <v>0.3</v>
      </c>
      <c r="N22" s="93">
        <v>1</v>
      </c>
      <c r="O22" s="93">
        <v>1</v>
      </c>
      <c r="P22" s="93">
        <v>1</v>
      </c>
      <c r="Q22" s="53">
        <v>0.3</v>
      </c>
    </row>
    <row r="23" spans="1:17" ht="15" customHeight="1">
      <c r="A23" s="128"/>
      <c r="B23" s="93">
        <v>16</v>
      </c>
      <c r="C23" s="87">
        <f t="shared" si="0"/>
        <v>0</v>
      </c>
      <c r="D23" s="93">
        <f t="array" aca="1" ref="D23" ca="1">INDIRECT(ADDRESS(B23+ROW($D$7),MATCH($D$7,$F$7:$Q$7,0)+5))</f>
        <v>1</v>
      </c>
      <c r="E23" s="56">
        <f>报价及预中标!L17</f>
        <v>0</v>
      </c>
      <c r="F23" s="53">
        <v>0.3</v>
      </c>
      <c r="G23" s="53">
        <v>0.3</v>
      </c>
      <c r="H23" s="93">
        <v>1</v>
      </c>
      <c r="I23" s="93">
        <v>1</v>
      </c>
      <c r="J23" s="93">
        <v>1</v>
      </c>
      <c r="K23" s="93">
        <v>1</v>
      </c>
      <c r="L23" s="93">
        <v>0.3</v>
      </c>
      <c r="M23" s="93">
        <v>0.3</v>
      </c>
      <c r="N23" s="93">
        <v>1</v>
      </c>
      <c r="O23" s="93">
        <v>1</v>
      </c>
      <c r="P23" s="93">
        <v>1</v>
      </c>
      <c r="Q23" s="53">
        <v>0.3</v>
      </c>
    </row>
    <row r="24" spans="1:17" ht="15" customHeight="1">
      <c r="A24" s="126">
        <v>5</v>
      </c>
      <c r="B24" s="93">
        <v>17</v>
      </c>
      <c r="C24" s="87">
        <f t="shared" si="0"/>
        <v>0</v>
      </c>
      <c r="D24" s="93">
        <f t="array" aca="1" ref="D24" ca="1">INDIRECT(ADDRESS(B24+ROW($D$7),MATCH($D$7,$F$7:$Q$7,0)+5))</f>
        <v>1</v>
      </c>
      <c r="E24" s="56">
        <f>报价及预中标!L18</f>
        <v>0</v>
      </c>
      <c r="F24" s="53">
        <v>0.3</v>
      </c>
      <c r="G24" s="53">
        <v>0.3</v>
      </c>
      <c r="H24" s="93">
        <v>1</v>
      </c>
      <c r="I24" s="93">
        <v>1</v>
      </c>
      <c r="J24" s="93">
        <v>1</v>
      </c>
      <c r="K24" s="93">
        <v>1</v>
      </c>
      <c r="L24" s="93">
        <v>0.3</v>
      </c>
      <c r="M24" s="93">
        <v>0.3</v>
      </c>
      <c r="N24" s="93">
        <v>1</v>
      </c>
      <c r="O24" s="93">
        <v>1</v>
      </c>
      <c r="P24" s="93">
        <v>1</v>
      </c>
      <c r="Q24" s="53">
        <v>0.3</v>
      </c>
    </row>
    <row r="25" spans="1:17" ht="15" customHeight="1">
      <c r="A25" s="127"/>
      <c r="B25" s="93">
        <v>18</v>
      </c>
      <c r="C25" s="87">
        <f t="shared" si="0"/>
        <v>0</v>
      </c>
      <c r="D25" s="93">
        <f t="array" aca="1" ref="D25" ca="1">INDIRECT(ADDRESS(B25+ROW($D$7),MATCH($D$7,$F$7:$Q$7,0)+5))</f>
        <v>1</v>
      </c>
      <c r="E25" s="56">
        <f>报价及预中标!L19</f>
        <v>0</v>
      </c>
      <c r="F25" s="53">
        <v>0.3</v>
      </c>
      <c r="G25" s="53">
        <v>0.3</v>
      </c>
      <c r="H25" s="93">
        <v>1</v>
      </c>
      <c r="I25" s="93">
        <v>1</v>
      </c>
      <c r="J25" s="93">
        <v>1</v>
      </c>
      <c r="K25" s="93">
        <v>1</v>
      </c>
      <c r="L25" s="93">
        <v>0.3</v>
      </c>
      <c r="M25" s="93">
        <v>0.3</v>
      </c>
      <c r="N25" s="93">
        <v>1</v>
      </c>
      <c r="O25" s="93">
        <v>1</v>
      </c>
      <c r="P25" s="93">
        <v>1</v>
      </c>
      <c r="Q25" s="53">
        <v>0.3</v>
      </c>
    </row>
    <row r="26" spans="1:17" ht="15" customHeight="1">
      <c r="A26" s="127"/>
      <c r="B26" s="93">
        <v>19</v>
      </c>
      <c r="C26" s="87">
        <f t="shared" si="0"/>
        <v>0</v>
      </c>
      <c r="D26" s="93">
        <f t="array" aca="1" ref="D26" ca="1">INDIRECT(ADDRESS(B26+ROW($D$7),MATCH($D$7,$F$7:$Q$7,0)+5))</f>
        <v>1</v>
      </c>
      <c r="E26" s="56">
        <f>报价及预中标!L20</f>
        <v>0</v>
      </c>
      <c r="F26" s="53">
        <v>0.3</v>
      </c>
      <c r="G26" s="53">
        <v>0.3</v>
      </c>
      <c r="H26" s="93">
        <v>1</v>
      </c>
      <c r="I26" s="93">
        <v>1</v>
      </c>
      <c r="J26" s="93">
        <v>1</v>
      </c>
      <c r="K26" s="93">
        <v>1</v>
      </c>
      <c r="L26" s="93">
        <v>0.3</v>
      </c>
      <c r="M26" s="93">
        <v>0.3</v>
      </c>
      <c r="N26" s="93">
        <v>1</v>
      </c>
      <c r="O26" s="93">
        <v>1</v>
      </c>
      <c r="P26" s="93">
        <v>1</v>
      </c>
      <c r="Q26" s="53">
        <v>0.3</v>
      </c>
    </row>
    <row r="27" spans="1:17" ht="15" customHeight="1">
      <c r="A27" s="128"/>
      <c r="B27" s="93">
        <v>20</v>
      </c>
      <c r="C27" s="87">
        <f t="shared" si="0"/>
        <v>0</v>
      </c>
      <c r="D27" s="93">
        <f t="array" aca="1" ref="D27" ca="1">INDIRECT(ADDRESS(B27+ROW($D$7),MATCH($D$7,$F$7:$Q$7,0)+5))</f>
        <v>1</v>
      </c>
      <c r="E27" s="56">
        <f>报价及预中标!L21</f>
        <v>0</v>
      </c>
      <c r="F27" s="53">
        <v>0.3</v>
      </c>
      <c r="G27" s="53">
        <v>0.3</v>
      </c>
      <c r="H27" s="93">
        <v>1</v>
      </c>
      <c r="I27" s="93">
        <v>1</v>
      </c>
      <c r="J27" s="93">
        <v>1</v>
      </c>
      <c r="K27" s="93">
        <v>1</v>
      </c>
      <c r="L27" s="93">
        <v>0.3</v>
      </c>
      <c r="M27" s="93">
        <v>0.3</v>
      </c>
      <c r="N27" s="93">
        <v>1</v>
      </c>
      <c r="O27" s="93">
        <v>1</v>
      </c>
      <c r="P27" s="93">
        <v>1</v>
      </c>
      <c r="Q27" s="53">
        <v>0.3</v>
      </c>
    </row>
    <row r="28" spans="1:17" ht="15" customHeight="1">
      <c r="A28" s="126">
        <v>6</v>
      </c>
      <c r="B28" s="93">
        <v>21</v>
      </c>
      <c r="C28" s="87">
        <f t="shared" si="0"/>
        <v>0</v>
      </c>
      <c r="D28" s="93">
        <f t="array" aca="1" ref="D28" ca="1">INDIRECT(ADDRESS(B28+ROW($D$7),MATCH($D$7,$F$7:$Q$7,0)+5))</f>
        <v>1</v>
      </c>
      <c r="E28" s="56">
        <f>报价及预中标!L22</f>
        <v>0</v>
      </c>
      <c r="F28" s="53">
        <v>0.3</v>
      </c>
      <c r="G28" s="53">
        <v>0.3</v>
      </c>
      <c r="H28" s="93">
        <v>1</v>
      </c>
      <c r="I28" s="93">
        <v>1</v>
      </c>
      <c r="J28" s="93">
        <v>1</v>
      </c>
      <c r="K28" s="93">
        <v>1</v>
      </c>
      <c r="L28" s="93">
        <v>0.3</v>
      </c>
      <c r="M28" s="93">
        <v>0.3</v>
      </c>
      <c r="N28" s="93">
        <v>1</v>
      </c>
      <c r="O28" s="93">
        <v>1</v>
      </c>
      <c r="P28" s="93">
        <v>1</v>
      </c>
      <c r="Q28" s="53">
        <v>0.3</v>
      </c>
    </row>
    <row r="29" spans="1:17" ht="15" customHeight="1">
      <c r="A29" s="127"/>
      <c r="B29" s="93">
        <v>22</v>
      </c>
      <c r="C29" s="87">
        <f t="shared" si="0"/>
        <v>0</v>
      </c>
      <c r="D29" s="93">
        <f t="array" aca="1" ref="D29" ca="1">INDIRECT(ADDRESS(B29+ROW($D$7),MATCH($D$7,$F$7:$Q$7,0)+5))</f>
        <v>1</v>
      </c>
      <c r="E29" s="56">
        <f>报价及预中标!L23</f>
        <v>0</v>
      </c>
      <c r="F29" s="53">
        <v>0.3</v>
      </c>
      <c r="G29" s="53">
        <v>0.3</v>
      </c>
      <c r="H29" s="93">
        <v>1</v>
      </c>
      <c r="I29" s="93">
        <v>1</v>
      </c>
      <c r="J29" s="93">
        <v>1</v>
      </c>
      <c r="K29" s="93">
        <v>1</v>
      </c>
      <c r="L29" s="93">
        <v>0.3</v>
      </c>
      <c r="M29" s="93">
        <v>0.3</v>
      </c>
      <c r="N29" s="93">
        <v>1</v>
      </c>
      <c r="O29" s="93">
        <v>1</v>
      </c>
      <c r="P29" s="93">
        <v>1</v>
      </c>
      <c r="Q29" s="53">
        <v>0.3</v>
      </c>
    </row>
    <row r="30" spans="1:17" ht="15" customHeight="1">
      <c r="A30" s="127"/>
      <c r="B30" s="93">
        <v>23</v>
      </c>
      <c r="C30" s="87">
        <f t="shared" si="0"/>
        <v>0</v>
      </c>
      <c r="D30" s="93">
        <f t="array" aca="1" ref="D30" ca="1">INDIRECT(ADDRESS(B30+ROW($D$7),MATCH($D$7,$F$7:$Q$7,0)+5))</f>
        <v>1</v>
      </c>
      <c r="E30" s="56">
        <f>报价及预中标!L24</f>
        <v>0</v>
      </c>
      <c r="F30" s="53">
        <v>0.3</v>
      </c>
      <c r="G30" s="53">
        <v>0.3</v>
      </c>
      <c r="H30" s="93">
        <v>1</v>
      </c>
      <c r="I30" s="93">
        <v>1</v>
      </c>
      <c r="J30" s="93">
        <v>1</v>
      </c>
      <c r="K30" s="93">
        <v>1</v>
      </c>
      <c r="L30" s="93">
        <v>0.3</v>
      </c>
      <c r="M30" s="93">
        <v>0.3</v>
      </c>
      <c r="N30" s="93">
        <v>1</v>
      </c>
      <c r="O30" s="93">
        <v>1</v>
      </c>
      <c r="P30" s="93">
        <v>1</v>
      </c>
      <c r="Q30" s="53">
        <v>0.3</v>
      </c>
    </row>
    <row r="31" spans="1:17" ht="15" customHeight="1">
      <c r="A31" s="128"/>
      <c r="B31" s="93">
        <v>24</v>
      </c>
      <c r="C31" s="87">
        <f t="shared" si="0"/>
        <v>0</v>
      </c>
      <c r="D31" s="93">
        <f t="array" aca="1" ref="D31" ca="1">INDIRECT(ADDRESS(B31+ROW($D$7),MATCH($D$7,$F$7:$Q$7,0)+5))</f>
        <v>1</v>
      </c>
      <c r="E31" s="56">
        <f>报价及预中标!L25</f>
        <v>0</v>
      </c>
      <c r="F31" s="53">
        <v>0.3</v>
      </c>
      <c r="G31" s="53">
        <v>0.3</v>
      </c>
      <c r="H31" s="93">
        <v>1</v>
      </c>
      <c r="I31" s="93">
        <v>1</v>
      </c>
      <c r="J31" s="93">
        <v>1</v>
      </c>
      <c r="K31" s="93">
        <v>1</v>
      </c>
      <c r="L31" s="93">
        <v>0.3</v>
      </c>
      <c r="M31" s="93">
        <v>0.3</v>
      </c>
      <c r="N31" s="93">
        <v>1</v>
      </c>
      <c r="O31" s="93">
        <v>1</v>
      </c>
      <c r="P31" s="93">
        <v>1</v>
      </c>
      <c r="Q31" s="53">
        <v>0.3</v>
      </c>
    </row>
    <row r="32" spans="1:17" ht="15" customHeight="1">
      <c r="A32" s="126">
        <v>7</v>
      </c>
      <c r="B32" s="93">
        <v>25</v>
      </c>
      <c r="C32" s="87">
        <f t="shared" si="0"/>
        <v>0</v>
      </c>
      <c r="D32" s="93">
        <f t="array" aca="1" ref="D32" ca="1">INDIRECT(ADDRESS(B32+ROW($D$7),MATCH($D$7,$F$7:$Q$7,0)+5))</f>
        <v>1</v>
      </c>
      <c r="E32" s="56">
        <f>报价及预中标!L26</f>
        <v>0</v>
      </c>
      <c r="F32" s="53">
        <v>1.7</v>
      </c>
      <c r="G32" s="53">
        <v>1.7</v>
      </c>
      <c r="H32" s="93">
        <v>1</v>
      </c>
      <c r="I32" s="93">
        <v>1</v>
      </c>
      <c r="J32" s="93">
        <v>1</v>
      </c>
      <c r="K32" s="93">
        <v>0.3</v>
      </c>
      <c r="L32" s="93">
        <v>1</v>
      </c>
      <c r="M32" s="93">
        <v>1</v>
      </c>
      <c r="N32" s="93">
        <v>1</v>
      </c>
      <c r="O32" s="93">
        <v>1</v>
      </c>
      <c r="P32" s="93">
        <v>1</v>
      </c>
      <c r="Q32" s="53">
        <v>1.7</v>
      </c>
    </row>
    <row r="33" spans="1:17" ht="15" customHeight="1">
      <c r="A33" s="127"/>
      <c r="B33" s="93">
        <v>26</v>
      </c>
      <c r="C33" s="87">
        <f t="shared" si="0"/>
        <v>0</v>
      </c>
      <c r="D33" s="93">
        <f t="array" aca="1" ref="D33" ca="1">INDIRECT(ADDRESS(B33+ROW($D$7),MATCH($D$7,$F$7:$Q$7,0)+5))</f>
        <v>1</v>
      </c>
      <c r="E33" s="56">
        <f>报价及预中标!L27</f>
        <v>0</v>
      </c>
      <c r="F33" s="53">
        <v>1.7</v>
      </c>
      <c r="G33" s="53">
        <v>1.7</v>
      </c>
      <c r="H33" s="93">
        <v>1</v>
      </c>
      <c r="I33" s="93">
        <v>1</v>
      </c>
      <c r="J33" s="93">
        <v>1</v>
      </c>
      <c r="K33" s="93">
        <v>0.3</v>
      </c>
      <c r="L33" s="93">
        <v>1</v>
      </c>
      <c r="M33" s="93">
        <v>1</v>
      </c>
      <c r="N33" s="93">
        <v>1</v>
      </c>
      <c r="O33" s="93">
        <v>1</v>
      </c>
      <c r="P33" s="93">
        <v>1</v>
      </c>
      <c r="Q33" s="53">
        <v>1.7</v>
      </c>
    </row>
    <row r="34" spans="1:17" ht="15" customHeight="1">
      <c r="A34" s="127"/>
      <c r="B34" s="93">
        <v>27</v>
      </c>
      <c r="C34" s="87">
        <f t="shared" si="0"/>
        <v>0</v>
      </c>
      <c r="D34" s="93">
        <f t="array" aca="1" ref="D34" ca="1">INDIRECT(ADDRESS(B34+ROW($D$7),MATCH($D$7,$F$7:$Q$7,0)+5))</f>
        <v>1</v>
      </c>
      <c r="E34" s="56">
        <f>报价及预中标!L28</f>
        <v>0</v>
      </c>
      <c r="F34" s="53">
        <v>1.7</v>
      </c>
      <c r="G34" s="53">
        <v>1.7</v>
      </c>
      <c r="H34" s="93">
        <v>1</v>
      </c>
      <c r="I34" s="93">
        <v>1</v>
      </c>
      <c r="J34" s="93">
        <v>1</v>
      </c>
      <c r="K34" s="93">
        <v>0.3</v>
      </c>
      <c r="L34" s="93">
        <v>1</v>
      </c>
      <c r="M34" s="93">
        <v>1</v>
      </c>
      <c r="N34" s="93">
        <v>1</v>
      </c>
      <c r="O34" s="93">
        <v>1</v>
      </c>
      <c r="P34" s="93">
        <v>1</v>
      </c>
      <c r="Q34" s="53">
        <v>1.7</v>
      </c>
    </row>
    <row r="35" spans="1:17" ht="15" customHeight="1">
      <c r="A35" s="128"/>
      <c r="B35" s="93">
        <v>28</v>
      </c>
      <c r="C35" s="87">
        <f t="shared" si="0"/>
        <v>0</v>
      </c>
      <c r="D35" s="93">
        <f t="array" aca="1" ref="D35" ca="1">INDIRECT(ADDRESS(B35+ROW($D$7),MATCH($D$7,$F$7:$Q$7,0)+5))</f>
        <v>1</v>
      </c>
      <c r="E35" s="56">
        <f>报价及预中标!L29</f>
        <v>0</v>
      </c>
      <c r="F35" s="53">
        <v>1.7</v>
      </c>
      <c r="G35" s="53">
        <v>1.7</v>
      </c>
      <c r="H35" s="93">
        <v>1</v>
      </c>
      <c r="I35" s="93">
        <v>1</v>
      </c>
      <c r="J35" s="93">
        <v>1</v>
      </c>
      <c r="K35" s="93">
        <v>0.3</v>
      </c>
      <c r="L35" s="93">
        <v>1</v>
      </c>
      <c r="M35" s="93">
        <v>1</v>
      </c>
      <c r="N35" s="93">
        <v>1</v>
      </c>
      <c r="O35" s="93">
        <v>1</v>
      </c>
      <c r="P35" s="93">
        <v>1</v>
      </c>
      <c r="Q35" s="53">
        <v>1.7</v>
      </c>
    </row>
    <row r="36" spans="1:17" ht="15" customHeight="1">
      <c r="A36" s="126">
        <v>8</v>
      </c>
      <c r="B36" s="93">
        <v>29</v>
      </c>
      <c r="C36" s="87">
        <f t="shared" si="0"/>
        <v>0</v>
      </c>
      <c r="D36" s="93">
        <f t="array" aca="1" ref="D36" ca="1">INDIRECT(ADDRESS(B36+ROW($D$7),MATCH($D$7,$F$7:$Q$7,0)+5))</f>
        <v>1</v>
      </c>
      <c r="E36" s="56">
        <f>报价及预中标!L30</f>
        <v>0</v>
      </c>
      <c r="F36" s="53">
        <v>1.7</v>
      </c>
      <c r="G36" s="53">
        <v>1.7</v>
      </c>
      <c r="H36" s="93">
        <v>1</v>
      </c>
      <c r="I36" s="93">
        <v>1</v>
      </c>
      <c r="J36" s="93">
        <v>1</v>
      </c>
      <c r="K36" s="93">
        <v>0.3</v>
      </c>
      <c r="L36" s="93">
        <v>1</v>
      </c>
      <c r="M36" s="93">
        <v>1</v>
      </c>
      <c r="N36" s="93">
        <v>1</v>
      </c>
      <c r="O36" s="93">
        <v>1</v>
      </c>
      <c r="P36" s="93">
        <v>1</v>
      </c>
      <c r="Q36" s="53">
        <v>1.7</v>
      </c>
    </row>
    <row r="37" spans="1:17" ht="15" customHeight="1">
      <c r="A37" s="127"/>
      <c r="B37" s="93">
        <v>30</v>
      </c>
      <c r="C37" s="87">
        <f t="shared" si="0"/>
        <v>0</v>
      </c>
      <c r="D37" s="93">
        <f t="array" aca="1" ref="D37" ca="1">INDIRECT(ADDRESS(B37+ROW($D$7),MATCH($D$7,$F$7:$Q$7,0)+5))</f>
        <v>1</v>
      </c>
      <c r="E37" s="56">
        <f>报价及预中标!L31</f>
        <v>0</v>
      </c>
      <c r="F37" s="53">
        <v>1.7</v>
      </c>
      <c r="G37" s="53">
        <v>1.7</v>
      </c>
      <c r="H37" s="93">
        <v>1</v>
      </c>
      <c r="I37" s="93">
        <v>1</v>
      </c>
      <c r="J37" s="93">
        <v>1</v>
      </c>
      <c r="K37" s="93">
        <v>0.3</v>
      </c>
      <c r="L37" s="93">
        <v>1</v>
      </c>
      <c r="M37" s="93">
        <v>1</v>
      </c>
      <c r="N37" s="93">
        <v>1</v>
      </c>
      <c r="O37" s="93">
        <v>1</v>
      </c>
      <c r="P37" s="93">
        <v>1</v>
      </c>
      <c r="Q37" s="53">
        <v>1.7</v>
      </c>
    </row>
    <row r="38" spans="1:17" ht="15" customHeight="1">
      <c r="A38" s="127"/>
      <c r="B38" s="93">
        <v>31</v>
      </c>
      <c r="C38" s="87">
        <f t="shared" si="0"/>
        <v>0</v>
      </c>
      <c r="D38" s="93">
        <f t="array" aca="1" ref="D38" ca="1">INDIRECT(ADDRESS(B38+ROW($D$7),MATCH($D$7,$F$7:$Q$7,0)+5))</f>
        <v>1</v>
      </c>
      <c r="E38" s="56">
        <f>报价及预中标!L32</f>
        <v>0</v>
      </c>
      <c r="F38" s="53">
        <v>1.7</v>
      </c>
      <c r="G38" s="53">
        <v>1.7</v>
      </c>
      <c r="H38" s="93">
        <v>1</v>
      </c>
      <c r="I38" s="93">
        <v>1</v>
      </c>
      <c r="J38" s="93">
        <v>1</v>
      </c>
      <c r="K38" s="93">
        <v>0.3</v>
      </c>
      <c r="L38" s="93">
        <v>1</v>
      </c>
      <c r="M38" s="93">
        <v>1</v>
      </c>
      <c r="N38" s="93">
        <v>1</v>
      </c>
      <c r="O38" s="93">
        <v>1</v>
      </c>
      <c r="P38" s="93">
        <v>1</v>
      </c>
      <c r="Q38" s="53">
        <v>1.7</v>
      </c>
    </row>
    <row r="39" spans="1:17" ht="15" customHeight="1">
      <c r="A39" s="128"/>
      <c r="B39" s="93">
        <v>32</v>
      </c>
      <c r="C39" s="87">
        <f t="shared" si="0"/>
        <v>0</v>
      </c>
      <c r="D39" s="93">
        <f t="array" aca="1" ref="D39" ca="1">INDIRECT(ADDRESS(B39+ROW($D$7),MATCH($D$7,$F$7:$Q$7,0)+5))</f>
        <v>1</v>
      </c>
      <c r="E39" s="56">
        <f>报价及预中标!L33</f>
        <v>0</v>
      </c>
      <c r="F39" s="53">
        <v>1.7</v>
      </c>
      <c r="G39" s="53">
        <v>1.7</v>
      </c>
      <c r="H39" s="93">
        <v>1</v>
      </c>
      <c r="I39" s="93">
        <v>1</v>
      </c>
      <c r="J39" s="93">
        <v>1</v>
      </c>
      <c r="K39" s="93">
        <v>0.3</v>
      </c>
      <c r="L39" s="93">
        <v>1</v>
      </c>
      <c r="M39" s="93">
        <v>1</v>
      </c>
      <c r="N39" s="93">
        <v>1</v>
      </c>
      <c r="O39" s="93">
        <v>1</v>
      </c>
      <c r="P39" s="93">
        <v>1</v>
      </c>
      <c r="Q39" s="53">
        <v>1.7</v>
      </c>
    </row>
    <row r="40" spans="1:17" ht="15" customHeight="1">
      <c r="A40" s="126">
        <v>9</v>
      </c>
      <c r="B40" s="93">
        <v>33</v>
      </c>
      <c r="C40" s="87">
        <f t="shared" ref="C40:C71" si="1">IF(E40&lt;0,1,0)</f>
        <v>0</v>
      </c>
      <c r="D40" s="93">
        <f t="array" aca="1" ref="D40" ca="1">INDIRECT(ADDRESS(B40+ROW($D$7),MATCH($D$7,$F$7:$Q$7,0)+5))</f>
        <v>1</v>
      </c>
      <c r="E40" s="56">
        <f>报价及预中标!L34</f>
        <v>0</v>
      </c>
      <c r="F40" s="53">
        <v>1.7</v>
      </c>
      <c r="G40" s="53">
        <v>1.7</v>
      </c>
      <c r="H40" s="93">
        <v>1</v>
      </c>
      <c r="I40" s="93">
        <v>1</v>
      </c>
      <c r="J40" s="93">
        <v>1</v>
      </c>
      <c r="K40" s="93">
        <v>0.3</v>
      </c>
      <c r="L40" s="93">
        <v>1</v>
      </c>
      <c r="M40" s="93">
        <v>1</v>
      </c>
      <c r="N40" s="93">
        <v>1</v>
      </c>
      <c r="O40" s="93">
        <v>1</v>
      </c>
      <c r="P40" s="93">
        <v>1</v>
      </c>
      <c r="Q40" s="53">
        <v>1.7</v>
      </c>
    </row>
    <row r="41" spans="1:17" ht="15" customHeight="1">
      <c r="A41" s="127"/>
      <c r="B41" s="93">
        <v>34</v>
      </c>
      <c r="C41" s="87">
        <f t="shared" si="1"/>
        <v>0</v>
      </c>
      <c r="D41" s="93">
        <f t="array" aca="1" ref="D41" ca="1">INDIRECT(ADDRESS(B41+ROW($D$7),MATCH($D$7,$F$7:$Q$7,0)+5))</f>
        <v>1</v>
      </c>
      <c r="E41" s="56">
        <f>报价及预中标!L35</f>
        <v>0</v>
      </c>
      <c r="F41" s="53">
        <v>1.7</v>
      </c>
      <c r="G41" s="53">
        <v>1.7</v>
      </c>
      <c r="H41" s="93">
        <v>1</v>
      </c>
      <c r="I41" s="93">
        <v>1</v>
      </c>
      <c r="J41" s="93">
        <v>1</v>
      </c>
      <c r="K41" s="93">
        <v>0.3</v>
      </c>
      <c r="L41" s="93">
        <v>1</v>
      </c>
      <c r="M41" s="93">
        <v>1</v>
      </c>
      <c r="N41" s="93">
        <v>1</v>
      </c>
      <c r="O41" s="93">
        <v>1</v>
      </c>
      <c r="P41" s="93">
        <v>1</v>
      </c>
      <c r="Q41" s="53">
        <v>1.7</v>
      </c>
    </row>
    <row r="42" spans="1:17" ht="15" customHeight="1">
      <c r="A42" s="127"/>
      <c r="B42" s="93">
        <v>35</v>
      </c>
      <c r="C42" s="87">
        <f t="shared" si="1"/>
        <v>0</v>
      </c>
      <c r="D42" s="93">
        <f t="array" aca="1" ref="D42" ca="1">INDIRECT(ADDRESS(B42+ROW($D$7),MATCH($D$7,$F$7:$Q$7,0)+5))</f>
        <v>1</v>
      </c>
      <c r="E42" s="56">
        <f>报价及预中标!L36</f>
        <v>0</v>
      </c>
      <c r="F42" s="53">
        <v>1.7</v>
      </c>
      <c r="G42" s="53">
        <v>1.7</v>
      </c>
      <c r="H42" s="93">
        <v>1</v>
      </c>
      <c r="I42" s="93">
        <v>1</v>
      </c>
      <c r="J42" s="93">
        <v>1</v>
      </c>
      <c r="K42" s="93">
        <v>0.3</v>
      </c>
      <c r="L42" s="93">
        <v>1</v>
      </c>
      <c r="M42" s="93">
        <v>1</v>
      </c>
      <c r="N42" s="93">
        <v>1</v>
      </c>
      <c r="O42" s="93">
        <v>1</v>
      </c>
      <c r="P42" s="93">
        <v>1</v>
      </c>
      <c r="Q42" s="53">
        <v>1.7</v>
      </c>
    </row>
    <row r="43" spans="1:17" ht="15" customHeight="1">
      <c r="A43" s="128"/>
      <c r="B43" s="93">
        <v>36</v>
      </c>
      <c r="C43" s="87">
        <f t="shared" si="1"/>
        <v>0</v>
      </c>
      <c r="D43" s="93">
        <f t="array" aca="1" ref="D43" ca="1">INDIRECT(ADDRESS(B43+ROW($D$7),MATCH($D$7,$F$7:$Q$7,0)+5))</f>
        <v>1</v>
      </c>
      <c r="E43" s="56">
        <f>报价及预中标!L37</f>
        <v>0</v>
      </c>
      <c r="F43" s="53">
        <v>1.7</v>
      </c>
      <c r="G43" s="53">
        <v>1.7</v>
      </c>
      <c r="H43" s="93">
        <v>1</v>
      </c>
      <c r="I43" s="93">
        <v>1</v>
      </c>
      <c r="J43" s="93">
        <v>1</v>
      </c>
      <c r="K43" s="93">
        <v>0.3</v>
      </c>
      <c r="L43" s="93">
        <v>1</v>
      </c>
      <c r="M43" s="93">
        <v>1</v>
      </c>
      <c r="N43" s="93">
        <v>1</v>
      </c>
      <c r="O43" s="93">
        <v>1</v>
      </c>
      <c r="P43" s="93">
        <v>1</v>
      </c>
      <c r="Q43" s="53">
        <v>1.7</v>
      </c>
    </row>
    <row r="44" spans="1:17" ht="15" customHeight="1">
      <c r="A44" s="126">
        <v>10</v>
      </c>
      <c r="B44" s="93">
        <v>37</v>
      </c>
      <c r="C44" s="87">
        <f t="shared" si="1"/>
        <v>0</v>
      </c>
      <c r="D44" s="93">
        <f t="array" aca="1" ref="D44" ca="1">INDIRECT(ADDRESS(B44+ROW($D$7),MATCH($D$7,$F$7:$Q$7,0)+5))</f>
        <v>0.3</v>
      </c>
      <c r="E44" s="56">
        <f>报价及预中标!L38</f>
        <v>0</v>
      </c>
      <c r="F44" s="53">
        <v>0.3</v>
      </c>
      <c r="G44" s="53">
        <v>0.3</v>
      </c>
      <c r="H44" s="93">
        <v>0.3</v>
      </c>
      <c r="I44" s="93">
        <v>0.3</v>
      </c>
      <c r="J44" s="93">
        <v>0.3</v>
      </c>
      <c r="K44" s="93">
        <v>0.3</v>
      </c>
      <c r="L44" s="93">
        <v>1</v>
      </c>
      <c r="M44" s="93">
        <v>1</v>
      </c>
      <c r="N44" s="93">
        <v>0.3</v>
      </c>
      <c r="O44" s="93">
        <v>0.3</v>
      </c>
      <c r="P44" s="93">
        <v>0.3</v>
      </c>
      <c r="Q44" s="53">
        <v>0.3</v>
      </c>
    </row>
    <row r="45" spans="1:17" ht="15" customHeight="1">
      <c r="A45" s="127"/>
      <c r="B45" s="93">
        <v>38</v>
      </c>
      <c r="C45" s="87">
        <f t="shared" si="1"/>
        <v>0</v>
      </c>
      <c r="D45" s="93">
        <f t="array" aca="1" ref="D45" ca="1">INDIRECT(ADDRESS(B45+ROW($D$7),MATCH($D$7,$F$7:$Q$7,0)+5))</f>
        <v>0.3</v>
      </c>
      <c r="E45" s="56">
        <f>报价及预中标!L39</f>
        <v>0</v>
      </c>
      <c r="F45" s="53">
        <v>0.3</v>
      </c>
      <c r="G45" s="53">
        <v>0.3</v>
      </c>
      <c r="H45" s="93">
        <v>0.3</v>
      </c>
      <c r="I45" s="93">
        <v>0.3</v>
      </c>
      <c r="J45" s="93">
        <v>0.3</v>
      </c>
      <c r="K45" s="93">
        <v>0.3</v>
      </c>
      <c r="L45" s="93">
        <v>1</v>
      </c>
      <c r="M45" s="93">
        <v>1</v>
      </c>
      <c r="N45" s="93">
        <v>0.3</v>
      </c>
      <c r="O45" s="93">
        <v>0.3</v>
      </c>
      <c r="P45" s="93">
        <v>0.3</v>
      </c>
      <c r="Q45" s="53">
        <v>0.3</v>
      </c>
    </row>
    <row r="46" spans="1:17" ht="15" customHeight="1">
      <c r="A46" s="127"/>
      <c r="B46" s="93">
        <v>39</v>
      </c>
      <c r="C46" s="87">
        <f t="shared" si="1"/>
        <v>0</v>
      </c>
      <c r="D46" s="93">
        <f t="array" aca="1" ref="D46" ca="1">INDIRECT(ADDRESS(B46+ROW($D$7),MATCH($D$7,$F$7:$Q$7,0)+5))</f>
        <v>0.3</v>
      </c>
      <c r="E46" s="56">
        <f>报价及预中标!L40</f>
        <v>0</v>
      </c>
      <c r="F46" s="53">
        <v>0.3</v>
      </c>
      <c r="G46" s="53">
        <v>0.3</v>
      </c>
      <c r="H46" s="93">
        <v>0.3</v>
      </c>
      <c r="I46" s="93">
        <v>0.3</v>
      </c>
      <c r="J46" s="93">
        <v>0.3</v>
      </c>
      <c r="K46" s="93">
        <v>0.3</v>
      </c>
      <c r="L46" s="93">
        <v>1</v>
      </c>
      <c r="M46" s="93">
        <v>1</v>
      </c>
      <c r="N46" s="93">
        <v>0.3</v>
      </c>
      <c r="O46" s="93">
        <v>0.3</v>
      </c>
      <c r="P46" s="93">
        <v>0.3</v>
      </c>
      <c r="Q46" s="53">
        <v>0.3</v>
      </c>
    </row>
    <row r="47" spans="1:17" ht="15" customHeight="1">
      <c r="A47" s="128"/>
      <c r="B47" s="93">
        <v>40</v>
      </c>
      <c r="C47" s="87">
        <f t="shared" si="1"/>
        <v>0</v>
      </c>
      <c r="D47" s="93">
        <f t="array" aca="1" ref="D47" ca="1">INDIRECT(ADDRESS(B47+ROW($D$7),MATCH($D$7,$F$7:$Q$7,0)+5))</f>
        <v>0.3</v>
      </c>
      <c r="E47" s="56">
        <f>报价及预中标!L41</f>
        <v>0</v>
      </c>
      <c r="F47" s="53">
        <v>0.3</v>
      </c>
      <c r="G47" s="53">
        <v>0.3</v>
      </c>
      <c r="H47" s="93">
        <v>0.3</v>
      </c>
      <c r="I47" s="93">
        <v>0.3</v>
      </c>
      <c r="J47" s="93">
        <v>0.3</v>
      </c>
      <c r="K47" s="93">
        <v>0.3</v>
      </c>
      <c r="L47" s="93">
        <v>1</v>
      </c>
      <c r="M47" s="93">
        <v>1</v>
      </c>
      <c r="N47" s="93">
        <v>0.3</v>
      </c>
      <c r="O47" s="93">
        <v>0.3</v>
      </c>
      <c r="P47" s="93">
        <v>0.3</v>
      </c>
      <c r="Q47" s="53">
        <v>0.3</v>
      </c>
    </row>
    <row r="48" spans="1:17" ht="15" customHeight="1">
      <c r="A48" s="126">
        <v>11</v>
      </c>
      <c r="B48" s="93">
        <v>41</v>
      </c>
      <c r="C48" s="87">
        <f t="shared" si="1"/>
        <v>0</v>
      </c>
      <c r="D48" s="93">
        <f t="array" aca="1" ref="D48" ca="1">INDIRECT(ADDRESS(B48+ROW($D$7),MATCH($D$7,$F$7:$Q$7,0)+5))</f>
        <v>0.1</v>
      </c>
      <c r="E48" s="56">
        <f>报价及预中标!L42</f>
        <v>0</v>
      </c>
      <c r="F48" s="53">
        <v>0.1</v>
      </c>
      <c r="G48" s="53">
        <v>0.1</v>
      </c>
      <c r="H48" s="93">
        <v>0.1</v>
      </c>
      <c r="I48" s="93">
        <v>0.1</v>
      </c>
      <c r="J48" s="93">
        <v>0.1</v>
      </c>
      <c r="K48" s="93">
        <v>0.3</v>
      </c>
      <c r="L48" s="93">
        <v>1</v>
      </c>
      <c r="M48" s="93">
        <v>1</v>
      </c>
      <c r="N48" s="93">
        <v>0.1</v>
      </c>
      <c r="O48" s="93">
        <v>0.1</v>
      </c>
      <c r="P48" s="93">
        <v>0.1</v>
      </c>
      <c r="Q48" s="53">
        <v>0.1</v>
      </c>
    </row>
    <row r="49" spans="1:17" ht="15" customHeight="1">
      <c r="A49" s="127"/>
      <c r="B49" s="93">
        <v>42</v>
      </c>
      <c r="C49" s="87">
        <f t="shared" si="1"/>
        <v>0</v>
      </c>
      <c r="D49" s="93">
        <f t="array" aca="1" ref="D49" ca="1">INDIRECT(ADDRESS(B49+ROW($D$7),MATCH($D$7,$F$7:$Q$7,0)+5))</f>
        <v>0.1</v>
      </c>
      <c r="E49" s="56">
        <f>报价及预中标!L43</f>
        <v>0</v>
      </c>
      <c r="F49" s="53">
        <v>0.1</v>
      </c>
      <c r="G49" s="53">
        <v>0.1</v>
      </c>
      <c r="H49" s="93">
        <v>0.1</v>
      </c>
      <c r="I49" s="93">
        <v>0.1</v>
      </c>
      <c r="J49" s="93">
        <v>0.1</v>
      </c>
      <c r="K49" s="93">
        <v>0.3</v>
      </c>
      <c r="L49" s="93">
        <v>1</v>
      </c>
      <c r="M49" s="93">
        <v>1</v>
      </c>
      <c r="N49" s="93">
        <v>0.1</v>
      </c>
      <c r="O49" s="93">
        <v>0.1</v>
      </c>
      <c r="P49" s="93">
        <v>0.1</v>
      </c>
      <c r="Q49" s="53">
        <v>0.1</v>
      </c>
    </row>
    <row r="50" spans="1:17" ht="15" customHeight="1">
      <c r="A50" s="127"/>
      <c r="B50" s="93">
        <v>43</v>
      </c>
      <c r="C50" s="87">
        <f t="shared" si="1"/>
        <v>0</v>
      </c>
      <c r="D50" s="93">
        <f t="array" aca="1" ref="D50" ca="1">INDIRECT(ADDRESS(B50+ROW($D$7),MATCH($D$7,$F$7:$Q$7,0)+5))</f>
        <v>0.1</v>
      </c>
      <c r="E50" s="56">
        <f>报价及预中标!L44</f>
        <v>0</v>
      </c>
      <c r="F50" s="53">
        <v>0.1</v>
      </c>
      <c r="G50" s="53">
        <v>0.1</v>
      </c>
      <c r="H50" s="93">
        <v>0.1</v>
      </c>
      <c r="I50" s="93">
        <v>0.1</v>
      </c>
      <c r="J50" s="93">
        <v>0.1</v>
      </c>
      <c r="K50" s="93">
        <v>0.3</v>
      </c>
      <c r="L50" s="93">
        <v>1</v>
      </c>
      <c r="M50" s="93">
        <v>1</v>
      </c>
      <c r="N50" s="93">
        <v>0.1</v>
      </c>
      <c r="O50" s="93">
        <v>0.1</v>
      </c>
      <c r="P50" s="93">
        <v>0.1</v>
      </c>
      <c r="Q50" s="53">
        <v>0.1</v>
      </c>
    </row>
    <row r="51" spans="1:17" ht="15" customHeight="1">
      <c r="A51" s="128"/>
      <c r="B51" s="93">
        <v>44</v>
      </c>
      <c r="C51" s="87">
        <f t="shared" si="1"/>
        <v>1</v>
      </c>
      <c r="D51" s="93">
        <f t="array" aca="1" ref="D51" ca="1">INDIRECT(ADDRESS(B51+ROW($D$7),MATCH($D$7,$F$7:$Q$7,0)+5))</f>
        <v>0.1</v>
      </c>
      <c r="E51" s="56">
        <f>报价及预中标!L45</f>
        <v>-70.56</v>
      </c>
      <c r="F51" s="53">
        <v>0.1</v>
      </c>
      <c r="G51" s="53">
        <v>0.1</v>
      </c>
      <c r="H51" s="93">
        <v>0.1</v>
      </c>
      <c r="I51" s="93">
        <v>0.1</v>
      </c>
      <c r="J51" s="93">
        <v>0.1</v>
      </c>
      <c r="K51" s="93">
        <v>0.3</v>
      </c>
      <c r="L51" s="93">
        <v>1</v>
      </c>
      <c r="M51" s="93">
        <v>1</v>
      </c>
      <c r="N51" s="93">
        <v>0.1</v>
      </c>
      <c r="O51" s="93">
        <v>0.1</v>
      </c>
      <c r="P51" s="93">
        <v>0.1</v>
      </c>
      <c r="Q51" s="53">
        <v>0.1</v>
      </c>
    </row>
    <row r="52" spans="1:17" ht="15" customHeight="1">
      <c r="A52" s="126">
        <v>12</v>
      </c>
      <c r="B52" s="93">
        <v>45</v>
      </c>
      <c r="C52" s="87">
        <f t="shared" si="1"/>
        <v>1</v>
      </c>
      <c r="D52" s="93">
        <f t="array" aca="1" ref="D52" ca="1">INDIRECT(ADDRESS(B52+ROW($D$7),MATCH($D$7,$F$7:$Q$7,0)+5))</f>
        <v>0.1</v>
      </c>
      <c r="E52" s="56">
        <f>报价及预中标!L46</f>
        <v>-70.56</v>
      </c>
      <c r="F52" s="53">
        <v>0.1</v>
      </c>
      <c r="G52" s="53">
        <v>0.1</v>
      </c>
      <c r="H52" s="93">
        <v>0.1</v>
      </c>
      <c r="I52" s="93">
        <v>0.1</v>
      </c>
      <c r="J52" s="93">
        <v>0.1</v>
      </c>
      <c r="K52" s="93">
        <v>0.3</v>
      </c>
      <c r="L52" s="93">
        <v>1</v>
      </c>
      <c r="M52" s="93">
        <v>1</v>
      </c>
      <c r="N52" s="93">
        <v>0.1</v>
      </c>
      <c r="O52" s="93">
        <v>0.1</v>
      </c>
      <c r="P52" s="93">
        <v>0.1</v>
      </c>
      <c r="Q52" s="53">
        <v>0.1</v>
      </c>
    </row>
    <row r="53" spans="1:17" ht="15" customHeight="1">
      <c r="A53" s="127"/>
      <c r="B53" s="93">
        <v>46</v>
      </c>
      <c r="C53" s="87">
        <f t="shared" si="1"/>
        <v>1</v>
      </c>
      <c r="D53" s="93">
        <f t="array" aca="1" ref="D53" ca="1">INDIRECT(ADDRESS(B53+ROW($D$7),MATCH($D$7,$F$7:$Q$7,0)+5))</f>
        <v>0.1</v>
      </c>
      <c r="E53" s="56">
        <f>报价及预中标!L47</f>
        <v>-70.56</v>
      </c>
      <c r="F53" s="53">
        <v>0.1</v>
      </c>
      <c r="G53" s="53">
        <v>0.1</v>
      </c>
      <c r="H53" s="93">
        <v>0.1</v>
      </c>
      <c r="I53" s="93">
        <v>0.1</v>
      </c>
      <c r="J53" s="93">
        <v>0.1</v>
      </c>
      <c r="K53" s="93">
        <v>0.3</v>
      </c>
      <c r="L53" s="93">
        <v>1</v>
      </c>
      <c r="M53" s="93">
        <v>1</v>
      </c>
      <c r="N53" s="93">
        <v>0.1</v>
      </c>
      <c r="O53" s="93">
        <v>0.1</v>
      </c>
      <c r="P53" s="93">
        <v>0.1</v>
      </c>
      <c r="Q53" s="53">
        <v>0.1</v>
      </c>
    </row>
    <row r="54" spans="1:17" ht="15" customHeight="1">
      <c r="A54" s="127"/>
      <c r="B54" s="93">
        <v>47</v>
      </c>
      <c r="C54" s="87">
        <f t="shared" si="1"/>
        <v>1</v>
      </c>
      <c r="D54" s="93">
        <f t="array" aca="1" ref="D54" ca="1">INDIRECT(ADDRESS(B54+ROW($D$7),MATCH($D$7,$F$7:$Q$7,0)+5))</f>
        <v>0.1</v>
      </c>
      <c r="E54" s="56">
        <f>报价及预中标!L48</f>
        <v>-95</v>
      </c>
      <c r="F54" s="53">
        <v>0.1</v>
      </c>
      <c r="G54" s="53">
        <v>0.1</v>
      </c>
      <c r="H54" s="93">
        <v>0.1</v>
      </c>
      <c r="I54" s="93">
        <v>0.1</v>
      </c>
      <c r="J54" s="93">
        <v>0.1</v>
      </c>
      <c r="K54" s="93">
        <v>0.3</v>
      </c>
      <c r="L54" s="93">
        <v>1</v>
      </c>
      <c r="M54" s="93">
        <v>1</v>
      </c>
      <c r="N54" s="93">
        <v>0.1</v>
      </c>
      <c r="O54" s="93">
        <v>0.1</v>
      </c>
      <c r="P54" s="93">
        <v>0.1</v>
      </c>
      <c r="Q54" s="53">
        <v>0.1</v>
      </c>
    </row>
    <row r="55" spans="1:17" ht="15" customHeight="1">
      <c r="A55" s="128"/>
      <c r="B55" s="93">
        <v>48</v>
      </c>
      <c r="C55" s="87">
        <f t="shared" si="1"/>
        <v>1</v>
      </c>
      <c r="D55" s="93">
        <f t="array" aca="1" ref="D55" ca="1">INDIRECT(ADDRESS(B55+ROW($D$7),MATCH($D$7,$F$7:$Q$7,0)+5))</f>
        <v>0.1</v>
      </c>
      <c r="E55" s="56">
        <f>报价及预中标!L49</f>
        <v>-95</v>
      </c>
      <c r="F55" s="53">
        <v>0.1</v>
      </c>
      <c r="G55" s="53">
        <v>0.1</v>
      </c>
      <c r="H55" s="93">
        <v>0.1</v>
      </c>
      <c r="I55" s="93">
        <v>0.1</v>
      </c>
      <c r="J55" s="93">
        <v>0.1</v>
      </c>
      <c r="K55" s="93">
        <v>0.3</v>
      </c>
      <c r="L55" s="93">
        <v>1</v>
      </c>
      <c r="M55" s="93">
        <v>1</v>
      </c>
      <c r="N55" s="93">
        <v>0.1</v>
      </c>
      <c r="O55" s="93">
        <v>0.1</v>
      </c>
      <c r="P55" s="93">
        <v>0.1</v>
      </c>
      <c r="Q55" s="53">
        <v>0.1</v>
      </c>
    </row>
    <row r="56" spans="1:17" ht="15" customHeight="1">
      <c r="A56" s="126">
        <v>13</v>
      </c>
      <c r="B56" s="93">
        <v>49</v>
      </c>
      <c r="C56" s="87">
        <f t="shared" si="1"/>
        <v>1</v>
      </c>
      <c r="D56" s="93">
        <f t="array" aca="1" ref="D56" ca="1">INDIRECT(ADDRESS(B56+ROW($D$7),MATCH($D$7,$F$7:$Q$7,0)+5))</f>
        <v>0.1</v>
      </c>
      <c r="E56" s="56">
        <f>报价及预中标!L50</f>
        <v>-95</v>
      </c>
      <c r="F56" s="53">
        <v>0.1</v>
      </c>
      <c r="G56" s="53">
        <v>0.1</v>
      </c>
      <c r="H56" s="93">
        <v>0.1</v>
      </c>
      <c r="I56" s="93">
        <v>0.1</v>
      </c>
      <c r="J56" s="93">
        <v>0.1</v>
      </c>
      <c r="K56" s="93">
        <v>1</v>
      </c>
      <c r="L56" s="93">
        <v>1</v>
      </c>
      <c r="M56" s="93">
        <v>1</v>
      </c>
      <c r="N56" s="93">
        <v>0.1</v>
      </c>
      <c r="O56" s="93">
        <v>0.1</v>
      </c>
      <c r="P56" s="93">
        <v>0.1</v>
      </c>
      <c r="Q56" s="53">
        <v>0.1</v>
      </c>
    </row>
    <row r="57" spans="1:17" ht="15" customHeight="1">
      <c r="A57" s="127"/>
      <c r="B57" s="93">
        <v>50</v>
      </c>
      <c r="C57" s="87">
        <f t="shared" si="1"/>
        <v>1</v>
      </c>
      <c r="D57" s="93">
        <f t="array" aca="1" ref="D57" ca="1">INDIRECT(ADDRESS(B57+ROW($D$7),MATCH($D$7,$F$7:$Q$7,0)+5))</f>
        <v>0.1</v>
      </c>
      <c r="E57" s="56">
        <f>报价及预中标!L51</f>
        <v>-95</v>
      </c>
      <c r="F57" s="53">
        <v>0.1</v>
      </c>
      <c r="G57" s="53">
        <v>0.1</v>
      </c>
      <c r="H57" s="93">
        <v>0.1</v>
      </c>
      <c r="I57" s="93">
        <v>0.1</v>
      </c>
      <c r="J57" s="93">
        <v>0.1</v>
      </c>
      <c r="K57" s="93">
        <v>1</v>
      </c>
      <c r="L57" s="93">
        <v>1</v>
      </c>
      <c r="M57" s="93">
        <v>1</v>
      </c>
      <c r="N57" s="93">
        <v>0.1</v>
      </c>
      <c r="O57" s="93">
        <v>0.1</v>
      </c>
      <c r="P57" s="93">
        <v>0.1</v>
      </c>
      <c r="Q57" s="53">
        <v>0.1</v>
      </c>
    </row>
    <row r="58" spans="1:17" ht="15" customHeight="1">
      <c r="A58" s="127"/>
      <c r="B58" s="93">
        <v>51</v>
      </c>
      <c r="C58" s="87">
        <f t="shared" si="1"/>
        <v>1</v>
      </c>
      <c r="D58" s="93">
        <f t="array" aca="1" ref="D58" ca="1">INDIRECT(ADDRESS(B58+ROW($D$7),MATCH($D$7,$F$7:$Q$7,0)+5))</f>
        <v>0.1</v>
      </c>
      <c r="E58" s="56">
        <f>报价及预中标!L52</f>
        <v>-95</v>
      </c>
      <c r="F58" s="53">
        <v>0.1</v>
      </c>
      <c r="G58" s="53">
        <v>0.1</v>
      </c>
      <c r="H58" s="93">
        <v>0.1</v>
      </c>
      <c r="I58" s="93">
        <v>0.1</v>
      </c>
      <c r="J58" s="93">
        <v>0.1</v>
      </c>
      <c r="K58" s="93">
        <v>1</v>
      </c>
      <c r="L58" s="93">
        <v>1</v>
      </c>
      <c r="M58" s="93">
        <v>1</v>
      </c>
      <c r="N58" s="93">
        <v>0.1</v>
      </c>
      <c r="O58" s="93">
        <v>0.1</v>
      </c>
      <c r="P58" s="93">
        <v>0.1</v>
      </c>
      <c r="Q58" s="53">
        <v>0.1</v>
      </c>
    </row>
    <row r="59" spans="1:17" ht="15" customHeight="1">
      <c r="A59" s="128"/>
      <c r="B59" s="93">
        <v>52</v>
      </c>
      <c r="C59" s="87">
        <f t="shared" si="1"/>
        <v>1</v>
      </c>
      <c r="D59" s="93">
        <f t="array" aca="1" ref="D59" ca="1">INDIRECT(ADDRESS(B59+ROW($D$7),MATCH($D$7,$F$7:$Q$7,0)+5))</f>
        <v>0.1</v>
      </c>
      <c r="E59" s="56">
        <f>报价及预中标!L53</f>
        <v>-25.31</v>
      </c>
      <c r="F59" s="53">
        <v>0.1</v>
      </c>
      <c r="G59" s="53">
        <v>0.1</v>
      </c>
      <c r="H59" s="93">
        <v>0.1</v>
      </c>
      <c r="I59" s="93">
        <v>0.1</v>
      </c>
      <c r="J59" s="93">
        <v>0.1</v>
      </c>
      <c r="K59" s="93">
        <v>1</v>
      </c>
      <c r="L59" s="93">
        <v>1</v>
      </c>
      <c r="M59" s="93">
        <v>1</v>
      </c>
      <c r="N59" s="93">
        <v>0.1</v>
      </c>
      <c r="O59" s="93">
        <v>0.1</v>
      </c>
      <c r="P59" s="93">
        <v>0.1</v>
      </c>
      <c r="Q59" s="53">
        <v>0.1</v>
      </c>
    </row>
    <row r="60" spans="1:17" ht="15" customHeight="1">
      <c r="A60" s="126">
        <v>14</v>
      </c>
      <c r="B60" s="93">
        <v>53</v>
      </c>
      <c r="C60" s="87">
        <f t="shared" si="1"/>
        <v>0</v>
      </c>
      <c r="D60" s="93">
        <f t="array" aca="1" ref="D60" ca="1">INDIRECT(ADDRESS(B60+ROW($D$7),MATCH($D$7,$F$7:$Q$7,0)+5))</f>
        <v>0.1</v>
      </c>
      <c r="E60" s="56">
        <f>报价及预中标!L54</f>
        <v>0</v>
      </c>
      <c r="F60" s="53">
        <v>0.1</v>
      </c>
      <c r="G60" s="53">
        <v>0.1</v>
      </c>
      <c r="H60" s="93">
        <v>0.1</v>
      </c>
      <c r="I60" s="93">
        <v>0.1</v>
      </c>
      <c r="J60" s="93">
        <v>0.1</v>
      </c>
      <c r="K60" s="93">
        <v>1</v>
      </c>
      <c r="L60" s="93">
        <v>1</v>
      </c>
      <c r="M60" s="93">
        <v>1</v>
      </c>
      <c r="N60" s="93">
        <v>0.1</v>
      </c>
      <c r="O60" s="93">
        <v>0.1</v>
      </c>
      <c r="P60" s="93">
        <v>0.1</v>
      </c>
      <c r="Q60" s="53">
        <v>0.1</v>
      </c>
    </row>
    <row r="61" spans="1:17" ht="15" customHeight="1">
      <c r="A61" s="127"/>
      <c r="B61" s="93">
        <v>54</v>
      </c>
      <c r="C61" s="87">
        <f t="shared" si="1"/>
        <v>0</v>
      </c>
      <c r="D61" s="93">
        <f t="array" aca="1" ref="D61" ca="1">INDIRECT(ADDRESS(B61+ROW($D$7),MATCH($D$7,$F$7:$Q$7,0)+5))</f>
        <v>0.1</v>
      </c>
      <c r="E61" s="56">
        <f>报价及预中标!L55</f>
        <v>0</v>
      </c>
      <c r="F61" s="53">
        <v>0.1</v>
      </c>
      <c r="G61" s="53">
        <v>0.1</v>
      </c>
      <c r="H61" s="93">
        <v>0.1</v>
      </c>
      <c r="I61" s="93">
        <v>0.1</v>
      </c>
      <c r="J61" s="93">
        <v>0.1</v>
      </c>
      <c r="K61" s="93">
        <v>1</v>
      </c>
      <c r="L61" s="93">
        <v>1</v>
      </c>
      <c r="M61" s="93">
        <v>1</v>
      </c>
      <c r="N61" s="93">
        <v>0.1</v>
      </c>
      <c r="O61" s="93">
        <v>0.1</v>
      </c>
      <c r="P61" s="93">
        <v>0.1</v>
      </c>
      <c r="Q61" s="53">
        <v>0.1</v>
      </c>
    </row>
    <row r="62" spans="1:17" ht="15" customHeight="1">
      <c r="A62" s="127"/>
      <c r="B62" s="93">
        <v>55</v>
      </c>
      <c r="C62" s="87">
        <f t="shared" si="1"/>
        <v>0</v>
      </c>
      <c r="D62" s="93">
        <f t="array" aca="1" ref="D62" ca="1">INDIRECT(ADDRESS(B62+ROW($D$7),MATCH($D$7,$F$7:$Q$7,0)+5))</f>
        <v>0.1</v>
      </c>
      <c r="E62" s="56">
        <f>报价及预中标!L56</f>
        <v>0</v>
      </c>
      <c r="F62" s="53">
        <v>0.1</v>
      </c>
      <c r="G62" s="53">
        <v>0.1</v>
      </c>
      <c r="H62" s="93">
        <v>0.1</v>
      </c>
      <c r="I62" s="93">
        <v>0.1</v>
      </c>
      <c r="J62" s="93">
        <v>0.1</v>
      </c>
      <c r="K62" s="93">
        <v>1</v>
      </c>
      <c r="L62" s="93">
        <v>1</v>
      </c>
      <c r="M62" s="93">
        <v>1</v>
      </c>
      <c r="N62" s="93">
        <v>0.1</v>
      </c>
      <c r="O62" s="93">
        <v>0.1</v>
      </c>
      <c r="P62" s="93">
        <v>0.1</v>
      </c>
      <c r="Q62" s="53">
        <v>0.1</v>
      </c>
    </row>
    <row r="63" spans="1:17" ht="15" customHeight="1">
      <c r="A63" s="128"/>
      <c r="B63" s="93">
        <v>56</v>
      </c>
      <c r="C63" s="87">
        <f t="shared" si="1"/>
        <v>0</v>
      </c>
      <c r="D63" s="93">
        <f t="array" aca="1" ref="D63" ca="1">INDIRECT(ADDRESS(B63+ROW($D$7),MATCH($D$7,$F$7:$Q$7,0)+5))</f>
        <v>0.1</v>
      </c>
      <c r="E63" s="56">
        <f>报价及预中标!L57</f>
        <v>0</v>
      </c>
      <c r="F63" s="53">
        <v>0.1</v>
      </c>
      <c r="G63" s="53">
        <v>0.1</v>
      </c>
      <c r="H63" s="93">
        <v>0.1</v>
      </c>
      <c r="I63" s="93">
        <v>0.1</v>
      </c>
      <c r="J63" s="93">
        <v>0.1</v>
      </c>
      <c r="K63" s="93">
        <v>1</v>
      </c>
      <c r="L63" s="93">
        <v>1</v>
      </c>
      <c r="M63" s="93">
        <v>1</v>
      </c>
      <c r="N63" s="93">
        <v>0.1</v>
      </c>
      <c r="O63" s="93">
        <v>0.1</v>
      </c>
      <c r="P63" s="93">
        <v>0.1</v>
      </c>
      <c r="Q63" s="53">
        <v>0.1</v>
      </c>
    </row>
    <row r="64" spans="1:17" ht="15" customHeight="1">
      <c r="A64" s="126">
        <v>15</v>
      </c>
      <c r="B64" s="93">
        <v>57</v>
      </c>
      <c r="C64" s="87">
        <f t="shared" si="1"/>
        <v>0</v>
      </c>
      <c r="D64" s="93">
        <f t="array" aca="1" ref="D64" ca="1">INDIRECT(ADDRESS(B64+ROW($D$7),MATCH($D$7,$F$7:$Q$7,0)+5))</f>
        <v>0.3</v>
      </c>
      <c r="E64" s="56">
        <f>报价及预中标!L58</f>
        <v>0</v>
      </c>
      <c r="F64" s="53">
        <v>0.3</v>
      </c>
      <c r="G64" s="53">
        <v>0.3</v>
      </c>
      <c r="H64" s="93">
        <v>0.3</v>
      </c>
      <c r="I64" s="93">
        <v>0.3</v>
      </c>
      <c r="J64" s="93">
        <v>0.3</v>
      </c>
      <c r="K64" s="93">
        <v>1</v>
      </c>
      <c r="L64" s="93">
        <v>1</v>
      </c>
      <c r="M64" s="93">
        <v>1</v>
      </c>
      <c r="N64" s="93">
        <v>0.3</v>
      </c>
      <c r="O64" s="93">
        <v>0.3</v>
      </c>
      <c r="P64" s="93">
        <v>0.3</v>
      </c>
      <c r="Q64" s="53">
        <v>0.3</v>
      </c>
    </row>
    <row r="65" spans="1:17" ht="15" customHeight="1">
      <c r="A65" s="127"/>
      <c r="B65" s="93">
        <v>58</v>
      </c>
      <c r="C65" s="87">
        <f t="shared" si="1"/>
        <v>0</v>
      </c>
      <c r="D65" s="93">
        <f t="array" aca="1" ref="D65" ca="1">INDIRECT(ADDRESS(B65+ROW($D$7),MATCH($D$7,$F$7:$Q$7,0)+5))</f>
        <v>0.3</v>
      </c>
      <c r="E65" s="56">
        <f>报价及预中标!L59</f>
        <v>0</v>
      </c>
      <c r="F65" s="53">
        <v>0.3</v>
      </c>
      <c r="G65" s="53">
        <v>0.3</v>
      </c>
      <c r="H65" s="93">
        <v>0.3</v>
      </c>
      <c r="I65" s="93">
        <v>0.3</v>
      </c>
      <c r="J65" s="93">
        <v>0.3</v>
      </c>
      <c r="K65" s="93">
        <v>1</v>
      </c>
      <c r="L65" s="93">
        <v>1</v>
      </c>
      <c r="M65" s="93">
        <v>1</v>
      </c>
      <c r="N65" s="93">
        <v>0.3</v>
      </c>
      <c r="O65" s="93">
        <v>0.3</v>
      </c>
      <c r="P65" s="93">
        <v>0.3</v>
      </c>
      <c r="Q65" s="53">
        <v>0.3</v>
      </c>
    </row>
    <row r="66" spans="1:17" ht="15" customHeight="1">
      <c r="A66" s="127"/>
      <c r="B66" s="93">
        <v>59</v>
      </c>
      <c r="C66" s="87">
        <f t="shared" si="1"/>
        <v>0</v>
      </c>
      <c r="D66" s="93">
        <f t="array" aca="1" ref="D66" ca="1">INDIRECT(ADDRESS(B66+ROW($D$7),MATCH($D$7,$F$7:$Q$7,0)+5))</f>
        <v>0.3</v>
      </c>
      <c r="E66" s="56">
        <f>报价及预中标!L60</f>
        <v>0</v>
      </c>
      <c r="F66" s="53">
        <v>0.3</v>
      </c>
      <c r="G66" s="53">
        <v>0.3</v>
      </c>
      <c r="H66" s="93">
        <v>0.3</v>
      </c>
      <c r="I66" s="93">
        <v>0.3</v>
      </c>
      <c r="J66" s="93">
        <v>0.3</v>
      </c>
      <c r="K66" s="93">
        <v>1</v>
      </c>
      <c r="L66" s="93">
        <v>1</v>
      </c>
      <c r="M66" s="93">
        <v>1</v>
      </c>
      <c r="N66" s="93">
        <v>0.3</v>
      </c>
      <c r="O66" s="93">
        <v>0.3</v>
      </c>
      <c r="P66" s="93">
        <v>0.3</v>
      </c>
      <c r="Q66" s="53">
        <v>0.3</v>
      </c>
    </row>
    <row r="67" spans="1:17" ht="15" customHeight="1">
      <c r="A67" s="128"/>
      <c r="B67" s="93">
        <v>60</v>
      </c>
      <c r="C67" s="87">
        <f t="shared" si="1"/>
        <v>0</v>
      </c>
      <c r="D67" s="93">
        <f t="array" aca="1" ref="D67" ca="1">INDIRECT(ADDRESS(B67+ROW($D$7),MATCH($D$7,$F$7:$Q$7,0)+5))</f>
        <v>0.3</v>
      </c>
      <c r="E67" s="56">
        <f>报价及预中标!L61</f>
        <v>0</v>
      </c>
      <c r="F67" s="53">
        <v>0.3</v>
      </c>
      <c r="G67" s="53">
        <v>0.3</v>
      </c>
      <c r="H67" s="93">
        <v>0.3</v>
      </c>
      <c r="I67" s="93">
        <v>0.3</v>
      </c>
      <c r="J67" s="93">
        <v>0.3</v>
      </c>
      <c r="K67" s="93">
        <v>1</v>
      </c>
      <c r="L67" s="93">
        <v>1</v>
      </c>
      <c r="M67" s="93">
        <v>1</v>
      </c>
      <c r="N67" s="93">
        <v>0.3</v>
      </c>
      <c r="O67" s="93">
        <v>0.3</v>
      </c>
      <c r="P67" s="93">
        <v>0.3</v>
      </c>
      <c r="Q67" s="53">
        <v>0.3</v>
      </c>
    </row>
    <row r="68" spans="1:17" ht="15" customHeight="1">
      <c r="A68" s="126">
        <v>16</v>
      </c>
      <c r="B68" s="93">
        <v>61</v>
      </c>
      <c r="C68" s="87">
        <f t="shared" si="1"/>
        <v>1</v>
      </c>
      <c r="D68" s="93">
        <f t="array" aca="1" ref="D68" ca="1">INDIRECT(ADDRESS(B68+ROW($D$7),MATCH($D$7,$F$7:$Q$7,0)+5))</f>
        <v>1</v>
      </c>
      <c r="E68" s="56">
        <f>报价及预中标!L62</f>
        <v>-6.52</v>
      </c>
      <c r="F68" s="53">
        <v>2</v>
      </c>
      <c r="G68" s="53">
        <v>2</v>
      </c>
      <c r="H68" s="93">
        <v>1</v>
      </c>
      <c r="I68" s="93">
        <v>1</v>
      </c>
      <c r="J68" s="93">
        <v>1</v>
      </c>
      <c r="K68" s="93">
        <v>1.7</v>
      </c>
      <c r="L68" s="93">
        <v>1.7</v>
      </c>
      <c r="M68" s="93">
        <v>1.7</v>
      </c>
      <c r="N68" s="93">
        <v>1.7</v>
      </c>
      <c r="O68" s="93">
        <v>1.7</v>
      </c>
      <c r="P68" s="93">
        <v>1.7</v>
      </c>
      <c r="Q68" s="53">
        <v>2</v>
      </c>
    </row>
    <row r="69" spans="1:17" ht="15" customHeight="1">
      <c r="A69" s="127"/>
      <c r="B69" s="93">
        <v>62</v>
      </c>
      <c r="C69" s="87">
        <f t="shared" si="1"/>
        <v>1</v>
      </c>
      <c r="D69" s="93">
        <f t="array" aca="1" ref="D69" ca="1">INDIRECT(ADDRESS(B69+ROW($D$7),MATCH($D$7,$F$7:$Q$7,0)+5))</f>
        <v>1</v>
      </c>
      <c r="E69" s="56">
        <f>报价及预中标!L63</f>
        <v>-6.52</v>
      </c>
      <c r="F69" s="53">
        <v>2</v>
      </c>
      <c r="G69" s="53">
        <v>2</v>
      </c>
      <c r="H69" s="93">
        <v>1</v>
      </c>
      <c r="I69" s="93">
        <v>1</v>
      </c>
      <c r="J69" s="93">
        <v>1</v>
      </c>
      <c r="K69" s="93">
        <v>1.7</v>
      </c>
      <c r="L69" s="93">
        <v>1.7</v>
      </c>
      <c r="M69" s="93">
        <v>1.7</v>
      </c>
      <c r="N69" s="93">
        <v>1.7</v>
      </c>
      <c r="O69" s="93">
        <v>1.7</v>
      </c>
      <c r="P69" s="93">
        <v>1.7</v>
      </c>
      <c r="Q69" s="53">
        <v>2</v>
      </c>
    </row>
    <row r="70" spans="1:17" ht="15" customHeight="1">
      <c r="A70" s="127"/>
      <c r="B70" s="93">
        <v>63</v>
      </c>
      <c r="C70" s="87">
        <f t="shared" si="1"/>
        <v>0</v>
      </c>
      <c r="D70" s="93">
        <f t="array" aca="1" ref="D70" ca="1">INDIRECT(ADDRESS(B70+ROW($D$7),MATCH($D$7,$F$7:$Q$7,0)+5))</f>
        <v>1</v>
      </c>
      <c r="E70" s="56">
        <f>报价及预中标!L64</f>
        <v>0</v>
      </c>
      <c r="F70" s="53">
        <v>2</v>
      </c>
      <c r="G70" s="53">
        <v>2</v>
      </c>
      <c r="H70" s="93">
        <v>1</v>
      </c>
      <c r="I70" s="93">
        <v>1</v>
      </c>
      <c r="J70" s="93">
        <v>1</v>
      </c>
      <c r="K70" s="93">
        <v>1.7</v>
      </c>
      <c r="L70" s="93">
        <v>1.7</v>
      </c>
      <c r="M70" s="93">
        <v>1.7</v>
      </c>
      <c r="N70" s="93">
        <v>1.7</v>
      </c>
      <c r="O70" s="93">
        <v>1.7</v>
      </c>
      <c r="P70" s="93">
        <v>1.7</v>
      </c>
      <c r="Q70" s="53">
        <v>2</v>
      </c>
    </row>
    <row r="71" spans="1:17" ht="15" customHeight="1">
      <c r="A71" s="128"/>
      <c r="B71" s="93">
        <v>64</v>
      </c>
      <c r="C71" s="87">
        <f t="shared" si="1"/>
        <v>0</v>
      </c>
      <c r="D71" s="93">
        <f t="array" aca="1" ref="D71" ca="1">INDIRECT(ADDRESS(B71+ROW($D$7),MATCH($D$7,$F$7:$Q$7,0)+5))</f>
        <v>1</v>
      </c>
      <c r="E71" s="56">
        <f>报价及预中标!L65</f>
        <v>0</v>
      </c>
      <c r="F71" s="53">
        <v>2</v>
      </c>
      <c r="G71" s="53">
        <v>2</v>
      </c>
      <c r="H71" s="93">
        <v>1</v>
      </c>
      <c r="I71" s="93">
        <v>1</v>
      </c>
      <c r="J71" s="93">
        <v>1</v>
      </c>
      <c r="K71" s="93">
        <v>1.7</v>
      </c>
      <c r="L71" s="93">
        <v>1.7</v>
      </c>
      <c r="M71" s="93">
        <v>1.7</v>
      </c>
      <c r="N71" s="93">
        <v>1.7</v>
      </c>
      <c r="O71" s="93">
        <v>1.7</v>
      </c>
      <c r="P71" s="93">
        <v>1.7</v>
      </c>
      <c r="Q71" s="53">
        <v>2</v>
      </c>
    </row>
    <row r="72" spans="1:17" ht="15" customHeight="1">
      <c r="A72" s="126">
        <v>17</v>
      </c>
      <c r="B72" s="93">
        <v>65</v>
      </c>
      <c r="C72" s="87">
        <f t="shared" ref="C72:C103" si="2">IF(E72&lt;0,1,0)</f>
        <v>0</v>
      </c>
      <c r="D72" s="93">
        <f t="array" aca="1" ref="D72" ca="1">INDIRECT(ADDRESS(B72+ROW($D$7),MATCH($D$7,$F$7:$Q$7,0)+5))</f>
        <v>2</v>
      </c>
      <c r="E72" s="56">
        <f>报价及预中标!L66</f>
        <v>0</v>
      </c>
      <c r="F72" s="53">
        <v>2</v>
      </c>
      <c r="G72" s="53">
        <v>2</v>
      </c>
      <c r="H72" s="93">
        <v>2</v>
      </c>
      <c r="I72" s="93">
        <v>2</v>
      </c>
      <c r="J72" s="93">
        <v>2</v>
      </c>
      <c r="K72" s="93">
        <v>2</v>
      </c>
      <c r="L72" s="93">
        <v>2</v>
      </c>
      <c r="M72" s="93">
        <v>2</v>
      </c>
      <c r="N72" s="93">
        <v>2</v>
      </c>
      <c r="O72" s="93">
        <v>2</v>
      </c>
      <c r="P72" s="93">
        <v>2</v>
      </c>
      <c r="Q72" s="53">
        <v>2</v>
      </c>
    </row>
    <row r="73" spans="1:17" ht="15" customHeight="1">
      <c r="A73" s="127"/>
      <c r="B73" s="93">
        <v>66</v>
      </c>
      <c r="C73" s="87">
        <f t="shared" si="2"/>
        <v>0</v>
      </c>
      <c r="D73" s="93">
        <f t="array" aca="1" ref="D73" ca="1">INDIRECT(ADDRESS(B73+ROW($D$7),MATCH($D$7,$F$7:$Q$7,0)+5))</f>
        <v>2</v>
      </c>
      <c r="E73" s="56">
        <f>报价及预中标!L67</f>
        <v>0</v>
      </c>
      <c r="F73" s="53">
        <v>2</v>
      </c>
      <c r="G73" s="53">
        <v>2</v>
      </c>
      <c r="H73" s="93">
        <v>2</v>
      </c>
      <c r="I73" s="93">
        <v>2</v>
      </c>
      <c r="J73" s="93">
        <v>2</v>
      </c>
      <c r="K73" s="93">
        <v>2</v>
      </c>
      <c r="L73" s="93">
        <v>2</v>
      </c>
      <c r="M73" s="93">
        <v>2</v>
      </c>
      <c r="N73" s="93">
        <v>2</v>
      </c>
      <c r="O73" s="93">
        <v>2</v>
      </c>
      <c r="P73" s="93">
        <v>2</v>
      </c>
      <c r="Q73" s="53">
        <v>2</v>
      </c>
    </row>
    <row r="74" spans="1:17" ht="15" customHeight="1">
      <c r="A74" s="127"/>
      <c r="B74" s="93">
        <v>67</v>
      </c>
      <c r="C74" s="87">
        <f t="shared" si="2"/>
        <v>0</v>
      </c>
      <c r="D74" s="93">
        <f t="array" aca="1" ref="D74" ca="1">INDIRECT(ADDRESS(B74+ROW($D$7),MATCH($D$7,$F$7:$Q$7,0)+5))</f>
        <v>2</v>
      </c>
      <c r="E74" s="56">
        <f>报价及预中标!L68</f>
        <v>0</v>
      </c>
      <c r="F74" s="53">
        <v>2</v>
      </c>
      <c r="G74" s="53">
        <v>2</v>
      </c>
      <c r="H74" s="93">
        <v>2</v>
      </c>
      <c r="I74" s="93">
        <v>2</v>
      </c>
      <c r="J74" s="93">
        <v>2</v>
      </c>
      <c r="K74" s="93">
        <v>2</v>
      </c>
      <c r="L74" s="93">
        <v>2</v>
      </c>
      <c r="M74" s="93">
        <v>2</v>
      </c>
      <c r="N74" s="93">
        <v>2</v>
      </c>
      <c r="O74" s="93">
        <v>2</v>
      </c>
      <c r="P74" s="93">
        <v>2</v>
      </c>
      <c r="Q74" s="53">
        <v>2</v>
      </c>
    </row>
    <row r="75" spans="1:17" ht="15" customHeight="1">
      <c r="A75" s="128"/>
      <c r="B75" s="93">
        <v>68</v>
      </c>
      <c r="C75" s="87">
        <f t="shared" si="2"/>
        <v>0</v>
      </c>
      <c r="D75" s="93">
        <f t="array" aca="1" ref="D75" ca="1">INDIRECT(ADDRESS(B75+ROW($D$7),MATCH($D$7,$F$7:$Q$7,0)+5))</f>
        <v>2</v>
      </c>
      <c r="E75" s="56">
        <f>报价及预中标!L69</f>
        <v>0</v>
      </c>
      <c r="F75" s="53">
        <v>2</v>
      </c>
      <c r="G75" s="53">
        <v>2</v>
      </c>
      <c r="H75" s="93">
        <v>2</v>
      </c>
      <c r="I75" s="93">
        <v>2</v>
      </c>
      <c r="J75" s="93">
        <v>2</v>
      </c>
      <c r="K75" s="93">
        <v>2</v>
      </c>
      <c r="L75" s="93">
        <v>2</v>
      </c>
      <c r="M75" s="93">
        <v>2</v>
      </c>
      <c r="N75" s="93">
        <v>2</v>
      </c>
      <c r="O75" s="93">
        <v>2</v>
      </c>
      <c r="P75" s="93">
        <v>2</v>
      </c>
      <c r="Q75" s="53">
        <v>2</v>
      </c>
    </row>
    <row r="76" spans="1:17" ht="15" customHeight="1">
      <c r="A76" s="126">
        <v>18</v>
      </c>
      <c r="B76" s="93">
        <v>69</v>
      </c>
      <c r="C76" s="87">
        <f t="shared" si="2"/>
        <v>0</v>
      </c>
      <c r="D76" s="93">
        <f t="array" aca="1" ref="D76" ca="1">INDIRECT(ADDRESS(B76+ROW($D$7),MATCH($D$7,$F$7:$Q$7,0)+5))</f>
        <v>2</v>
      </c>
      <c r="E76" s="56">
        <f>报价及预中标!L70</f>
        <v>0</v>
      </c>
      <c r="F76" s="53">
        <v>2</v>
      </c>
      <c r="G76" s="53">
        <v>2</v>
      </c>
      <c r="H76" s="93">
        <v>2</v>
      </c>
      <c r="I76" s="93">
        <v>2</v>
      </c>
      <c r="J76" s="93">
        <v>2</v>
      </c>
      <c r="K76" s="93">
        <v>2</v>
      </c>
      <c r="L76" s="93">
        <v>2</v>
      </c>
      <c r="M76" s="93">
        <v>2</v>
      </c>
      <c r="N76" s="93">
        <v>2</v>
      </c>
      <c r="O76" s="93">
        <v>2</v>
      </c>
      <c r="P76" s="93">
        <v>2</v>
      </c>
      <c r="Q76" s="53">
        <v>2</v>
      </c>
    </row>
    <row r="77" spans="1:17" ht="15" customHeight="1">
      <c r="A77" s="127"/>
      <c r="B77" s="93">
        <v>70</v>
      </c>
      <c r="C77" s="87">
        <f t="shared" si="2"/>
        <v>0</v>
      </c>
      <c r="D77" s="93">
        <f t="array" aca="1" ref="D77" ca="1">INDIRECT(ADDRESS(B77+ROW($D$7),MATCH($D$7,$F$7:$Q$7,0)+5))</f>
        <v>2</v>
      </c>
      <c r="E77" s="56">
        <f>报价及预中标!L71</f>
        <v>0</v>
      </c>
      <c r="F77" s="53">
        <v>2</v>
      </c>
      <c r="G77" s="53">
        <v>2</v>
      </c>
      <c r="H77" s="93">
        <v>2</v>
      </c>
      <c r="I77" s="93">
        <v>2</v>
      </c>
      <c r="J77" s="93">
        <v>2</v>
      </c>
      <c r="K77" s="93">
        <v>2</v>
      </c>
      <c r="L77" s="93">
        <v>2</v>
      </c>
      <c r="M77" s="93">
        <v>2</v>
      </c>
      <c r="N77" s="93">
        <v>2</v>
      </c>
      <c r="O77" s="93">
        <v>2</v>
      </c>
      <c r="P77" s="93">
        <v>2</v>
      </c>
      <c r="Q77" s="53">
        <v>2</v>
      </c>
    </row>
    <row r="78" spans="1:17" ht="15" customHeight="1">
      <c r="A78" s="127"/>
      <c r="B78" s="93">
        <v>71</v>
      </c>
      <c r="C78" s="87">
        <f t="shared" si="2"/>
        <v>0</v>
      </c>
      <c r="D78" s="93">
        <f t="array" aca="1" ref="D78" ca="1">INDIRECT(ADDRESS(B78+ROW($D$7),MATCH($D$7,$F$7:$Q$7,0)+5))</f>
        <v>2</v>
      </c>
      <c r="E78" s="56">
        <f>报价及预中标!L72</f>
        <v>0</v>
      </c>
      <c r="F78" s="53">
        <v>2</v>
      </c>
      <c r="G78" s="53">
        <v>2</v>
      </c>
      <c r="H78" s="93">
        <v>2</v>
      </c>
      <c r="I78" s="93">
        <v>2</v>
      </c>
      <c r="J78" s="93">
        <v>2</v>
      </c>
      <c r="K78" s="93">
        <v>2</v>
      </c>
      <c r="L78" s="93">
        <v>2</v>
      </c>
      <c r="M78" s="93">
        <v>2</v>
      </c>
      <c r="N78" s="93">
        <v>2</v>
      </c>
      <c r="O78" s="93">
        <v>2</v>
      </c>
      <c r="P78" s="93">
        <v>2</v>
      </c>
      <c r="Q78" s="53">
        <v>2</v>
      </c>
    </row>
    <row r="79" spans="1:17" ht="15" customHeight="1">
      <c r="A79" s="128"/>
      <c r="B79" s="93">
        <v>72</v>
      </c>
      <c r="C79" s="87">
        <f t="shared" si="2"/>
        <v>0</v>
      </c>
      <c r="D79" s="93">
        <f t="array" aca="1" ref="D79" ca="1">INDIRECT(ADDRESS(B79+ROW($D$7),MATCH($D$7,$F$7:$Q$7,0)+5))</f>
        <v>2</v>
      </c>
      <c r="E79" s="56">
        <f>报价及预中标!L73</f>
        <v>0</v>
      </c>
      <c r="F79" s="53">
        <v>2</v>
      </c>
      <c r="G79" s="53">
        <v>2</v>
      </c>
      <c r="H79" s="93">
        <v>2</v>
      </c>
      <c r="I79" s="93">
        <v>2</v>
      </c>
      <c r="J79" s="93">
        <v>2</v>
      </c>
      <c r="K79" s="93">
        <v>2</v>
      </c>
      <c r="L79" s="93">
        <v>2</v>
      </c>
      <c r="M79" s="93">
        <v>2</v>
      </c>
      <c r="N79" s="93">
        <v>2</v>
      </c>
      <c r="O79" s="93">
        <v>2</v>
      </c>
      <c r="P79" s="93">
        <v>2</v>
      </c>
      <c r="Q79" s="53">
        <v>2</v>
      </c>
    </row>
    <row r="80" spans="1:17" ht="15" customHeight="1">
      <c r="A80" s="126">
        <v>19</v>
      </c>
      <c r="B80" s="93">
        <v>73</v>
      </c>
      <c r="C80" s="87">
        <f t="shared" si="2"/>
        <v>0</v>
      </c>
      <c r="D80" s="93">
        <f t="array" aca="1" ref="D80" ca="1">INDIRECT(ADDRESS(B80+ROW($D$7),MATCH($D$7,$F$7:$Q$7,0)+5))</f>
        <v>2</v>
      </c>
      <c r="E80" s="56">
        <f>报价及预中标!L74</f>
        <v>0</v>
      </c>
      <c r="F80" s="53">
        <v>2</v>
      </c>
      <c r="G80" s="53">
        <v>2</v>
      </c>
      <c r="H80" s="93">
        <v>2</v>
      </c>
      <c r="I80" s="93">
        <v>2</v>
      </c>
      <c r="J80" s="93">
        <v>2</v>
      </c>
      <c r="K80" s="93">
        <v>2</v>
      </c>
      <c r="L80" s="93">
        <v>2</v>
      </c>
      <c r="M80" s="93">
        <v>2</v>
      </c>
      <c r="N80" s="93">
        <v>2</v>
      </c>
      <c r="O80" s="93">
        <v>2</v>
      </c>
      <c r="P80" s="93">
        <v>2</v>
      </c>
      <c r="Q80" s="53">
        <v>2</v>
      </c>
    </row>
    <row r="81" spans="1:17" ht="15" customHeight="1">
      <c r="A81" s="127"/>
      <c r="B81" s="93">
        <v>74</v>
      </c>
      <c r="C81" s="87">
        <f t="shared" si="2"/>
        <v>0</v>
      </c>
      <c r="D81" s="93">
        <f t="array" aca="1" ref="D81" ca="1">INDIRECT(ADDRESS(B81+ROW($D$7),MATCH($D$7,$F$7:$Q$7,0)+5))</f>
        <v>2</v>
      </c>
      <c r="E81" s="56">
        <f>报价及预中标!L75</f>
        <v>0</v>
      </c>
      <c r="F81" s="53">
        <v>2</v>
      </c>
      <c r="G81" s="53">
        <v>2</v>
      </c>
      <c r="H81" s="93">
        <v>2</v>
      </c>
      <c r="I81" s="93">
        <v>2</v>
      </c>
      <c r="J81" s="93">
        <v>2</v>
      </c>
      <c r="K81" s="93">
        <v>2</v>
      </c>
      <c r="L81" s="93">
        <v>2</v>
      </c>
      <c r="M81" s="93">
        <v>2</v>
      </c>
      <c r="N81" s="93">
        <v>2</v>
      </c>
      <c r="O81" s="93">
        <v>2</v>
      </c>
      <c r="P81" s="93">
        <v>2</v>
      </c>
      <c r="Q81" s="53">
        <v>2</v>
      </c>
    </row>
    <row r="82" spans="1:17" ht="15" customHeight="1">
      <c r="A82" s="127"/>
      <c r="B82" s="93">
        <v>75</v>
      </c>
      <c r="C82" s="87">
        <f t="shared" si="2"/>
        <v>0</v>
      </c>
      <c r="D82" s="93">
        <f t="array" aca="1" ref="D82" ca="1">INDIRECT(ADDRESS(B82+ROW($D$7),MATCH($D$7,$F$7:$Q$7,0)+5))</f>
        <v>2</v>
      </c>
      <c r="E82" s="56">
        <f>报价及预中标!L76</f>
        <v>0</v>
      </c>
      <c r="F82" s="53">
        <v>2</v>
      </c>
      <c r="G82" s="53">
        <v>2</v>
      </c>
      <c r="H82" s="93">
        <v>2</v>
      </c>
      <c r="I82" s="93">
        <v>2</v>
      </c>
      <c r="J82" s="93">
        <v>2</v>
      </c>
      <c r="K82" s="93">
        <v>2</v>
      </c>
      <c r="L82" s="93">
        <v>2</v>
      </c>
      <c r="M82" s="93">
        <v>2</v>
      </c>
      <c r="N82" s="93">
        <v>2</v>
      </c>
      <c r="O82" s="93">
        <v>2</v>
      </c>
      <c r="P82" s="93">
        <v>2</v>
      </c>
      <c r="Q82" s="53">
        <v>2</v>
      </c>
    </row>
    <row r="83" spans="1:17" ht="15" customHeight="1">
      <c r="A83" s="128"/>
      <c r="B83" s="93">
        <v>76</v>
      </c>
      <c r="C83" s="87">
        <f t="shared" si="2"/>
        <v>0</v>
      </c>
      <c r="D83" s="93">
        <f t="array" aca="1" ref="D83" ca="1">INDIRECT(ADDRESS(B83+ROW($D$7),MATCH($D$7,$F$7:$Q$7,0)+5))</f>
        <v>2</v>
      </c>
      <c r="E83" s="56">
        <f>报价及预中标!L77</f>
        <v>0</v>
      </c>
      <c r="F83" s="53">
        <v>2</v>
      </c>
      <c r="G83" s="53">
        <v>2</v>
      </c>
      <c r="H83" s="93">
        <v>2</v>
      </c>
      <c r="I83" s="93">
        <v>2</v>
      </c>
      <c r="J83" s="93">
        <v>2</v>
      </c>
      <c r="K83" s="93">
        <v>2</v>
      </c>
      <c r="L83" s="93">
        <v>2</v>
      </c>
      <c r="M83" s="93">
        <v>2</v>
      </c>
      <c r="N83" s="93">
        <v>2</v>
      </c>
      <c r="O83" s="93">
        <v>2</v>
      </c>
      <c r="P83" s="93">
        <v>2</v>
      </c>
      <c r="Q83" s="53">
        <v>2</v>
      </c>
    </row>
    <row r="84" spans="1:17" ht="15" customHeight="1">
      <c r="A84" s="126">
        <v>20</v>
      </c>
      <c r="B84" s="93">
        <v>77</v>
      </c>
      <c r="C84" s="87">
        <f t="shared" si="2"/>
        <v>0</v>
      </c>
      <c r="D84" s="93">
        <f t="array" aca="1" ref="D84" ca="1">INDIRECT(ADDRESS(B84+ROW($D$7),MATCH($D$7,$F$7:$Q$7,0)+5))</f>
        <v>2</v>
      </c>
      <c r="E84" s="56">
        <f>报价及预中标!L78</f>
        <v>0</v>
      </c>
      <c r="F84" s="53">
        <v>1.7</v>
      </c>
      <c r="G84" s="53">
        <v>1.7</v>
      </c>
      <c r="H84" s="93">
        <v>2</v>
      </c>
      <c r="I84" s="93">
        <v>2</v>
      </c>
      <c r="J84" s="93">
        <v>2</v>
      </c>
      <c r="K84" s="93">
        <v>2</v>
      </c>
      <c r="L84" s="93">
        <v>2</v>
      </c>
      <c r="M84" s="93">
        <v>2</v>
      </c>
      <c r="N84" s="93">
        <v>1.7</v>
      </c>
      <c r="O84" s="93">
        <v>1.7</v>
      </c>
      <c r="P84" s="93">
        <v>1.7</v>
      </c>
      <c r="Q84" s="53">
        <v>1.7</v>
      </c>
    </row>
    <row r="85" spans="1:17" ht="15" customHeight="1">
      <c r="A85" s="127"/>
      <c r="B85" s="93">
        <v>78</v>
      </c>
      <c r="C85" s="87">
        <f t="shared" si="2"/>
        <v>0</v>
      </c>
      <c r="D85" s="93">
        <f t="array" aca="1" ref="D85" ca="1">INDIRECT(ADDRESS(B85+ROW($D$7),MATCH($D$7,$F$7:$Q$7,0)+5))</f>
        <v>2</v>
      </c>
      <c r="E85" s="56">
        <f>报价及预中标!L79</f>
        <v>0</v>
      </c>
      <c r="F85" s="53">
        <v>1.7</v>
      </c>
      <c r="G85" s="53">
        <v>1.7</v>
      </c>
      <c r="H85" s="93">
        <v>2</v>
      </c>
      <c r="I85" s="93">
        <v>2</v>
      </c>
      <c r="J85" s="93">
        <v>2</v>
      </c>
      <c r="K85" s="93">
        <v>2</v>
      </c>
      <c r="L85" s="93">
        <v>2</v>
      </c>
      <c r="M85" s="93">
        <v>2</v>
      </c>
      <c r="N85" s="93">
        <v>1.7</v>
      </c>
      <c r="O85" s="93">
        <v>1.7</v>
      </c>
      <c r="P85" s="93">
        <v>1.7</v>
      </c>
      <c r="Q85" s="53">
        <v>1.7</v>
      </c>
    </row>
    <row r="86" spans="1:17" ht="15" customHeight="1">
      <c r="A86" s="127"/>
      <c r="B86" s="93">
        <v>79</v>
      </c>
      <c r="C86" s="87">
        <f t="shared" si="2"/>
        <v>0</v>
      </c>
      <c r="D86" s="93">
        <f t="array" aca="1" ref="D86" ca="1">INDIRECT(ADDRESS(B86+ROW($D$7),MATCH($D$7,$F$7:$Q$7,0)+5))</f>
        <v>2</v>
      </c>
      <c r="E86" s="56">
        <f>报价及预中标!L80</f>
        <v>0</v>
      </c>
      <c r="F86" s="53">
        <v>1.7</v>
      </c>
      <c r="G86" s="53">
        <v>1.7</v>
      </c>
      <c r="H86" s="93">
        <v>2</v>
      </c>
      <c r="I86" s="93">
        <v>2</v>
      </c>
      <c r="J86" s="93">
        <v>2</v>
      </c>
      <c r="K86" s="93">
        <v>2</v>
      </c>
      <c r="L86" s="93">
        <v>2</v>
      </c>
      <c r="M86" s="93">
        <v>2</v>
      </c>
      <c r="N86" s="93">
        <v>1.7</v>
      </c>
      <c r="O86" s="93">
        <v>1.7</v>
      </c>
      <c r="P86" s="93">
        <v>1.7</v>
      </c>
      <c r="Q86" s="53">
        <v>1.7</v>
      </c>
    </row>
    <row r="87" spans="1:17" ht="15" customHeight="1">
      <c r="A87" s="128"/>
      <c r="B87" s="93">
        <v>80</v>
      </c>
      <c r="C87" s="87">
        <f t="shared" si="2"/>
        <v>0</v>
      </c>
      <c r="D87" s="93">
        <f t="array" aca="1" ref="D87" ca="1">INDIRECT(ADDRESS(B87+ROW($D$7),MATCH($D$7,$F$7:$Q$7,0)+5))</f>
        <v>2</v>
      </c>
      <c r="E87" s="56">
        <f>报价及预中标!L81</f>
        <v>0</v>
      </c>
      <c r="F87" s="53">
        <v>1.7</v>
      </c>
      <c r="G87" s="53">
        <v>1.7</v>
      </c>
      <c r="H87" s="93">
        <v>2</v>
      </c>
      <c r="I87" s="93">
        <v>2</v>
      </c>
      <c r="J87" s="93">
        <v>2</v>
      </c>
      <c r="K87" s="93">
        <v>2</v>
      </c>
      <c r="L87" s="93">
        <v>2</v>
      </c>
      <c r="M87" s="93">
        <v>2</v>
      </c>
      <c r="N87" s="93">
        <v>1.7</v>
      </c>
      <c r="O87" s="93">
        <v>1.7</v>
      </c>
      <c r="P87" s="93">
        <v>1.7</v>
      </c>
      <c r="Q87" s="53">
        <v>1.7</v>
      </c>
    </row>
    <row r="88" spans="1:17" ht="15" customHeight="1">
      <c r="A88" s="126">
        <v>21</v>
      </c>
      <c r="B88" s="93">
        <v>81</v>
      </c>
      <c r="C88" s="87">
        <f t="shared" si="2"/>
        <v>0</v>
      </c>
      <c r="D88" s="93">
        <f t="array" aca="1" ref="D88" ca="1">INDIRECT(ADDRESS(B88+ROW($D$7),MATCH($D$7,$F$7:$Q$7,0)+5))</f>
        <v>1.7</v>
      </c>
      <c r="E88" s="56">
        <f>报价及预中标!L82</f>
        <v>0</v>
      </c>
      <c r="F88" s="53">
        <v>1.7</v>
      </c>
      <c r="G88" s="53">
        <v>1.7</v>
      </c>
      <c r="H88" s="93">
        <v>1.7</v>
      </c>
      <c r="I88" s="93">
        <v>1.7</v>
      </c>
      <c r="J88" s="93">
        <v>1.7</v>
      </c>
      <c r="K88" s="93">
        <v>2</v>
      </c>
      <c r="L88" s="93">
        <v>2</v>
      </c>
      <c r="M88" s="93">
        <v>2</v>
      </c>
      <c r="N88" s="93">
        <v>1.7</v>
      </c>
      <c r="O88" s="93">
        <v>1.7</v>
      </c>
      <c r="P88" s="93">
        <v>1.7</v>
      </c>
      <c r="Q88" s="53">
        <v>1.7</v>
      </c>
    </row>
    <row r="89" spans="1:17" ht="15" customHeight="1">
      <c r="A89" s="127"/>
      <c r="B89" s="93">
        <v>82</v>
      </c>
      <c r="C89" s="87">
        <f t="shared" si="2"/>
        <v>0</v>
      </c>
      <c r="D89" s="93">
        <f t="array" aca="1" ref="D89" ca="1">INDIRECT(ADDRESS(B89+ROW($D$7),MATCH($D$7,$F$7:$Q$7,0)+5))</f>
        <v>1.7</v>
      </c>
      <c r="E89" s="56">
        <f>报价及预中标!L83</f>
        <v>0</v>
      </c>
      <c r="F89" s="53">
        <v>1.7</v>
      </c>
      <c r="G89" s="53">
        <v>1.7</v>
      </c>
      <c r="H89" s="93">
        <v>1.7</v>
      </c>
      <c r="I89" s="93">
        <v>1.7</v>
      </c>
      <c r="J89" s="93">
        <v>1.7</v>
      </c>
      <c r="K89" s="93">
        <v>2</v>
      </c>
      <c r="L89" s="93">
        <v>2</v>
      </c>
      <c r="M89" s="93">
        <v>2</v>
      </c>
      <c r="N89" s="93">
        <v>1.7</v>
      </c>
      <c r="O89" s="93">
        <v>1.7</v>
      </c>
      <c r="P89" s="93">
        <v>1.7</v>
      </c>
      <c r="Q89" s="53">
        <v>1.7</v>
      </c>
    </row>
    <row r="90" spans="1:17" ht="15" customHeight="1">
      <c r="A90" s="127"/>
      <c r="B90" s="93">
        <v>83</v>
      </c>
      <c r="C90" s="87">
        <f t="shared" si="2"/>
        <v>0</v>
      </c>
      <c r="D90" s="93">
        <f t="array" aca="1" ref="D90" ca="1">INDIRECT(ADDRESS(B90+ROW($D$7),MATCH($D$7,$F$7:$Q$7,0)+5))</f>
        <v>1.7</v>
      </c>
      <c r="E90" s="56">
        <f>报价及预中标!L84</f>
        <v>0</v>
      </c>
      <c r="F90" s="53">
        <v>1.7</v>
      </c>
      <c r="G90" s="53">
        <v>1.7</v>
      </c>
      <c r="H90" s="93">
        <v>1.7</v>
      </c>
      <c r="I90" s="93">
        <v>1.7</v>
      </c>
      <c r="J90" s="93">
        <v>1.7</v>
      </c>
      <c r="K90" s="93">
        <v>2</v>
      </c>
      <c r="L90" s="93">
        <v>2</v>
      </c>
      <c r="M90" s="93">
        <v>2</v>
      </c>
      <c r="N90" s="93">
        <v>1.7</v>
      </c>
      <c r="O90" s="93">
        <v>1.7</v>
      </c>
      <c r="P90" s="93">
        <v>1.7</v>
      </c>
      <c r="Q90" s="53">
        <v>1.7</v>
      </c>
    </row>
    <row r="91" spans="1:17" ht="15" customHeight="1">
      <c r="A91" s="128"/>
      <c r="B91" s="93">
        <v>84</v>
      </c>
      <c r="C91" s="87">
        <f t="shared" si="2"/>
        <v>0</v>
      </c>
      <c r="D91" s="93">
        <f t="array" aca="1" ref="D91" ca="1">INDIRECT(ADDRESS(B91+ROW($D$7),MATCH($D$7,$F$7:$Q$7,0)+5))</f>
        <v>1.7</v>
      </c>
      <c r="E91" s="56">
        <f>报价及预中标!L85</f>
        <v>0</v>
      </c>
      <c r="F91" s="53">
        <v>1.7</v>
      </c>
      <c r="G91" s="53">
        <v>1.7</v>
      </c>
      <c r="H91" s="93">
        <v>1.7</v>
      </c>
      <c r="I91" s="93">
        <v>1.7</v>
      </c>
      <c r="J91" s="93">
        <v>1.7</v>
      </c>
      <c r="K91" s="93">
        <v>2</v>
      </c>
      <c r="L91" s="93">
        <v>2</v>
      </c>
      <c r="M91" s="93">
        <v>2</v>
      </c>
      <c r="N91" s="93">
        <v>1.7</v>
      </c>
      <c r="O91" s="93">
        <v>1.7</v>
      </c>
      <c r="P91" s="93">
        <v>1.7</v>
      </c>
      <c r="Q91" s="53">
        <v>1.7</v>
      </c>
    </row>
    <row r="92" spans="1:17" ht="15" customHeight="1">
      <c r="A92" s="126">
        <v>22</v>
      </c>
      <c r="B92" s="93">
        <v>85</v>
      </c>
      <c r="C92" s="87">
        <f t="shared" si="2"/>
        <v>0</v>
      </c>
      <c r="D92" s="93">
        <f t="array" aca="1" ref="D92" ca="1">INDIRECT(ADDRESS(B92+ROW($D$7),MATCH($D$7,$F$7:$Q$7,0)+5))</f>
        <v>1.7</v>
      </c>
      <c r="E92" s="56">
        <f>报价及预中标!L86</f>
        <v>0</v>
      </c>
      <c r="F92" s="53">
        <v>1</v>
      </c>
      <c r="G92" s="53">
        <v>1</v>
      </c>
      <c r="H92" s="93">
        <v>1.7</v>
      </c>
      <c r="I92" s="93">
        <v>1.7</v>
      </c>
      <c r="J92" s="93">
        <v>1.7</v>
      </c>
      <c r="K92" s="93">
        <v>2</v>
      </c>
      <c r="L92" s="93">
        <v>2</v>
      </c>
      <c r="M92" s="93">
        <v>2</v>
      </c>
      <c r="N92" s="93">
        <v>1</v>
      </c>
      <c r="O92" s="93">
        <v>1</v>
      </c>
      <c r="P92" s="93">
        <v>1</v>
      </c>
      <c r="Q92" s="53">
        <v>1</v>
      </c>
    </row>
    <row r="93" spans="1:17" ht="15" customHeight="1">
      <c r="A93" s="127"/>
      <c r="B93" s="93">
        <v>86</v>
      </c>
      <c r="C93" s="87">
        <f t="shared" si="2"/>
        <v>0</v>
      </c>
      <c r="D93" s="93">
        <f t="array" aca="1" ref="D93" ca="1">INDIRECT(ADDRESS(B93+ROW($D$7),MATCH($D$7,$F$7:$Q$7,0)+5))</f>
        <v>1.7</v>
      </c>
      <c r="E93" s="56">
        <f>报价及预中标!L87</f>
        <v>0</v>
      </c>
      <c r="F93" s="53">
        <v>1</v>
      </c>
      <c r="G93" s="53">
        <v>1</v>
      </c>
      <c r="H93" s="93">
        <v>1.7</v>
      </c>
      <c r="I93" s="93">
        <v>1.7</v>
      </c>
      <c r="J93" s="93">
        <v>1.7</v>
      </c>
      <c r="K93" s="93">
        <v>2</v>
      </c>
      <c r="L93" s="93">
        <v>2</v>
      </c>
      <c r="M93" s="93">
        <v>2</v>
      </c>
      <c r="N93" s="93">
        <v>1</v>
      </c>
      <c r="O93" s="93">
        <v>1</v>
      </c>
      <c r="P93" s="93">
        <v>1</v>
      </c>
      <c r="Q93" s="53">
        <v>1</v>
      </c>
    </row>
    <row r="94" spans="1:17" ht="15" customHeight="1">
      <c r="A94" s="127"/>
      <c r="B94" s="93">
        <v>87</v>
      </c>
      <c r="C94" s="87">
        <f t="shared" si="2"/>
        <v>0</v>
      </c>
      <c r="D94" s="93">
        <f t="array" aca="1" ref="D94" ca="1">INDIRECT(ADDRESS(B94+ROW($D$7),MATCH($D$7,$F$7:$Q$7,0)+5))</f>
        <v>1.7</v>
      </c>
      <c r="E94" s="56">
        <f>报价及预中标!L88</f>
        <v>0</v>
      </c>
      <c r="F94" s="53">
        <v>1</v>
      </c>
      <c r="G94" s="53">
        <v>1</v>
      </c>
      <c r="H94" s="93">
        <v>1.7</v>
      </c>
      <c r="I94" s="93">
        <v>1.7</v>
      </c>
      <c r="J94" s="93">
        <v>1.7</v>
      </c>
      <c r="K94" s="93">
        <v>2</v>
      </c>
      <c r="L94" s="93">
        <v>2</v>
      </c>
      <c r="M94" s="93">
        <v>2</v>
      </c>
      <c r="N94" s="93">
        <v>1</v>
      </c>
      <c r="O94" s="93">
        <v>1</v>
      </c>
      <c r="P94" s="93">
        <v>1</v>
      </c>
      <c r="Q94" s="53">
        <v>1</v>
      </c>
    </row>
    <row r="95" spans="1:17" ht="15" customHeight="1">
      <c r="A95" s="128"/>
      <c r="B95" s="93">
        <v>88</v>
      </c>
      <c r="C95" s="87">
        <f t="shared" si="2"/>
        <v>0</v>
      </c>
      <c r="D95" s="93">
        <f t="array" aca="1" ref="D95" ca="1">INDIRECT(ADDRESS(B95+ROW($D$7),MATCH($D$7,$F$7:$Q$7,0)+5))</f>
        <v>1.7</v>
      </c>
      <c r="E95" s="56">
        <f>报价及预中标!L89</f>
        <v>0</v>
      </c>
      <c r="F95" s="53">
        <v>1</v>
      </c>
      <c r="G95" s="53">
        <v>1</v>
      </c>
      <c r="H95" s="93">
        <v>1.7</v>
      </c>
      <c r="I95" s="93">
        <v>1.7</v>
      </c>
      <c r="J95" s="93">
        <v>1.7</v>
      </c>
      <c r="K95" s="93">
        <v>2</v>
      </c>
      <c r="L95" s="93">
        <v>2</v>
      </c>
      <c r="M95" s="93">
        <v>2</v>
      </c>
      <c r="N95" s="93">
        <v>1</v>
      </c>
      <c r="O95" s="93">
        <v>1</v>
      </c>
      <c r="P95" s="93">
        <v>1</v>
      </c>
      <c r="Q95" s="53">
        <v>1</v>
      </c>
    </row>
    <row r="96" spans="1:17" ht="15" customHeight="1">
      <c r="A96" s="126">
        <v>23</v>
      </c>
      <c r="B96" s="93">
        <v>89</v>
      </c>
      <c r="C96" s="87">
        <f t="shared" si="2"/>
        <v>0</v>
      </c>
      <c r="D96" s="93">
        <f t="array" aca="1" ref="D96" ca="1">INDIRECT(ADDRESS(B96+ROW($D$7),MATCH($D$7,$F$7:$Q$7,0)+5))</f>
        <v>1</v>
      </c>
      <c r="E96" s="56">
        <f>报价及预中标!L90</f>
        <v>0</v>
      </c>
      <c r="F96" s="53">
        <v>1</v>
      </c>
      <c r="G96" s="53">
        <v>1</v>
      </c>
      <c r="H96" s="93">
        <v>1</v>
      </c>
      <c r="I96" s="93">
        <v>1</v>
      </c>
      <c r="J96" s="93">
        <v>1</v>
      </c>
      <c r="K96" s="93">
        <v>1.7</v>
      </c>
      <c r="L96" s="93">
        <v>1.7</v>
      </c>
      <c r="M96" s="93">
        <v>1.7</v>
      </c>
      <c r="N96" s="93">
        <v>1</v>
      </c>
      <c r="O96" s="93">
        <v>1</v>
      </c>
      <c r="P96" s="93">
        <v>1</v>
      </c>
      <c r="Q96" s="53">
        <v>1</v>
      </c>
    </row>
    <row r="97" spans="1:17" ht="15" customHeight="1">
      <c r="A97" s="127"/>
      <c r="B97" s="93">
        <v>90</v>
      </c>
      <c r="C97" s="87">
        <f t="shared" si="2"/>
        <v>0</v>
      </c>
      <c r="D97" s="93">
        <f t="array" aca="1" ref="D97" ca="1">INDIRECT(ADDRESS(B97+ROW($D$7),MATCH($D$7,$F$7:$Q$7,0)+5))</f>
        <v>1</v>
      </c>
      <c r="E97" s="56">
        <f>报价及预中标!L91</f>
        <v>0</v>
      </c>
      <c r="F97" s="53">
        <v>1</v>
      </c>
      <c r="G97" s="53">
        <v>1</v>
      </c>
      <c r="H97" s="93">
        <v>1</v>
      </c>
      <c r="I97" s="93">
        <v>1</v>
      </c>
      <c r="J97" s="93">
        <v>1</v>
      </c>
      <c r="K97" s="93">
        <v>1.7</v>
      </c>
      <c r="L97" s="93">
        <v>1.7</v>
      </c>
      <c r="M97" s="93">
        <v>1.7</v>
      </c>
      <c r="N97" s="93">
        <v>1</v>
      </c>
      <c r="O97" s="93">
        <v>1</v>
      </c>
      <c r="P97" s="93">
        <v>1</v>
      </c>
      <c r="Q97" s="53">
        <v>1</v>
      </c>
    </row>
    <row r="98" spans="1:17" ht="15" customHeight="1">
      <c r="A98" s="127"/>
      <c r="B98" s="93">
        <v>91</v>
      </c>
      <c r="C98" s="87">
        <f t="shared" si="2"/>
        <v>0</v>
      </c>
      <c r="D98" s="93">
        <f t="array" aca="1" ref="D98" ca="1">INDIRECT(ADDRESS(B98+ROW($D$7),MATCH($D$7,$F$7:$Q$7,0)+5))</f>
        <v>1</v>
      </c>
      <c r="E98" s="56">
        <f>报价及预中标!L92</f>
        <v>0</v>
      </c>
      <c r="F98" s="53">
        <v>1</v>
      </c>
      <c r="G98" s="53">
        <v>1</v>
      </c>
      <c r="H98" s="93">
        <v>1</v>
      </c>
      <c r="I98" s="93">
        <v>1</v>
      </c>
      <c r="J98" s="93">
        <v>1</v>
      </c>
      <c r="K98" s="93">
        <v>1.7</v>
      </c>
      <c r="L98" s="93">
        <v>1.7</v>
      </c>
      <c r="M98" s="93">
        <v>1.7</v>
      </c>
      <c r="N98" s="93">
        <v>1</v>
      </c>
      <c r="O98" s="93">
        <v>1</v>
      </c>
      <c r="P98" s="93">
        <v>1</v>
      </c>
      <c r="Q98" s="53">
        <v>1</v>
      </c>
    </row>
    <row r="99" spans="1:17" ht="15" customHeight="1">
      <c r="A99" s="128"/>
      <c r="B99" s="93">
        <v>92</v>
      </c>
      <c r="C99" s="87">
        <f t="shared" si="2"/>
        <v>0</v>
      </c>
      <c r="D99" s="93">
        <f t="array" aca="1" ref="D99" ca="1">INDIRECT(ADDRESS(B99+ROW($D$7),MATCH($D$7,$F$7:$Q$7,0)+5))</f>
        <v>1</v>
      </c>
      <c r="E99" s="56">
        <f>报价及预中标!L93</f>
        <v>0</v>
      </c>
      <c r="F99" s="53">
        <v>1</v>
      </c>
      <c r="G99" s="53">
        <v>1</v>
      </c>
      <c r="H99" s="93">
        <v>1</v>
      </c>
      <c r="I99" s="93">
        <v>1</v>
      </c>
      <c r="J99" s="93">
        <v>1</v>
      </c>
      <c r="K99" s="93">
        <v>1.7</v>
      </c>
      <c r="L99" s="93">
        <v>1.7</v>
      </c>
      <c r="M99" s="93">
        <v>1.7</v>
      </c>
      <c r="N99" s="93">
        <v>1</v>
      </c>
      <c r="O99" s="93">
        <v>1</v>
      </c>
      <c r="P99" s="93">
        <v>1</v>
      </c>
      <c r="Q99" s="53">
        <v>1</v>
      </c>
    </row>
    <row r="100" spans="1:17" ht="15" customHeight="1">
      <c r="A100" s="126">
        <v>24</v>
      </c>
      <c r="B100" s="93">
        <v>93</v>
      </c>
      <c r="C100" s="87">
        <f t="shared" si="2"/>
        <v>0</v>
      </c>
      <c r="D100" s="93">
        <f t="array" aca="1" ref="D100" ca="1">INDIRECT(ADDRESS(B100+ROW($D$7),MATCH($D$7,$F$7:$Q$7,0)+5))</f>
        <v>1</v>
      </c>
      <c r="E100" s="56">
        <f>报价及预中标!L94</f>
        <v>0</v>
      </c>
      <c r="F100" s="53">
        <v>1</v>
      </c>
      <c r="G100" s="53">
        <v>1</v>
      </c>
      <c r="H100" s="93">
        <v>1</v>
      </c>
      <c r="I100" s="93">
        <v>1</v>
      </c>
      <c r="J100" s="93">
        <v>1</v>
      </c>
      <c r="K100" s="93">
        <v>1</v>
      </c>
      <c r="L100" s="93">
        <v>1</v>
      </c>
      <c r="M100" s="93">
        <v>1</v>
      </c>
      <c r="N100" s="93">
        <v>1</v>
      </c>
      <c r="O100" s="93">
        <v>1</v>
      </c>
      <c r="P100" s="93">
        <v>1</v>
      </c>
      <c r="Q100" s="53">
        <v>1</v>
      </c>
    </row>
    <row r="101" spans="1:17" ht="15" customHeight="1">
      <c r="A101" s="127"/>
      <c r="B101" s="93">
        <v>94</v>
      </c>
      <c r="C101" s="87">
        <f t="shared" si="2"/>
        <v>0</v>
      </c>
      <c r="D101" s="93">
        <f t="array" aca="1" ref="D101" ca="1">INDIRECT(ADDRESS(B101+ROW($D$7),MATCH($D$7,$F$7:$Q$7,0)+5))</f>
        <v>1</v>
      </c>
      <c r="E101" s="56">
        <f>报价及预中标!L95</f>
        <v>0</v>
      </c>
      <c r="F101" s="53">
        <v>1</v>
      </c>
      <c r="G101" s="53">
        <v>1</v>
      </c>
      <c r="H101" s="93">
        <v>1</v>
      </c>
      <c r="I101" s="93">
        <v>1</v>
      </c>
      <c r="J101" s="93">
        <v>1</v>
      </c>
      <c r="K101" s="93">
        <v>1</v>
      </c>
      <c r="L101" s="93">
        <v>1</v>
      </c>
      <c r="M101" s="93">
        <v>1</v>
      </c>
      <c r="N101" s="93">
        <v>1</v>
      </c>
      <c r="O101" s="93">
        <v>1</v>
      </c>
      <c r="P101" s="93">
        <v>1</v>
      </c>
      <c r="Q101" s="53">
        <v>1</v>
      </c>
    </row>
    <row r="102" spans="1:17" ht="15" customHeight="1">
      <c r="A102" s="127"/>
      <c r="B102" s="93">
        <v>95</v>
      </c>
      <c r="C102" s="87">
        <f t="shared" si="2"/>
        <v>0</v>
      </c>
      <c r="D102" s="93">
        <f t="array" aca="1" ref="D102" ca="1">INDIRECT(ADDRESS(B102+ROW($D$7),MATCH($D$7,$F$7:$Q$7,0)+5))</f>
        <v>1</v>
      </c>
      <c r="E102" s="56">
        <f>报价及预中标!L96</f>
        <v>0</v>
      </c>
      <c r="F102" s="53">
        <v>1</v>
      </c>
      <c r="G102" s="53">
        <v>1</v>
      </c>
      <c r="H102" s="93">
        <v>1</v>
      </c>
      <c r="I102" s="93">
        <v>1</v>
      </c>
      <c r="J102" s="93">
        <v>1</v>
      </c>
      <c r="K102" s="93">
        <v>1</v>
      </c>
      <c r="L102" s="93">
        <v>1</v>
      </c>
      <c r="M102" s="93">
        <v>1</v>
      </c>
      <c r="N102" s="93">
        <v>1</v>
      </c>
      <c r="O102" s="93">
        <v>1</v>
      </c>
      <c r="P102" s="93">
        <v>1</v>
      </c>
      <c r="Q102" s="53">
        <v>1</v>
      </c>
    </row>
    <row r="103" spans="1:17" ht="15" customHeight="1" thickBot="1">
      <c r="A103" s="128"/>
      <c r="B103" s="93">
        <v>96</v>
      </c>
      <c r="C103" s="87">
        <f t="shared" si="2"/>
        <v>0</v>
      </c>
      <c r="D103" s="93">
        <f t="array" aca="1" ref="D103" ca="1">INDIRECT(ADDRESS(B103+ROW($D$7),MATCH($D$7,$F$7:$Q$7,0)+5))</f>
        <v>1</v>
      </c>
      <c r="E103" s="56">
        <f>报价及预中标!L97</f>
        <v>0</v>
      </c>
      <c r="F103" s="57">
        <v>1</v>
      </c>
      <c r="G103" s="57">
        <v>1</v>
      </c>
      <c r="H103" s="58">
        <v>1</v>
      </c>
      <c r="I103" s="58">
        <v>1</v>
      </c>
      <c r="J103" s="58">
        <v>1</v>
      </c>
      <c r="K103" s="58">
        <v>1</v>
      </c>
      <c r="L103" s="58">
        <v>1</v>
      </c>
      <c r="M103" s="58">
        <v>1</v>
      </c>
      <c r="N103" s="58">
        <v>1</v>
      </c>
      <c r="O103" s="58">
        <v>1</v>
      </c>
      <c r="P103" s="58">
        <v>1</v>
      </c>
      <c r="Q103" s="57">
        <v>1</v>
      </c>
    </row>
  </sheetData>
  <mergeCells count="29">
    <mergeCell ref="F6:Q6"/>
    <mergeCell ref="A68:A71"/>
    <mergeCell ref="C6:C7"/>
    <mergeCell ref="A24:A27"/>
    <mergeCell ref="A40:A43"/>
    <mergeCell ref="A52:A55"/>
    <mergeCell ref="A100:A103"/>
    <mergeCell ref="A20:A23"/>
    <mergeCell ref="A72:A75"/>
    <mergeCell ref="A44:A47"/>
    <mergeCell ref="A96:A99"/>
    <mergeCell ref="A28:A31"/>
    <mergeCell ref="A92:A95"/>
    <mergeCell ref="E6:E7"/>
    <mergeCell ref="A80:A83"/>
    <mergeCell ref="B6:B7"/>
    <mergeCell ref="A76:A79"/>
    <mergeCell ref="A32:A35"/>
    <mergeCell ref="A8:A11"/>
    <mergeCell ref="A6:A7"/>
    <mergeCell ref="A16:A19"/>
    <mergeCell ref="A84:A87"/>
    <mergeCell ref="A56:A59"/>
    <mergeCell ref="A12:A15"/>
    <mergeCell ref="A36:A39"/>
    <mergeCell ref="A48:A51"/>
    <mergeCell ref="A88:A91"/>
    <mergeCell ref="A64:A67"/>
    <mergeCell ref="A60:A63"/>
  </mergeCells>
  <phoneticPr fontId="7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充放测算</vt:lpstr>
      <vt:lpstr>充电日清算费用</vt:lpstr>
      <vt:lpstr>放电日清算费用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2026-05-25T02:26:42Z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