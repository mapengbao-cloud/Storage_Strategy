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报价及预中标" sheetId="4" state="visible" r:id="rId4"/>
    <sheet name="容量分摊系数" sheetId="5" state="visible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#,##0.000"/>
    <numFmt numFmtId="166" formatCode="0.00_);[Red]\(0.00\)"/>
    <numFmt numFmtId="167" formatCode="#0.000"/>
  </numFmts>
  <fonts count="22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2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2" fillId="0" borderId="0" applyAlignment="1">
      <alignment vertical="center"/>
    </xf>
    <xf numFmtId="0" fontId="8" fillId="0" borderId="0"/>
  </cellStyleXfs>
  <cellXfs count="153">
    <xf numFmtId="0" fontId="0" fillId="0" borderId="0" pivotButton="0" quotePrefix="0" xfId="0"/>
    <xf numFmtId="0" fontId="1" fillId="0" borderId="0" pivotButton="0" quotePrefix="0" xfId="2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5" fillId="0" borderId="0" pivotButton="0" quotePrefix="0" xfId="0"/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2" pivotButton="0" quotePrefix="0" xfId="4"/>
    <xf numFmtId="0" fontId="5" fillId="0" borderId="3" pivotButton="0" quotePrefix="0" xfId="4"/>
    <xf numFmtId="0" fontId="5" fillId="0" borderId="4" pivotButton="0" quotePrefix="0" xfId="4"/>
    <xf numFmtId="0" fontId="5" fillId="0" borderId="0" pivotButton="0" quotePrefix="0" xfId="4"/>
    <xf numFmtId="0" fontId="5" fillId="0" borderId="0" applyAlignment="1" pivotButton="0" quotePrefix="0" xfId="4">
      <alignment horizontal="center" vertical="center"/>
    </xf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2" borderId="9" applyAlignment="1" pivotButton="0" quotePrefix="0" xfId="4">
      <alignment horizontal="center" vertical="center"/>
    </xf>
    <xf numFmtId="0" fontId="5" fillId="0" borderId="14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17" applyAlignment="1" pivotButton="0" quotePrefix="0" xfId="4">
      <alignment horizontal="center" vertical="center"/>
    </xf>
    <xf numFmtId="0" fontId="5" fillId="0" borderId="11" applyAlignment="1" pivotButton="0" quotePrefix="0" xfId="4">
      <alignment horizontal="center" vertical="center"/>
    </xf>
    <xf numFmtId="0" fontId="5" fillId="0" borderId="15" applyAlignment="1" pivotButton="0" quotePrefix="0" xfId="4">
      <alignment horizontal="center" vertical="center"/>
    </xf>
    <xf numFmtId="0" fontId="5" fillId="0" borderId="18" applyAlignment="1" pivotButton="0" quotePrefix="0" xfId="4">
      <alignment horizontal="center" vertical="center"/>
    </xf>
    <xf numFmtId="0" fontId="5" fillId="0" borderId="19" applyAlignment="1" pivotButton="0" quotePrefix="0" xfId="4">
      <alignment horizontal="center" vertical="center"/>
    </xf>
    <xf numFmtId="0" fontId="0" fillId="0" borderId="0" applyAlignment="1" pivotButton="0" quotePrefix="0" xfId="0">
      <alignment vertical="center"/>
    </xf>
    <xf numFmtId="0" fontId="13" fillId="8" borderId="0" applyAlignment="1" pivotButton="0" quotePrefix="0" xfId="0">
      <alignment vertical="center" wrapText="1"/>
    </xf>
    <xf numFmtId="0" fontId="20" fillId="8" borderId="0" applyAlignment="1" pivotButton="0" quotePrefix="0" xfId="0">
      <alignment vertical="center" wrapText="1"/>
    </xf>
    <xf numFmtId="0" fontId="17" fillId="8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165" fontId="21" fillId="11" borderId="43" applyAlignment="1" pivotButton="0" quotePrefix="0" xfId="0">
      <alignment horizontal="center" vertical="center" wrapText="1"/>
    </xf>
    <xf numFmtId="0" fontId="13" fillId="8" borderId="43" applyAlignment="1" pivotButton="0" quotePrefix="0" xfId="0">
      <alignment horizontal="center" vertical="center" wrapText="1"/>
    </xf>
    <xf numFmtId="165" fontId="13" fillId="8" borderId="43" applyAlignment="1" pivotButton="0" quotePrefix="0" xfId="0">
      <alignment horizontal="center" vertical="center" wrapText="1"/>
    </xf>
    <xf numFmtId="4" fontId="13" fillId="8" borderId="43" applyAlignment="1" pivotButton="0" quotePrefix="0" xfId="0">
      <alignment horizontal="center" vertical="center" wrapText="1"/>
    </xf>
    <xf numFmtId="165" fontId="20" fillId="0" borderId="43" applyAlignment="1" pivotButton="0" quotePrefix="0" xfId="0">
      <alignment vertical="center" wrapText="1"/>
    </xf>
    <xf numFmtId="4" fontId="20" fillId="0" borderId="43" applyAlignment="1" pivotButton="0" quotePrefix="0" xfId="0">
      <alignment vertical="center" wrapText="1"/>
    </xf>
    <xf numFmtId="0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4" fontId="13" fillId="10" borderId="43" applyAlignment="1" pivotButton="0" quotePrefix="0" xfId="0">
      <alignment horizontal="center" vertical="center" wrapText="1"/>
    </xf>
    <xf numFmtId="165" fontId="20" fillId="10" borderId="43" applyAlignment="1" pivotButton="0" quotePrefix="0" xfId="0">
      <alignment vertical="center" wrapText="1"/>
    </xf>
    <xf numFmtId="4" fontId="20" fillId="10" borderId="43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10" fillId="6" borderId="39" applyAlignment="1" pivotButton="0" quotePrefix="0" xfId="0">
      <alignment horizontal="center" vertical="center" wrapText="1"/>
    </xf>
    <xf numFmtId="0" fontId="10" fillId="6" borderId="40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1" fillId="6" borderId="42" applyAlignment="1" pivotButton="0" quotePrefix="0" xfId="0">
      <alignment horizontal="center" vertical="center" wrapText="1"/>
    </xf>
    <xf numFmtId="0" fontId="11" fillId="6" borderId="41" applyAlignment="1" pivotButton="0" quotePrefix="0" xfId="0">
      <alignment horizontal="center" vertical="center" wrapText="1"/>
    </xf>
    <xf numFmtId="0" fontId="11" fillId="6" borderId="33" applyAlignment="1" pivotButton="0" quotePrefix="0" xfId="0">
      <alignment horizontal="center" vertical="center" wrapText="1"/>
    </xf>
    <xf numFmtId="0" fontId="11" fillId="7" borderId="35" applyAlignment="1" pivotButton="0" quotePrefix="0" xfId="0">
      <alignment horizontal="center" vertical="center" wrapText="1"/>
    </xf>
    <xf numFmtId="0" fontId="11" fillId="7" borderId="33" applyAlignment="1" pivotButton="0" quotePrefix="0" xfId="0">
      <alignment horizontal="center" vertical="center" wrapText="1"/>
    </xf>
    <xf numFmtId="0" fontId="11" fillId="6" borderId="36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1" fillId="7" borderId="36" applyAlignment="1" pivotButton="0" quotePrefix="0" xfId="0">
      <alignment horizontal="center" vertical="center" wrapText="1"/>
    </xf>
    <xf numFmtId="0" fontId="11" fillId="7" borderId="34" applyAlignment="1" pivotButton="0" quotePrefix="0" xfId="0">
      <alignment horizontal="center" vertical="center" wrapText="1"/>
    </xf>
    <xf numFmtId="0" fontId="11" fillId="6" borderId="37" applyAlignment="1" pivotButton="0" quotePrefix="0" xfId="0">
      <alignment horizontal="center" vertical="center" wrapText="1"/>
    </xf>
    <xf numFmtId="0" fontId="11" fillId="6" borderId="3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5" fontId="13" fillId="9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1" fillId="11" borderId="4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3" fillId="0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9" borderId="43" applyAlignment="1" pivotButton="0" quotePrefix="0" xfId="0">
      <alignment horizontal="center" vertical="center" wrapText="1"/>
    </xf>
    <xf numFmtId="0" fontId="13" fillId="9" borderId="43" applyAlignment="1" pivotButton="0" quotePrefix="0" xfId="0">
      <alignment horizontal="center" vertical="center" wrapText="1"/>
    </xf>
    <xf numFmtId="49" fontId="14" fillId="0" borderId="0" applyAlignment="1" pivotButton="0" quotePrefix="0" xfId="0">
      <alignment vertical="center" wrapText="1"/>
    </xf>
    <xf numFmtId="0" fontId="16" fillId="8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21" fillId="11" borderId="43" applyAlignment="1" pivotButton="0" quotePrefix="0" xfId="0">
      <alignment horizontal="center" vertical="center" wrapText="1"/>
    </xf>
    <xf numFmtId="0" fontId="5" fillId="0" borderId="12" applyAlignment="1" pivotButton="0" quotePrefix="0" xfId="4">
      <alignment horizontal="center" vertical="center"/>
    </xf>
    <xf numFmtId="0" fontId="5" fillId="0" borderId="13" applyAlignment="1" pivotButton="0" quotePrefix="0" xfId="4">
      <alignment horizontal="center" vertical="center"/>
    </xf>
    <xf numFmtId="0" fontId="5" fillId="0" borderId="16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8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5" pivotButton="0" quotePrefix="0" xfId="0"/>
    <xf numFmtId="0" fontId="0" fillId="0" borderId="50" pivotButton="0" quotePrefix="0" xfId="0"/>
    <xf numFmtId="165" fontId="13" fillId="9" borderId="43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165" fontId="13" fillId="8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167" fontId="13" fillId="0" borderId="43" applyAlignment="1" pivotButton="0" quotePrefix="0" xfId="0">
      <alignment horizontal="center" vertical="center" wrapText="1"/>
    </xf>
    <xf numFmtId="165" fontId="21" fillId="11" borderId="43" applyAlignment="1" pivotButton="0" quotePrefix="0" xfId="0">
      <alignment horizontal="center" vertical="center" wrapText="1"/>
    </xf>
    <xf numFmtId="0" fontId="0" fillId="0" borderId="57" pivotButton="0" quotePrefix="0" xfId="0"/>
    <xf numFmtId="165" fontId="20" fillId="10" borderId="43" applyAlignment="1" pivotButton="0" quotePrefix="0" xfId="0">
      <alignment vertical="center" wrapText="1"/>
    </xf>
    <xf numFmtId="165" fontId="20" fillId="0" borderId="43" applyAlignment="1" pivotButton="0" quotePrefix="0" xfId="0">
      <alignment vertical="center" wrapText="1"/>
    </xf>
    <xf numFmtId="164" fontId="1" fillId="0" borderId="31" pivotButton="0" quotePrefix="0" xfId="2"/>
    <xf numFmtId="0" fontId="5" fillId="0" borderId="60" applyAlignment="1" pivotButton="0" quotePrefix="0" xfId="4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59" pivotButton="0" quotePrefix="0" xfId="0"/>
    <xf numFmtId="0" fontId="0" fillId="0" borderId="11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externalLink" Target="/xl/externalLinks/externalLink3.xml" Id="rId8" /><Relationship Type="http://schemas.openxmlformats.org/officeDocument/2006/relationships/externalLink" Target="/xl/externalLinks/externalLink4.xml" Id="rId9" /><Relationship Type="http://schemas.openxmlformats.org/officeDocument/2006/relationships/externalLink" Target="/xl/externalLinks/externalLink5.xml" Id="rId10" /><Relationship Type="http://schemas.openxmlformats.org/officeDocument/2006/relationships/externalLink" Target="/xl/externalLinks/externalLink6.xml" Id="rId11" /><Relationship Type="http://schemas.openxmlformats.org/officeDocument/2006/relationships/externalLink" Target="/xl/externalLinks/externalLink7.xml" Id="rId12" /><Relationship Type="http://schemas.openxmlformats.org/officeDocument/2006/relationships/externalLink" Target="/xl/externalLinks/externalLink8.xml" Id="rId13" /><Relationship Type="http://schemas.openxmlformats.org/officeDocument/2006/relationships/externalLink" Target="/xl/externalLinks/externalLink9.xml" Id="rId14" /><Relationship Type="http://schemas.openxmlformats.org/officeDocument/2006/relationships/externalLink" Target="/xl/externalLinks/externalLink10.xml" Id="rId15" /><Relationship Type="http://schemas.openxmlformats.org/officeDocument/2006/relationships/externalLink" Target="/xl/externalLinks/externalLink11.xml" Id="rId16" /><Relationship Type="http://schemas.openxmlformats.org/officeDocument/2006/relationships/externalLink" Target="/xl/externalLinks/externalLink12.xml" Id="rId17" /><Relationship Type="http://schemas.openxmlformats.org/officeDocument/2006/relationships/externalLink" Target="/xl/externalLinks/externalLink13.xml" Id="rId18" /><Relationship Type="http://schemas.openxmlformats.org/officeDocument/2006/relationships/externalLink" Target="/xl/externalLinks/externalLink14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[2]报价及预中标!$N$2:$N$97</f>
              <numCache>
                <formatCode>General</formatCode>
                <ptCount val="96"/>
                <pt idx="0">
                  <v>-0.01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-27.5</v>
                </pt>
                <pt idx="46">
                  <v>-27.5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38.12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[2]报价及预中标!$J$2:$J$97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ser>
          <idx val="1"/>
          <order val="1"/>
          <tx>
            <strRef>
              <f>[2]报价及预中标!$K$1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[2]报价及预中标!$K$2:$K$97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18.01</v>
                </pt>
                <pt idx="32">
                  <v>18.01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-13.33</v>
                </pt>
                <pt idx="54">
                  <v>-13.33</v>
                </pt>
                <pt idx="55">
                  <v>-13.33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95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11.09</v>
                </pt>
                <pt idx="72">
                  <v>11.09</v>
                </pt>
                <pt idx="73">
                  <v>11.09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95</v>
                </pt>
                <pt idx="85">
                  <v>58.36</v>
                </pt>
                <pt idx="86">
                  <v>58.36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-40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[3]报价及预中标!$J$2:$J$97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ser>
          <idx val="1"/>
          <order val="1"/>
          <tx>
            <strRef>
              <f>[3]报价及预中标!$K$1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[3]报价及预中标!$K$2:$K$97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-95</v>
                </pt>
                <pt idx="7">
                  <v>-95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-72.84999999999999</v>
                </pt>
                <pt idx="16">
                  <v>-95</v>
                </pt>
                <pt idx="17">
                  <v>-31.5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83.42</v>
                </pt>
                <pt idx="31">
                  <v>95</v>
                </pt>
                <pt idx="32">
                  <v>95</v>
                </pt>
                <pt idx="33">
                  <v>95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-85.62</v>
                </pt>
                <pt idx="52">
                  <v>-59.85</v>
                </pt>
                <pt idx="53">
                  <v>-59.85</v>
                </pt>
                <pt idx="54">
                  <v>-59.85</v>
                </pt>
                <pt idx="55">
                  <v>-59.85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42.35</v>
                </pt>
                <pt idx="70">
                  <v>42.35</v>
                </pt>
                <pt idx="71">
                  <v>42.35</v>
                </pt>
                <pt idx="72">
                  <v>42.35</v>
                </pt>
                <pt idx="73">
                  <v>42.35</v>
                </pt>
                <pt idx="74">
                  <v>42.35</v>
                </pt>
                <pt idx="75">
                  <v>42.35</v>
                </pt>
                <pt idx="76">
                  <v>42.35</v>
                </pt>
                <pt idx="77">
                  <v>42.35</v>
                </pt>
                <pt idx="78">
                  <v>42.35</v>
                </pt>
                <pt idx="79">
                  <v>42.35</v>
                </pt>
                <pt idx="80">
                  <v>42.35</v>
                </pt>
                <pt idx="81">
                  <v>42.35</v>
                </pt>
                <pt idx="82">
                  <v>42.35</v>
                </pt>
                <pt idx="83">
                  <v>42.35</v>
                </pt>
                <pt idx="84">
                  <v>42.35</v>
                </pt>
                <pt idx="85">
                  <v>42.35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ser>
          <idx val="1"/>
          <order val="1"/>
          <tx>
            <strRef>
              <f>[4]报价及预中标!$K$1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[5]报价及预中标!$N$1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-55.38</v>
                </pt>
                <pt idx="15">
                  <v>-55.38</v>
                </pt>
                <pt idx="16">
                  <v>-55.38</v>
                </pt>
                <pt idx="17">
                  <v>-55.38</v>
                </pt>
                <pt idx="18">
                  <v>-55.38</v>
                </pt>
                <pt idx="19">
                  <v>-55.38</v>
                </pt>
                <pt idx="20">
                  <v>-55.38</v>
                </pt>
                <pt idx="21">
                  <v>-55.38</v>
                </pt>
                <pt idx="22">
                  <v>-55.38</v>
                </pt>
                <pt idx="23">
                  <v>-55.38</v>
                </pt>
                <pt idx="24">
                  <v>-55.38</v>
                </pt>
                <pt idx="25">
                  <v>-55.38</v>
                </pt>
                <pt idx="26">
                  <v>-55.38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92.56999999999999</v>
                </pt>
                <pt idx="40">
                  <v>92.56999999999999</v>
                </pt>
                <pt idx="41">
                  <v>92.56999999999999</v>
                </pt>
                <pt idx="42">
                  <v>92.56999999999999</v>
                </pt>
                <pt idx="43">
                  <v>92.56999999999999</v>
                </pt>
                <pt idx="44">
                  <v>92.56999999999999</v>
                </pt>
                <pt idx="45">
                  <v>92.56999999999999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[5]报价及预中标!$J$1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[5]报价及预中标!$J$2:$J$97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ser>
          <idx val="1"/>
          <order val="1"/>
          <tx>
            <strRef>
              <f>[5]报价及预中标!$K$1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[5]报价及预中标!$K$2:$K$97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[6]报价及预中标!$N$1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-50</v>
                </pt>
                <pt idx="20">
                  <v>-50</v>
                </pt>
                <pt idx="21">
                  <v>-50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69.13</v>
                </pt>
                <pt idx="37">
                  <v>69.13</v>
                </pt>
                <pt idx="38">
                  <v>69.13</v>
                </pt>
                <pt idx="39">
                  <v>69.13</v>
                </pt>
                <pt idx="40">
                  <v>69.13</v>
                </pt>
                <pt idx="41">
                  <v>69.13</v>
                </pt>
                <pt idx="42">
                  <v>69.13</v>
                </pt>
                <pt idx="43">
                  <v>69.13</v>
                </pt>
                <pt idx="44">
                  <v>95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[6]报价及预中标!$J$1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ser>
          <idx val="1"/>
          <order val="1"/>
          <tx>
            <strRef>
              <f>[6]报价及预中标!$K$1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[7]报价及预中标!$N$1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0.01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-55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38.12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[7]报价及预中标!$J$1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[7]报价及预中标!$J$2:$J$97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ser>
          <idx val="1"/>
          <order val="1"/>
          <tx>
            <strRef>
              <f>[7]报价及预中标!$K$1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[7]报价及预中标!$K$2:$K$97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[8]报价及预中标!$N$1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[8]报价及预中标!$N$2:$N$97</f>
              <numCache>
                <formatCode>General</formatCode>
                <ptCount val="96"/>
                <pt idx="0">
                  <v>-0.1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-36.65</v>
                </pt>
                <pt idx="46">
                  <v>-36.65</v>
                </pt>
                <pt idx="47">
                  <v>-36.65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59.89</v>
                </pt>
                <pt idx="70">
                  <v>59.89</v>
                </pt>
                <pt idx="71">
                  <v>59.89</v>
                </pt>
                <pt idx="72">
                  <v>59.89</v>
                </pt>
                <pt idx="73">
                  <v>59.89</v>
                </pt>
                <pt idx="74">
                  <v>59.89</v>
                </pt>
                <pt idx="75">
                  <v>59.89</v>
                </pt>
                <pt idx="76">
                  <v>59.89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20.05</v>
                </pt>
                <pt idx="81">
                  <v>20.05</v>
                </pt>
                <pt idx="82">
                  <v>20.05</v>
                </pt>
                <pt idx="83">
                  <v>20.05</v>
                </pt>
                <pt idx="84">
                  <v>20.05</v>
                </pt>
                <pt idx="85">
                  <v>20.05</v>
                </pt>
                <pt idx="86">
                  <v>20.05</v>
                </pt>
                <pt idx="87">
                  <v>20.05</v>
                </pt>
                <pt idx="88">
                  <v>20.05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[8]报价及预中标!$J$1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[8]报价及预中标!$J$2:$J$97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ser>
          <idx val="1"/>
          <order val="1"/>
          <tx>
            <strRef>
              <f>[8]报价及预中标!$K$1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[8]报价及预中标!$K$2:$K$97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[9]报价及预中标!$N$1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[9]报价及预中标!$N$2:$N$97</f>
              <numCache>
                <formatCode>General</formatCode>
                <ptCount val="96"/>
                <pt idx="0">
                  <v>-31.94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-100</v>
                </pt>
                <pt idx="50">
                  <v>-95</v>
                </pt>
                <pt idx="51">
                  <v>-95</v>
                </pt>
                <pt idx="52">
                  <v>-69.76000000000001</v>
                </pt>
                <pt idx="53">
                  <v>-69.76000000000001</v>
                </pt>
                <pt idx="54">
                  <v>-69.76000000000001</v>
                </pt>
                <pt idx="55">
                  <v>-69.76000000000001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28.68</v>
                </pt>
                <pt idx="65">
                  <v>28.68</v>
                </pt>
                <pt idx="66">
                  <v>28.68</v>
                </pt>
                <pt idx="67">
                  <v>28.68</v>
                </pt>
                <pt idx="68">
                  <v>28.68</v>
                </pt>
                <pt idx="69">
                  <v>28.68</v>
                </pt>
                <pt idx="70">
                  <v>28.68</v>
                </pt>
                <pt idx="71">
                  <v>28.68</v>
                </pt>
                <pt idx="72">
                  <v>28.68</v>
                </pt>
                <pt idx="73">
                  <v>28.68</v>
                </pt>
                <pt idx="74">
                  <v>28.68</v>
                </pt>
                <pt idx="75">
                  <v>28.68</v>
                </pt>
                <pt idx="76">
                  <v>28.68</v>
                </pt>
                <pt idx="77">
                  <v>28.68</v>
                </pt>
                <pt idx="78">
                  <v>28.68</v>
                </pt>
                <pt idx="79">
                  <v>28.68</v>
                </pt>
                <pt idx="80">
                  <v>28.68</v>
                </pt>
                <pt idx="81">
                  <v>28.68</v>
                </pt>
                <pt idx="82">
                  <v>28.68</v>
                </pt>
                <pt idx="83">
                  <v>28.68</v>
                </pt>
                <pt idx="84">
                  <v>28.68</v>
                </pt>
                <pt idx="85">
                  <v>28.68</v>
                </pt>
                <pt idx="86">
                  <v>28.68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[9]报价及预中标!$J$1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[9]报价及预中标!$J$2:$J$97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ser>
          <idx val="1"/>
          <order val="1"/>
          <tx>
            <strRef>
              <f>[9]报价及预中标!$K$1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[9]报价及预中标!$K$2:$K$97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[10]报价及预中标!$N$1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[10]报价及预中标!$N$2:$N$97</f>
              <numCache>
                <formatCode>General</formatCode>
                <ptCount val="96"/>
                <pt idx="0">
                  <v>-0.06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-2.23</v>
                </pt>
                <pt idx="24">
                  <v>-2.23</v>
                </pt>
                <pt idx="25">
                  <v>-2.23</v>
                </pt>
                <pt idx="26">
                  <v>-2.23</v>
                </pt>
                <pt idx="27">
                  <v>-2.23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-44.18</v>
                </pt>
                <pt idx="46">
                  <v>-44.18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-10.46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74.04000000000001</v>
                </pt>
                <pt idx="71">
                  <v>74.04000000000001</v>
                </pt>
                <pt idx="72">
                  <v>74.04000000000001</v>
                </pt>
                <pt idx="73">
                  <v>74.04000000000001</v>
                </pt>
                <pt idx="74">
                  <v>74.04000000000001</v>
                </pt>
                <pt idx="75">
                  <v>74.04000000000001</v>
                </pt>
                <pt idx="76">
                  <v>74.04000000000001</v>
                </pt>
                <pt idx="77">
                  <v>74.04000000000001</v>
                </pt>
                <pt idx="78">
                  <v>74.04000000000001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[10]报价及预中标!$J$1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[10]报价及预中标!$J$2:$J$97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ser>
          <idx val="1"/>
          <order val="1"/>
          <tx>
            <strRef>
              <f>[10]报价及预中标!$K$1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[10]报价及预中标!$K$2:$K$97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-76.33</v>
                </pt>
                <pt idx="5">
                  <v>-95</v>
                </pt>
                <pt idx="6">
                  <v>-95</v>
                </pt>
                <pt idx="7">
                  <v>-95</v>
                </pt>
                <pt idx="8">
                  <v>-95</v>
                </pt>
                <pt idx="9">
                  <v>-74.54000000000001</v>
                </pt>
                <pt idx="10">
                  <v>-74.54000000000001</v>
                </pt>
                <pt idx="11">
                  <v>-74.54000000000001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95</v>
                </pt>
                <pt idx="37">
                  <v>95</v>
                </pt>
                <pt idx="38">
                  <v>68.06</v>
                </pt>
                <pt idx="39">
                  <v>68.06</v>
                </pt>
                <pt idx="40">
                  <v>68.06</v>
                </pt>
                <pt idx="41">
                  <v>68.06</v>
                </pt>
                <pt idx="42">
                  <v>68.06</v>
                </pt>
                <pt idx="43">
                  <v>68.06</v>
                </pt>
                <pt idx="44">
                  <v>68.06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[11]报价及预中标!$J$2:$J$97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ser>
          <idx val="1"/>
          <order val="1"/>
          <tx>
            <strRef>
              <f>[11]报价及预中标!$K$1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[11]报价及预中标!$K$2:$K$97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-39.34</v>
                </pt>
                <pt idx="44">
                  <v>-39.34</v>
                </pt>
                <pt idx="45">
                  <v>-39.34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1.73</v>
                </pt>
                <pt idx="67">
                  <v>51.85</v>
                </pt>
                <pt idx="68">
                  <v>51.85</v>
                </pt>
                <pt idx="69">
                  <v>51.85</v>
                </pt>
                <pt idx="70">
                  <v>51.85</v>
                </pt>
                <pt idx="71">
                  <v>51.85</v>
                </pt>
                <pt idx="72">
                  <v>51.85</v>
                </pt>
                <pt idx="73">
                  <v>51.85</v>
                </pt>
                <pt idx="74">
                  <v>51.85</v>
                </pt>
                <pt idx="75">
                  <v>51.85</v>
                </pt>
                <pt idx="76">
                  <v>51.85</v>
                </pt>
                <pt idx="77">
                  <v>51.85</v>
                </pt>
                <pt idx="78">
                  <v>51.85</v>
                </pt>
                <pt idx="79">
                  <v>51.85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[12]报价及预中标!$J$2:$J$97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ser>
          <idx val="1"/>
          <order val="1"/>
          <tx>
            <strRef>
              <f>[12]报价及预中标!$K$1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[12]报价及预中标!$K$2:$K$97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64.84999999999999</v>
                </pt>
                <pt idx="72">
                  <v>64.84999999999999</v>
                </pt>
                <pt idx="73">
                  <v>64.84999999999999</v>
                </pt>
                <pt idx="74">
                  <v>64.84999999999999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[13]报价及预中标!$J$2:$J$97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ser>
          <idx val="1"/>
          <order val="1"/>
          <tx>
            <strRef>
              <f>[13]报价及预中标!$K$1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[13]报价及预中标!$K$2:$K$97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-11.83</v>
                </pt>
                <pt idx="16">
                  <v>-11.83</v>
                </pt>
                <pt idx="17">
                  <v>-11.83</v>
                </pt>
                <pt idx="18">
                  <v>-11.83</v>
                </pt>
                <pt idx="19">
                  <v>-11.83</v>
                </pt>
                <pt idx="20">
                  <v>-11.83</v>
                </pt>
                <pt idx="21">
                  <v>-95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6.84</v>
                </pt>
                <pt idx="36">
                  <v>6.84</v>
                </pt>
                <pt idx="37">
                  <v>6.84</v>
                </pt>
                <pt idx="38">
                  <v>6.84</v>
                </pt>
                <pt idx="39">
                  <v>6.84</v>
                </pt>
                <pt idx="40">
                  <v>95</v>
                </pt>
                <pt idx="41">
                  <v>95</v>
                </pt>
                <pt idx="42">
                  <v>95</v>
                </pt>
                <pt idx="43">
                  <v>95</v>
                </pt>
                <pt idx="44">
                  <v>95</v>
                </pt>
                <pt idx="45">
                  <v>95</v>
                </pt>
                <pt idx="46">
                  <v>95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[14]报价及预中标!$J$2:$J$97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ser>
          <idx val="1"/>
          <order val="1"/>
          <tx>
            <strRef>
              <f>[14]报价及预中标!$K$1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[14]报价及预中标!$K$2:$K$97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[1]报价及预中标!$K$1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Relationship Type="http://schemas.openxmlformats.org/officeDocument/2006/relationships/chart" Target="/xl/charts/chart16.xml" Id="rId14" /><Relationship Type="http://schemas.openxmlformats.org/officeDocument/2006/relationships/chart" Target="/xl/charts/chart17.xml" Id="rId15" /><Relationship Type="http://schemas.openxmlformats.org/officeDocument/2006/relationships/chart" Target="/xl/charts/chart18.xml" Id="rId16" /><Relationship Type="http://schemas.openxmlformats.org/officeDocument/2006/relationships/chart" Target="/xl/charts/chart19.xml" Id="rId17" /><Relationship Type="http://schemas.openxmlformats.org/officeDocument/2006/relationships/chart" Target="/xl/charts/chart20.xml" Id="rId18" /><Relationship Type="http://schemas.openxmlformats.org/officeDocument/2006/relationships/chart" Target="/xl/charts/chart21.xml" Id="rId19" /><Relationship Type="http://schemas.openxmlformats.org/officeDocument/2006/relationships/chart" Target="/xl/charts/chart22.xml" Id="rId20" /><Relationship Type="http://schemas.openxmlformats.org/officeDocument/2006/relationships/chart" Target="/xl/charts/chart23.xml" Id="rId21" /><Relationship Type="http://schemas.openxmlformats.org/officeDocument/2006/relationships/chart" Target="/xl/charts/chart24.xml" Id="rId22" /><Relationship Type="http://schemas.openxmlformats.org/officeDocument/2006/relationships/chart" Target="/xl/charts/chart25.xml" Id="rId23" /><Relationship Type="http://schemas.openxmlformats.org/officeDocument/2006/relationships/chart" Target="/xl/charts/chart26.xml" Id="rId24" /><Relationship Type="http://schemas.openxmlformats.org/officeDocument/2006/relationships/chart" Target="/xl/charts/chart27.xml" Id="rId25" /><Relationship Type="http://schemas.openxmlformats.org/officeDocument/2006/relationships/chart" Target="/xl/charts/chart28.xml" Id="rId26" /><Relationship Type="http://schemas.openxmlformats.org/officeDocument/2006/relationships/chart" Target="/xl/charts/chart29.xml" Id="rId27" /><Relationship Type="http://schemas.openxmlformats.org/officeDocument/2006/relationships/chart" Target="/xl/charts/chart30.xml" Id="rId28" /><Relationship Type="http://schemas.openxmlformats.org/officeDocument/2006/relationships/chart" Target="/xl/charts/chart31.xml" Id="rId29" /><Relationship Type="http://schemas.openxmlformats.org/officeDocument/2006/relationships/chart" Target="/xl/charts/chart32.xml" Id="rId3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498230</colOff>
      <row>6</row>
      <rowOff>114299</rowOff>
    </from>
    <to>
      <col>15</col>
      <colOff>480645</colOff>
      <row>20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2&#26376;/0201-&#26228;&#22825;/0201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3-&#26228;&#22825;/0103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8-&#26228;&#22825;/0108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2-&#26228;&#22825;/0112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7-&#26228;&#22825;/0117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9-&#26228;&#22825;/0119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2-&#26228;&#22825;/0122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3-&#26228;&#22825;/0123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4-&#26228;&#22825;/0124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5-&#26228;&#22825;/0125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6-&#26228;&#22825;/0126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7-&#26228;&#22825;/0127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8-&#26228;&#22825;/0128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9-&#26228;&#22825;/0129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O6" sqref="O6"/>
    </sheetView>
  </sheetViews>
  <sheetFormatPr baseColWidth="8" defaultColWidth="9" defaultRowHeight="13.8"/>
  <cols>
    <col width="11.77734375" customWidth="1" style="87" min="1" max="17"/>
  </cols>
  <sheetData>
    <row r="1">
      <c r="A1" s="110" t="inlineStr">
        <is>
          <t>储能每日充放测算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30" t="n"/>
    </row>
    <row r="2" ht="20.4" customHeight="1" s="87">
      <c r="A2" s="111" t="inlineStr">
        <is>
          <t>充电支出</t>
        </is>
      </c>
      <c r="B2" s="129" t="n"/>
      <c r="C2" s="129" t="n"/>
      <c r="D2" s="129" t="n"/>
      <c r="E2" s="129" t="n"/>
      <c r="F2" s="129" t="n"/>
      <c r="G2" s="129" t="n"/>
      <c r="H2" s="129" t="n"/>
      <c r="I2" s="129" t="n"/>
      <c r="J2" s="129" t="n"/>
      <c r="K2" s="130" t="n"/>
      <c r="L2" s="112" t="inlineStr">
        <is>
          <t>放电收入</t>
        </is>
      </c>
      <c r="M2" s="129" t="n"/>
      <c r="N2" s="130" t="n"/>
      <c r="O2" s="42" t="inlineStr">
        <is>
          <t>现货收益</t>
        </is>
      </c>
      <c r="P2" s="113" t="inlineStr">
        <is>
          <t>其他</t>
        </is>
      </c>
      <c r="Q2" s="130" t="n"/>
      <c r="R2" s="106" t="n"/>
    </row>
    <row r="3" ht="27.6" customHeight="1" s="87">
      <c r="A3" s="32" t="inlineStr">
        <is>
          <t>充电均价
(元/MWh)</t>
        </is>
      </c>
      <c r="B3" s="32" t="inlineStr">
        <is>
          <t>充电电量(MWh)</t>
        </is>
      </c>
      <c r="C3" s="32" t="inlineStr">
        <is>
          <t>交易充电
费用(元)</t>
        </is>
      </c>
      <c r="D3" s="32" t="inlineStr">
        <is>
          <t>优发优购(元)</t>
        </is>
      </c>
      <c r="E3" s="32" t="inlineStr">
        <is>
          <t>上网线损(元)</t>
        </is>
      </c>
      <c r="F3" s="32" t="inlineStr">
        <is>
          <t>输配电费(元)</t>
        </is>
      </c>
      <c r="G3" s="32" t="inlineStr">
        <is>
          <t>政府基金(元)</t>
        </is>
      </c>
      <c r="H3" s="32" t="inlineStr">
        <is>
          <t>系统运行(元)</t>
        </is>
      </c>
      <c r="I3" s="32" t="inlineStr">
        <is>
          <t>容量分摊(元)</t>
        </is>
      </c>
      <c r="J3" s="32" t="inlineStr">
        <is>
          <t>容量分摊
系数</t>
        </is>
      </c>
      <c r="K3" s="32" t="inlineStr">
        <is>
          <t>充电总
费用(元)</t>
        </is>
      </c>
      <c r="L3" s="38" t="inlineStr">
        <is>
          <t>放电均价
(元/MWh)</t>
        </is>
      </c>
      <c r="M3" s="38" t="inlineStr">
        <is>
          <t>放电电量(MWh)</t>
        </is>
      </c>
      <c r="N3" s="38" t="inlineStr">
        <is>
          <t>放电电费
(元)</t>
        </is>
      </c>
      <c r="O3" s="42" t="inlineStr">
        <is>
          <t>（元）</t>
        </is>
      </c>
      <c r="P3" s="113" t="inlineStr">
        <is>
          <t>综合效率</t>
        </is>
      </c>
      <c r="Q3" s="44" t="inlineStr">
        <is>
          <t>充放价差
(元/MWh)</t>
        </is>
      </c>
    </row>
    <row r="4" ht="22.2" customHeight="1" s="87">
      <c r="A4" s="33">
        <f>报价及预中标!B26</f>
        <v/>
      </c>
      <c r="B4" s="33">
        <f>报价及预中标!B25</f>
        <v/>
      </c>
      <c r="C4" s="33">
        <f>A4*B4</f>
        <v/>
      </c>
      <c r="D4" s="33">
        <f>$B$4*I12</f>
        <v/>
      </c>
      <c r="E4" s="33">
        <f>$B$4*I13</f>
        <v/>
      </c>
      <c r="F4" s="33">
        <f>B4*(1-P4)*I8</f>
        <v/>
      </c>
      <c r="G4" s="33">
        <f>B4*(1-P4)*I9</f>
        <v/>
      </c>
      <c r="H4" s="33">
        <f>$B$4*I14</f>
        <v/>
      </c>
      <c r="I4" s="33">
        <f>B4*J4*70.5</f>
        <v/>
      </c>
      <c r="J4" s="33">
        <f>容量分摊系数!G3</f>
        <v/>
      </c>
      <c r="K4" s="39">
        <f>C4+D4+E4+F4+G4+H4+I4</f>
        <v/>
      </c>
      <c r="L4" s="33">
        <f>报价及预中标!D26</f>
        <v/>
      </c>
      <c r="M4" s="33">
        <f>报价及预中标!D25</f>
        <v/>
      </c>
      <c r="N4" s="39">
        <f>L4*M4</f>
        <v/>
      </c>
      <c r="O4" s="39">
        <f>N4+K4</f>
        <v/>
      </c>
      <c r="P4" s="43">
        <f>-M4/B4</f>
        <v/>
      </c>
      <c r="Q4" s="33">
        <f>L4-A4</f>
        <v/>
      </c>
    </row>
    <row r="5"/>
    <row r="6">
      <c r="A6" s="49" t="inlineStr">
        <is>
          <t>说明</t>
        </is>
      </c>
      <c r="B6" s="35" t="inlineStr">
        <is>
          <t>根据预测电价，输入充电均价，放电均价。根据充电时段计算出对于的容量分摊系数，计入容量分摊。</t>
        </is>
      </c>
      <c r="C6" s="35" t="n"/>
      <c r="K6" s="40">
        <f>K3</f>
        <v/>
      </c>
      <c r="N6" s="106" t="inlineStr">
        <is>
          <t>清分单收益</t>
        </is>
      </c>
      <c r="O6" s="131">
        <f>N4+C4</f>
        <v/>
      </c>
    </row>
    <row r="7">
      <c r="A7" s="49" t="n">
        <v>1</v>
      </c>
      <c r="B7" s="37" t="inlineStr">
        <is>
          <t>充电均价（元 / MWh）输入限制：-100 至 800；</t>
        </is>
      </c>
      <c r="C7" s="37" t="n"/>
      <c r="K7">
        <f>C3</f>
        <v/>
      </c>
      <c r="N7" s="106" t="inlineStr">
        <is>
          <t>调频收益</t>
        </is>
      </c>
      <c r="O7" s="131">
        <f>放电日清算费用!AE101</f>
        <v/>
      </c>
    </row>
    <row r="8">
      <c r="A8" s="49" t="n">
        <v>2</v>
      </c>
      <c r="B8" s="37" t="inlineStr">
        <is>
          <t xml:space="preserve">输配电价（元 / MWh）设置：收取损耗部分输配电价； </t>
        </is>
      </c>
      <c r="C8" s="37" t="n"/>
      <c r="I8" s="41" t="n">
        <v>191.9</v>
      </c>
      <c r="J8" t="inlineStr">
        <is>
          <t>政府核定</t>
        </is>
      </c>
      <c r="K8">
        <f>D3</f>
        <v/>
      </c>
      <c r="N8" s="106" t="inlineStr">
        <is>
          <t>价差收益</t>
        </is>
      </c>
      <c r="O8" s="131">
        <f>O6-O7</f>
        <v/>
      </c>
    </row>
    <row r="9">
      <c r="A9" s="49" t="n">
        <v>3</v>
      </c>
      <c r="B9" s="37" t="inlineStr">
        <is>
          <t>政府基金（元 /M Wh）设置：收取损耗部分输配电价；</t>
        </is>
      </c>
      <c r="C9" s="37" t="n"/>
      <c r="I9" s="41" t="n">
        <v>27.168</v>
      </c>
      <c r="J9" t="inlineStr">
        <is>
          <t>政府核定</t>
        </is>
      </c>
      <c r="K9">
        <f>E3</f>
        <v/>
      </c>
    </row>
    <row r="10">
      <c r="A10" s="49" t="n">
        <v>4</v>
      </c>
      <c r="B10" s="37" t="inlineStr">
        <is>
          <t>综合效率设置：60% 至 100%；</t>
        </is>
      </c>
      <c r="C10" s="37" t="n"/>
      <c r="K10">
        <f>F3</f>
        <v/>
      </c>
    </row>
    <row r="11">
      <c r="A11" s="49" t="n">
        <v>5</v>
      </c>
      <c r="B11" s="37" t="inlineStr">
        <is>
          <t>放电均价（元 / MWh）输入限制：100 至 1500；</t>
        </is>
      </c>
      <c r="C11" s="37" t="n"/>
      <c r="K11">
        <f>G3</f>
        <v/>
      </c>
    </row>
    <row r="12">
      <c r="A12" s="49" t="n">
        <v>6</v>
      </c>
      <c r="B12" s="37" t="inlineStr">
        <is>
          <t>优发优购曲线匹配偏差标准：暂以上月替代；</t>
        </is>
      </c>
      <c r="C12" s="37" t="n"/>
      <c r="I12" s="41" t="n">
        <v>3.5</v>
      </c>
      <c r="J12" t="inlineStr">
        <is>
          <t>上月均值</t>
        </is>
      </c>
      <c r="K12">
        <f>H3</f>
        <v/>
      </c>
    </row>
    <row r="13">
      <c r="A13" s="49" t="n">
        <v>7</v>
      </c>
      <c r="B13" s="37" t="inlineStr">
        <is>
          <t>上网环节线损费用；</t>
        </is>
      </c>
      <c r="C13" s="37" t="n"/>
      <c r="I13" s="41" t="n">
        <v>3.3</v>
      </c>
      <c r="J13" t="inlineStr">
        <is>
          <t>上月均值</t>
        </is>
      </c>
      <c r="K13">
        <f>I3</f>
        <v/>
      </c>
    </row>
    <row r="14">
      <c r="A14" s="49" t="n">
        <v>8</v>
      </c>
      <c r="B14" s="37" t="inlineStr">
        <is>
          <t>系统运行费用；</t>
        </is>
      </c>
      <c r="C14" s="37" t="n"/>
      <c r="I14" s="41" t="n">
        <v>-2.9</v>
      </c>
      <c r="J14" t="inlineStr">
        <is>
          <t>上月均值</t>
        </is>
      </c>
    </row>
    <row r="15">
      <c r="A15" s="49" t="n">
        <v>9</v>
      </c>
      <c r="B15" s="37" t="inlineStr">
        <is>
          <t xml:space="preserve"> 容量分摊：按季度分为4种类型，详见附表；</t>
        </is>
      </c>
      <c r="C15" s="37" t="n"/>
      <c r="M15" s="106" t="n"/>
      <c r="N15" s="104" t="n"/>
    </row>
    <row r="16">
      <c r="A16" s="49" t="n">
        <v>10</v>
      </c>
      <c r="B16" s="37" t="inlineStr">
        <is>
          <t>根据选择的充电时段，计算容量分摊系数。</t>
        </is>
      </c>
      <c r="C16" s="37" t="n"/>
      <c r="N16" s="49" t="n"/>
      <c r="O16" s="49" t="n"/>
    </row>
    <row r="17">
      <c r="N17" s="49" t="n"/>
      <c r="O17" s="49" t="n"/>
    </row>
    <row r="18">
      <c r="N18" s="49" t="n"/>
      <c r="O18" s="49" t="n"/>
    </row>
    <row r="19">
      <c r="N19" s="132" t="n"/>
      <c r="O19" s="49" t="n"/>
      <c r="P19" s="106" t="n"/>
    </row>
    <row r="20">
      <c r="M20" s="106" t="n"/>
      <c r="N20" s="132" t="n"/>
      <c r="O20" s="49" t="n"/>
    </row>
    <row r="21">
      <c r="N21" s="49" t="n"/>
      <c r="O21" s="49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69" min="1" max="7"/>
    <col width="20.6640625" customWidth="1" style="69" min="8" max="8"/>
    <col width="18" customWidth="1" style="69" min="9" max="11"/>
    <col width="26" customWidth="1" style="69" min="12" max="12"/>
    <col width="18" customWidth="1" style="69" min="13" max="15"/>
    <col width="20.6640625" customWidth="1" style="69" min="16" max="16"/>
    <col width="18" customWidth="1" style="69" min="17" max="19"/>
    <col width="20.6640625" customWidth="1" style="69" min="20" max="20"/>
    <col width="18" customWidth="1" style="69" min="21" max="22"/>
    <col width="18.88671875" customWidth="1" style="69" min="23" max="25"/>
    <col width="18" customWidth="1" style="69" min="26" max="27"/>
    <col width="25.109375" customWidth="1" style="69" min="28" max="28"/>
    <col width="10.21875" customWidth="1" style="69" min="29" max="29"/>
    <col width="9.77734375" customWidth="1" style="69" min="30" max="39"/>
    <col width="9.77734375" customWidth="1" style="69" min="40" max="16384"/>
  </cols>
  <sheetData>
    <row r="1" ht="22.65" customHeight="1" s="87">
      <c r="A1" s="85" t="n"/>
      <c r="B1" s="85" t="n"/>
      <c r="C1" s="120" t="n"/>
      <c r="D1" s="120" t="n"/>
      <c r="E1" s="120" t="n"/>
      <c r="F1" s="118" t="inlineStr">
        <is>
          <t>2026年5月13日日清算临时结果单（售电侧）</t>
        </is>
      </c>
      <c r="I1" s="120" t="n"/>
      <c r="J1" s="120" t="n"/>
      <c r="K1" s="120" t="n"/>
      <c r="L1" s="120" t="n"/>
      <c r="M1" s="120" t="n"/>
      <c r="N1" s="120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0" t="n"/>
      <c r="X1" s="120" t="n"/>
      <c r="Y1" s="120" t="n"/>
      <c r="Z1" s="120" t="n"/>
      <c r="AA1" s="120" t="n"/>
      <c r="AB1" s="120" t="n"/>
    </row>
    <row r="2" ht="22.65" customHeight="1" s="87">
      <c r="A2" s="119" t="inlineStr">
        <is>
          <t>德州润津储能科技有限公司(用电):</t>
        </is>
      </c>
      <c r="F2" s="85" t="n"/>
      <c r="G2" s="120" t="n"/>
      <c r="H2" s="85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120" t="n"/>
      <c r="AB2" s="73" t="inlineStr">
        <is>
          <t>单位：兆瓦时、元/兆瓦时、元</t>
        </is>
      </c>
    </row>
    <row r="3" ht="16.5" customHeight="1" s="87">
      <c r="A3" s="117" t="inlineStr">
        <is>
          <t>时段</t>
        </is>
      </c>
      <c r="B3" s="133" t="n"/>
      <c r="C3" s="117" t="inlineStr">
        <is>
          <t>省内实时市场结算</t>
        </is>
      </c>
      <c r="D3" s="134" t="n"/>
      <c r="E3" s="135" t="n"/>
      <c r="F3" s="117" t="inlineStr">
        <is>
          <t>省内日前市场结算</t>
        </is>
      </c>
      <c r="G3" s="134" t="n"/>
      <c r="H3" s="134" t="n"/>
      <c r="I3" s="135" t="n"/>
      <c r="J3" s="117" t="inlineStr">
        <is>
          <t>省内中长期结算</t>
        </is>
      </c>
      <c r="K3" s="134" t="n"/>
      <c r="L3" s="134" t="n"/>
      <c r="M3" s="135" t="n"/>
      <c r="N3" s="136" t="inlineStr">
        <is>
          <t>跨省跨区直接交易结算</t>
        </is>
      </c>
      <c r="O3" s="134" t="n"/>
      <c r="P3" s="134" t="n"/>
      <c r="Q3" s="134" t="n"/>
      <c r="R3" s="134" t="n"/>
      <c r="S3" s="134" t="n"/>
      <c r="T3" s="134" t="n"/>
      <c r="U3" s="135" t="n"/>
      <c r="V3" s="136" t="inlineStr">
        <is>
          <t>运行成本类费用</t>
        </is>
      </c>
      <c r="W3" s="135" t="n"/>
      <c r="X3" s="136" t="inlineStr">
        <is>
          <t>市场偏差类费用</t>
        </is>
      </c>
      <c r="Y3" s="136" t="inlineStr">
        <is>
          <t>辅助服务费用</t>
        </is>
      </c>
      <c r="Z3" s="117" t="inlineStr">
        <is>
          <t>总计</t>
        </is>
      </c>
      <c r="AA3" s="134" t="n"/>
      <c r="AB3" s="135" t="n"/>
    </row>
    <row r="4" ht="21.15" customHeight="1" s="87">
      <c r="A4" s="137" t="n"/>
      <c r="B4" s="138" t="n"/>
      <c r="C4" s="75" t="inlineStr">
        <is>
          <t>实时用电量</t>
        </is>
      </c>
      <c r="D4" s="75" t="inlineStr">
        <is>
          <t>实时市场电价</t>
        </is>
      </c>
      <c r="E4" s="75" t="inlineStr">
        <is>
          <t>实时电能量电费</t>
        </is>
      </c>
      <c r="F4" s="75" t="inlineStr">
        <is>
          <t>日前出清电量</t>
        </is>
      </c>
      <c r="G4" s="75" t="inlineStr">
        <is>
          <t>日前市场出清电价</t>
        </is>
      </c>
      <c r="H4" s="75" t="inlineStr">
        <is>
          <t>实时市场统一结算点电价</t>
        </is>
      </c>
      <c r="I4" s="75" t="inlineStr">
        <is>
          <t>日前电能量电费</t>
        </is>
      </c>
      <c r="J4" s="75" t="inlineStr">
        <is>
          <t>中长期合约电量</t>
        </is>
      </c>
      <c r="K4" s="75" t="inlineStr">
        <is>
          <t>中长期合约电价</t>
        </is>
      </c>
      <c r="L4" s="75" t="inlineStr">
        <is>
          <t>中长期结算参考点现货市场电价</t>
        </is>
      </c>
      <c r="M4" s="75" t="inlineStr">
        <is>
          <t>中长期合约电费</t>
        </is>
      </c>
      <c r="N4" s="75" t="inlineStr">
        <is>
          <t>银东双边电量</t>
        </is>
      </c>
      <c r="O4" s="75" t="inlineStr">
        <is>
          <t>银东双边价格</t>
        </is>
      </c>
      <c r="P4" s="75" t="inlineStr">
        <is>
          <t>实时市场统一结算点电价</t>
        </is>
      </c>
      <c r="Q4" s="75" t="inlineStr">
        <is>
          <t>银东双边电费</t>
        </is>
      </c>
      <c r="R4" s="75" t="inlineStr">
        <is>
          <t>银东竞价电量</t>
        </is>
      </c>
      <c r="S4" s="75" t="inlineStr">
        <is>
          <t>银东竞价价格</t>
        </is>
      </c>
      <c r="T4" s="75" t="inlineStr">
        <is>
          <t>实时市场统一结算点电价</t>
        </is>
      </c>
      <c r="U4" s="75" t="inlineStr">
        <is>
          <t>银东竞价电费</t>
        </is>
      </c>
      <c r="V4" s="139" t="inlineStr">
        <is>
          <t>运行成本补偿费用</t>
        </is>
      </c>
      <c r="W4" s="139" t="inlineStr">
        <is>
          <t>运行成本补偿费用分摊</t>
        </is>
      </c>
      <c r="X4" s="139" t="inlineStr">
        <is>
          <t>市场超额收益回收返还</t>
        </is>
      </c>
      <c r="Y4" s="139" t="inlineStr">
        <is>
          <t>调频辅助服务费用分摊</t>
        </is>
      </c>
      <c r="Z4" s="75" t="inlineStr">
        <is>
          <t>总结算电量</t>
        </is>
      </c>
      <c r="AA4" s="75" t="inlineStr">
        <is>
          <t>总结算均价</t>
        </is>
      </c>
      <c r="AB4" s="75" t="inlineStr">
        <is>
          <t>总结算费用</t>
        </is>
      </c>
    </row>
    <row r="5" ht="14.25" customHeight="1" s="87">
      <c r="A5" s="140" t="inlineStr">
        <is>
          <t>01:00</t>
        </is>
      </c>
      <c r="B5" s="135" t="n"/>
      <c r="C5" s="141" t="n">
        <v>1.321</v>
      </c>
      <c r="D5" s="141" t="n">
        <v>417.56</v>
      </c>
      <c r="E5" s="82" t="n">
        <v>551.59676</v>
      </c>
      <c r="F5" s="141" t="n">
        <v>0</v>
      </c>
      <c r="G5" s="141" t="n">
        <v>0</v>
      </c>
      <c r="H5" s="141" t="n">
        <v>417.56</v>
      </c>
      <c r="I5" s="82" t="n">
        <v>0</v>
      </c>
      <c r="J5" s="141" t="n">
        <v>0</v>
      </c>
      <c r="K5" s="141" t="n">
        <v>0</v>
      </c>
      <c r="L5" s="141" t="n">
        <v>0</v>
      </c>
      <c r="M5" s="82" t="n">
        <v>0</v>
      </c>
      <c r="N5" s="141" t="n">
        <v>0</v>
      </c>
      <c r="O5" s="82" t="n">
        <v>0</v>
      </c>
      <c r="P5" s="141" t="n">
        <v>417.56</v>
      </c>
      <c r="Q5" s="82" t="n">
        <v>0</v>
      </c>
      <c r="R5" s="141" t="n">
        <v>0</v>
      </c>
      <c r="S5" s="82" t="n">
        <v>0</v>
      </c>
      <c r="T5" s="141" t="n">
        <v>417.56</v>
      </c>
      <c r="U5" s="82" t="n">
        <v>0</v>
      </c>
      <c r="V5" s="82" t="n">
        <v>0</v>
      </c>
      <c r="W5" s="82" t="n">
        <v>0</v>
      </c>
      <c r="X5" s="82" t="n">
        <v>0</v>
      </c>
      <c r="Y5" s="82" t="n">
        <v>0</v>
      </c>
      <c r="Z5" s="141" t="n">
        <v>1.321</v>
      </c>
      <c r="AA5" s="141" t="n">
        <v>417.56</v>
      </c>
      <c r="AB5" s="82" t="n">
        <v>551.59676</v>
      </c>
    </row>
    <row r="6" ht="14.25" customHeight="1" s="87">
      <c r="A6" s="142" t="inlineStr">
        <is>
          <t>02:00</t>
        </is>
      </c>
      <c r="B6" s="135" t="n"/>
      <c r="C6" s="139" t="n">
        <v>0.352</v>
      </c>
      <c r="D6" s="139" t="n">
        <v>412.589</v>
      </c>
      <c r="E6" s="77" t="n">
        <v>145.231328</v>
      </c>
      <c r="F6" s="139" t="n">
        <v>0</v>
      </c>
      <c r="G6" s="139" t="n">
        <v>0</v>
      </c>
      <c r="H6" s="139" t="n">
        <v>412.589</v>
      </c>
      <c r="I6" s="77" t="n">
        <v>0</v>
      </c>
      <c r="J6" s="139" t="n">
        <v>0</v>
      </c>
      <c r="K6" s="139" t="n">
        <v>0</v>
      </c>
      <c r="L6" s="139" t="n">
        <v>0</v>
      </c>
      <c r="M6" s="77" t="n">
        <v>0</v>
      </c>
      <c r="N6" s="139" t="n">
        <v>0</v>
      </c>
      <c r="O6" s="77" t="n">
        <v>0</v>
      </c>
      <c r="P6" s="139" t="n">
        <v>412.589</v>
      </c>
      <c r="Q6" s="77" t="n">
        <v>0</v>
      </c>
      <c r="R6" s="139" t="n">
        <v>0</v>
      </c>
      <c r="S6" s="77" t="n">
        <v>0</v>
      </c>
      <c r="T6" s="139" t="n">
        <v>412.589</v>
      </c>
      <c r="U6" s="77" t="n">
        <v>0</v>
      </c>
      <c r="V6" s="77" t="n">
        <v>0</v>
      </c>
      <c r="W6" s="77" t="n">
        <v>0</v>
      </c>
      <c r="X6" s="77" t="n">
        <v>0</v>
      </c>
      <c r="Y6" s="77" t="n">
        <v>0</v>
      </c>
      <c r="Z6" s="139" t="n">
        <v>0.352</v>
      </c>
      <c r="AA6" s="139" t="n">
        <v>412.589</v>
      </c>
      <c r="AB6" s="77" t="n">
        <v>145.231328</v>
      </c>
    </row>
    <row r="7" ht="14.25" customHeight="1" s="87">
      <c r="A7" s="140" t="inlineStr">
        <is>
          <t>03:00</t>
        </is>
      </c>
      <c r="B7" s="135" t="n"/>
      <c r="C7" s="141" t="n">
        <v>0.264</v>
      </c>
      <c r="D7" s="141" t="n">
        <v>388.56</v>
      </c>
      <c r="E7" s="82" t="n">
        <v>102.57984</v>
      </c>
      <c r="F7" s="141" t="n">
        <v>0</v>
      </c>
      <c r="G7" s="141" t="n">
        <v>0</v>
      </c>
      <c r="H7" s="141" t="n">
        <v>388.56</v>
      </c>
      <c r="I7" s="82" t="n">
        <v>0</v>
      </c>
      <c r="J7" s="141" t="n">
        <v>0</v>
      </c>
      <c r="K7" s="141" t="n">
        <v>0</v>
      </c>
      <c r="L7" s="141" t="n">
        <v>0</v>
      </c>
      <c r="M7" s="82" t="n">
        <v>0</v>
      </c>
      <c r="N7" s="141" t="n">
        <v>0</v>
      </c>
      <c r="O7" s="82" t="n">
        <v>0</v>
      </c>
      <c r="P7" s="141" t="n">
        <v>388.56</v>
      </c>
      <c r="Q7" s="82" t="n">
        <v>0</v>
      </c>
      <c r="R7" s="141" t="n">
        <v>0</v>
      </c>
      <c r="S7" s="82" t="n">
        <v>0</v>
      </c>
      <c r="T7" s="141" t="n">
        <v>388.56</v>
      </c>
      <c r="U7" s="82" t="n">
        <v>0</v>
      </c>
      <c r="V7" s="82" t="n">
        <v>0</v>
      </c>
      <c r="W7" s="82" t="n">
        <v>0</v>
      </c>
      <c r="X7" s="82" t="n">
        <v>0</v>
      </c>
      <c r="Y7" s="82" t="n">
        <v>0</v>
      </c>
      <c r="Z7" s="141" t="n">
        <v>0.264</v>
      </c>
      <c r="AA7" s="141" t="n">
        <v>388.56</v>
      </c>
      <c r="AB7" s="82" t="n">
        <v>102.57984</v>
      </c>
    </row>
    <row r="8" ht="14.25" customHeight="1" s="87">
      <c r="A8" s="142" t="inlineStr">
        <is>
          <t>04:00</t>
        </is>
      </c>
      <c r="B8" s="135" t="n"/>
      <c r="C8" s="139" t="n">
        <v>0.264</v>
      </c>
      <c r="D8" s="139" t="n">
        <v>372.23</v>
      </c>
      <c r="E8" s="77" t="n">
        <v>98.26872</v>
      </c>
      <c r="F8" s="139" t="n">
        <v>0</v>
      </c>
      <c r="G8" s="139" t="n">
        <v>0</v>
      </c>
      <c r="H8" s="139" t="n">
        <v>372.23</v>
      </c>
      <c r="I8" s="77" t="n">
        <v>0</v>
      </c>
      <c r="J8" s="139" t="n">
        <v>0</v>
      </c>
      <c r="K8" s="139" t="n">
        <v>0</v>
      </c>
      <c r="L8" s="139" t="n">
        <v>0</v>
      </c>
      <c r="M8" s="77" t="n">
        <v>0</v>
      </c>
      <c r="N8" s="139" t="n">
        <v>0</v>
      </c>
      <c r="O8" s="77" t="n">
        <v>0</v>
      </c>
      <c r="P8" s="139" t="n">
        <v>372.23</v>
      </c>
      <c r="Q8" s="77" t="n">
        <v>0</v>
      </c>
      <c r="R8" s="139" t="n">
        <v>0</v>
      </c>
      <c r="S8" s="77" t="n">
        <v>0</v>
      </c>
      <c r="T8" s="139" t="n">
        <v>372.23</v>
      </c>
      <c r="U8" s="77" t="n">
        <v>0</v>
      </c>
      <c r="V8" s="77" t="n">
        <v>0</v>
      </c>
      <c r="W8" s="77" t="n">
        <v>0</v>
      </c>
      <c r="X8" s="77" t="n">
        <v>0</v>
      </c>
      <c r="Y8" s="77" t="n">
        <v>0</v>
      </c>
      <c r="Z8" s="139" t="n">
        <v>0.264</v>
      </c>
      <c r="AA8" s="139" t="n">
        <v>372.23</v>
      </c>
      <c r="AB8" s="77" t="n">
        <v>98.26872</v>
      </c>
    </row>
    <row r="9" ht="14.25" customHeight="1" s="87">
      <c r="A9" s="140" t="inlineStr">
        <is>
          <t>05:00</t>
        </is>
      </c>
      <c r="B9" s="135" t="n"/>
      <c r="C9" s="141" t="n">
        <v>0.352</v>
      </c>
      <c r="D9" s="141" t="n">
        <v>394.5</v>
      </c>
      <c r="E9" s="82" t="n">
        <v>138.864</v>
      </c>
      <c r="F9" s="141" t="n">
        <v>0</v>
      </c>
      <c r="G9" s="141" t="n">
        <v>0</v>
      </c>
      <c r="H9" s="141" t="n">
        <v>394.5</v>
      </c>
      <c r="I9" s="82" t="n">
        <v>0</v>
      </c>
      <c r="J9" s="141" t="n">
        <v>0</v>
      </c>
      <c r="K9" s="141" t="n">
        <v>0</v>
      </c>
      <c r="L9" s="141" t="n">
        <v>0</v>
      </c>
      <c r="M9" s="82" t="n">
        <v>0</v>
      </c>
      <c r="N9" s="141" t="n">
        <v>0</v>
      </c>
      <c r="O9" s="82" t="n">
        <v>0</v>
      </c>
      <c r="P9" s="141" t="n">
        <v>394.5</v>
      </c>
      <c r="Q9" s="82" t="n">
        <v>0</v>
      </c>
      <c r="R9" s="141" t="n">
        <v>0</v>
      </c>
      <c r="S9" s="82" t="n">
        <v>0</v>
      </c>
      <c r="T9" s="141" t="n">
        <v>394.5</v>
      </c>
      <c r="U9" s="82" t="n">
        <v>0</v>
      </c>
      <c r="V9" s="82" t="n">
        <v>0</v>
      </c>
      <c r="W9" s="82" t="n">
        <v>0</v>
      </c>
      <c r="X9" s="82" t="n">
        <v>0</v>
      </c>
      <c r="Y9" s="82" t="n">
        <v>0</v>
      </c>
      <c r="Z9" s="141" t="n">
        <v>0.352</v>
      </c>
      <c r="AA9" s="141" t="n">
        <v>394.5</v>
      </c>
      <c r="AB9" s="82" t="n">
        <v>138.864</v>
      </c>
    </row>
    <row r="10" ht="14.25" customHeight="1" s="87">
      <c r="A10" s="142" t="inlineStr">
        <is>
          <t>06:00</t>
        </is>
      </c>
      <c r="B10" s="135" t="n"/>
      <c r="C10" s="139" t="n">
        <v>0.704</v>
      </c>
      <c r="D10" s="139" t="n">
        <v>391.482</v>
      </c>
      <c r="E10" s="77" t="n">
        <v>275.603328</v>
      </c>
      <c r="F10" s="139" t="n">
        <v>0</v>
      </c>
      <c r="G10" s="139" t="n">
        <v>0</v>
      </c>
      <c r="H10" s="139" t="n">
        <v>391.482</v>
      </c>
      <c r="I10" s="77" t="n">
        <v>0</v>
      </c>
      <c r="J10" s="139" t="n">
        <v>0</v>
      </c>
      <c r="K10" s="139" t="n">
        <v>0</v>
      </c>
      <c r="L10" s="139" t="n">
        <v>0</v>
      </c>
      <c r="M10" s="77" t="n">
        <v>0</v>
      </c>
      <c r="N10" s="139" t="n">
        <v>0</v>
      </c>
      <c r="O10" s="77" t="n">
        <v>0</v>
      </c>
      <c r="P10" s="139" t="n">
        <v>391.482</v>
      </c>
      <c r="Q10" s="77" t="n">
        <v>0</v>
      </c>
      <c r="R10" s="139" t="n">
        <v>0</v>
      </c>
      <c r="S10" s="77" t="n">
        <v>0</v>
      </c>
      <c r="T10" s="139" t="n">
        <v>391.482</v>
      </c>
      <c r="U10" s="77" t="n">
        <v>0</v>
      </c>
      <c r="V10" s="77" t="n">
        <v>0</v>
      </c>
      <c r="W10" s="77" t="n">
        <v>0</v>
      </c>
      <c r="X10" s="77" t="n">
        <v>0</v>
      </c>
      <c r="Y10" s="77" t="n">
        <v>0</v>
      </c>
      <c r="Z10" s="139" t="n">
        <v>0.704</v>
      </c>
      <c r="AA10" s="139" t="n">
        <v>391.482</v>
      </c>
      <c r="AB10" s="77" t="n">
        <v>275.603328</v>
      </c>
    </row>
    <row r="11" ht="14.25" customHeight="1" s="87">
      <c r="A11" s="140" t="inlineStr">
        <is>
          <t>07:00</t>
        </is>
      </c>
      <c r="B11" s="135" t="n"/>
      <c r="C11" s="141" t="n">
        <v>0.44</v>
      </c>
      <c r="D11" s="141" t="n">
        <v>147.833</v>
      </c>
      <c r="E11" s="82" t="n">
        <v>65.04652</v>
      </c>
      <c r="F11" s="141" t="n">
        <v>0</v>
      </c>
      <c r="G11" s="141" t="n">
        <v>0</v>
      </c>
      <c r="H11" s="141" t="n">
        <v>147.833</v>
      </c>
      <c r="I11" s="82" t="n">
        <v>0</v>
      </c>
      <c r="J11" s="141" t="n">
        <v>0</v>
      </c>
      <c r="K11" s="141" t="n">
        <v>0</v>
      </c>
      <c r="L11" s="141" t="n">
        <v>0</v>
      </c>
      <c r="M11" s="82" t="n">
        <v>0</v>
      </c>
      <c r="N11" s="141" t="n">
        <v>0</v>
      </c>
      <c r="O11" s="82" t="n">
        <v>0</v>
      </c>
      <c r="P11" s="141" t="n">
        <v>147.833</v>
      </c>
      <c r="Q11" s="82" t="n">
        <v>0</v>
      </c>
      <c r="R11" s="141" t="n">
        <v>0</v>
      </c>
      <c r="S11" s="82" t="n">
        <v>0</v>
      </c>
      <c r="T11" s="141" t="n">
        <v>147.833</v>
      </c>
      <c r="U11" s="82" t="n">
        <v>0</v>
      </c>
      <c r="V11" s="82" t="n">
        <v>0</v>
      </c>
      <c r="W11" s="82" t="n">
        <v>0</v>
      </c>
      <c r="X11" s="82" t="n">
        <v>0</v>
      </c>
      <c r="Y11" s="82" t="n">
        <v>0</v>
      </c>
      <c r="Z11" s="141" t="n">
        <v>0.44</v>
      </c>
      <c r="AA11" s="141" t="n">
        <v>147.833</v>
      </c>
      <c r="AB11" s="82" t="n">
        <v>65.04652</v>
      </c>
    </row>
    <row r="12" ht="14.25" customHeight="1" s="87">
      <c r="A12" s="142" t="inlineStr">
        <is>
          <t>08:00</t>
        </is>
      </c>
      <c r="B12" s="135" t="n"/>
      <c r="C12" s="139" t="n">
        <v>0.352</v>
      </c>
      <c r="D12" s="139" t="n">
        <v>-80</v>
      </c>
      <c r="E12" s="77" t="n">
        <v>-28.16</v>
      </c>
      <c r="F12" s="139" t="n">
        <v>0</v>
      </c>
      <c r="G12" s="139" t="n">
        <v>0</v>
      </c>
      <c r="H12" s="139" t="n">
        <v>-80</v>
      </c>
      <c r="I12" s="77" t="n">
        <v>0</v>
      </c>
      <c r="J12" s="139" t="n">
        <v>0</v>
      </c>
      <c r="K12" s="139" t="n">
        <v>0</v>
      </c>
      <c r="L12" s="139" t="n">
        <v>0</v>
      </c>
      <c r="M12" s="77" t="n">
        <v>0</v>
      </c>
      <c r="N12" s="139" t="n">
        <v>0</v>
      </c>
      <c r="O12" s="77" t="n">
        <v>0</v>
      </c>
      <c r="P12" s="139" t="n">
        <v>-80</v>
      </c>
      <c r="Q12" s="77" t="n">
        <v>0</v>
      </c>
      <c r="R12" s="139" t="n">
        <v>0</v>
      </c>
      <c r="S12" s="77" t="n">
        <v>0</v>
      </c>
      <c r="T12" s="139" t="n">
        <v>-80</v>
      </c>
      <c r="U12" s="77" t="n">
        <v>0</v>
      </c>
      <c r="V12" s="77" t="n">
        <v>0</v>
      </c>
      <c r="W12" s="77" t="n">
        <v>0</v>
      </c>
      <c r="X12" s="77" t="n">
        <v>0</v>
      </c>
      <c r="Y12" s="77" t="n">
        <v>0</v>
      </c>
      <c r="Z12" s="139" t="n">
        <v>0.352</v>
      </c>
      <c r="AA12" s="139" t="n">
        <v>-80</v>
      </c>
      <c r="AB12" s="77" t="n">
        <v>-28.16</v>
      </c>
    </row>
    <row r="13" ht="14.25" customHeight="1" s="87">
      <c r="A13" s="140" t="inlineStr">
        <is>
          <t>09:00</t>
        </is>
      </c>
      <c r="B13" s="135" t="n"/>
      <c r="C13" s="141" t="n">
        <v>0.352</v>
      </c>
      <c r="D13" s="141" t="n">
        <v>-80</v>
      </c>
      <c r="E13" s="82" t="n">
        <v>-28.16</v>
      </c>
      <c r="F13" s="141" t="n">
        <v>0</v>
      </c>
      <c r="G13" s="141" t="n">
        <v>0</v>
      </c>
      <c r="H13" s="141" t="n">
        <v>-80</v>
      </c>
      <c r="I13" s="82" t="n">
        <v>0</v>
      </c>
      <c r="J13" s="141" t="n">
        <v>0</v>
      </c>
      <c r="K13" s="141" t="n">
        <v>0</v>
      </c>
      <c r="L13" s="141" t="n">
        <v>0</v>
      </c>
      <c r="M13" s="82" t="n">
        <v>0</v>
      </c>
      <c r="N13" s="141" t="n">
        <v>0</v>
      </c>
      <c r="O13" s="82" t="n">
        <v>0</v>
      </c>
      <c r="P13" s="141" t="n">
        <v>-80</v>
      </c>
      <c r="Q13" s="82" t="n">
        <v>0</v>
      </c>
      <c r="R13" s="141" t="n">
        <v>0</v>
      </c>
      <c r="S13" s="82" t="n">
        <v>0</v>
      </c>
      <c r="T13" s="141" t="n">
        <v>-80</v>
      </c>
      <c r="U13" s="82" t="n">
        <v>0</v>
      </c>
      <c r="V13" s="82" t="n">
        <v>0</v>
      </c>
      <c r="W13" s="82" t="n">
        <v>0</v>
      </c>
      <c r="X13" s="82" t="n">
        <v>0</v>
      </c>
      <c r="Y13" s="82" t="n">
        <v>0</v>
      </c>
      <c r="Z13" s="141" t="n">
        <v>0.352</v>
      </c>
      <c r="AA13" s="141" t="n">
        <v>-80</v>
      </c>
      <c r="AB13" s="82" t="n">
        <v>-28.16</v>
      </c>
    </row>
    <row r="14" ht="14.25" customHeight="1" s="87">
      <c r="A14" s="142" t="inlineStr">
        <is>
          <t>10:00</t>
        </is>
      </c>
      <c r="B14" s="135" t="n"/>
      <c r="C14" s="139" t="n">
        <v>0.352</v>
      </c>
      <c r="D14" s="139" t="n">
        <v>-80</v>
      </c>
      <c r="E14" s="77" t="n">
        <v>-28.16</v>
      </c>
      <c r="F14" s="139" t="n">
        <v>0</v>
      </c>
      <c r="G14" s="139" t="n">
        <v>0</v>
      </c>
      <c r="H14" s="139" t="n">
        <v>-80</v>
      </c>
      <c r="I14" s="77" t="n">
        <v>0</v>
      </c>
      <c r="J14" s="139" t="n">
        <v>0</v>
      </c>
      <c r="K14" s="139" t="n">
        <v>0</v>
      </c>
      <c r="L14" s="139" t="n">
        <v>0</v>
      </c>
      <c r="M14" s="77" t="n">
        <v>0</v>
      </c>
      <c r="N14" s="139" t="n">
        <v>0</v>
      </c>
      <c r="O14" s="77" t="n">
        <v>0</v>
      </c>
      <c r="P14" s="139" t="n">
        <v>-80</v>
      </c>
      <c r="Q14" s="77" t="n">
        <v>0</v>
      </c>
      <c r="R14" s="139" t="n">
        <v>0</v>
      </c>
      <c r="S14" s="77" t="n">
        <v>0</v>
      </c>
      <c r="T14" s="139" t="n">
        <v>-80</v>
      </c>
      <c r="U14" s="77" t="n">
        <v>0</v>
      </c>
      <c r="V14" s="77" t="n">
        <v>0</v>
      </c>
      <c r="W14" s="77" t="n">
        <v>0</v>
      </c>
      <c r="X14" s="77" t="n">
        <v>0</v>
      </c>
      <c r="Y14" s="77" t="n">
        <v>0</v>
      </c>
      <c r="Z14" s="139" t="n">
        <v>0.352</v>
      </c>
      <c r="AA14" s="139" t="n">
        <v>-80</v>
      </c>
      <c r="AB14" s="77" t="n">
        <v>-28.16</v>
      </c>
    </row>
    <row r="15" ht="14.25" customHeight="1" s="87">
      <c r="A15" s="140" t="inlineStr">
        <is>
          <t>11:00</t>
        </is>
      </c>
      <c r="B15" s="135" t="n"/>
      <c r="C15" s="141" t="n">
        <v>7.398</v>
      </c>
      <c r="D15" s="141" t="n">
        <v>-80</v>
      </c>
      <c r="E15" s="82" t="n">
        <v>-591.84</v>
      </c>
      <c r="F15" s="141" t="n">
        <v>0</v>
      </c>
      <c r="G15" s="141" t="n">
        <v>0</v>
      </c>
      <c r="H15" s="141" t="n">
        <v>-80</v>
      </c>
      <c r="I15" s="82" t="n">
        <v>0</v>
      </c>
      <c r="J15" s="141" t="n">
        <v>0</v>
      </c>
      <c r="K15" s="141" t="n">
        <v>0</v>
      </c>
      <c r="L15" s="141" t="n">
        <v>0</v>
      </c>
      <c r="M15" s="82" t="n">
        <v>0</v>
      </c>
      <c r="N15" s="141" t="n">
        <v>0</v>
      </c>
      <c r="O15" s="82" t="n">
        <v>0</v>
      </c>
      <c r="P15" s="141" t="n">
        <v>-80</v>
      </c>
      <c r="Q15" s="82" t="n">
        <v>0</v>
      </c>
      <c r="R15" s="141" t="n">
        <v>0</v>
      </c>
      <c r="S15" s="82" t="n">
        <v>0</v>
      </c>
      <c r="T15" s="141" t="n">
        <v>-80</v>
      </c>
      <c r="U15" s="82" t="n">
        <v>0</v>
      </c>
      <c r="V15" s="82" t="n">
        <v>0</v>
      </c>
      <c r="W15" s="82" t="n">
        <v>0</v>
      </c>
      <c r="X15" s="82" t="n">
        <v>0</v>
      </c>
      <c r="Y15" s="82" t="n">
        <v>0</v>
      </c>
      <c r="Z15" s="141" t="n">
        <v>7.398</v>
      </c>
      <c r="AA15" s="141" t="n">
        <v>-80</v>
      </c>
      <c r="AB15" s="82" t="n">
        <v>-591.84</v>
      </c>
    </row>
    <row r="16" ht="14.25" customHeight="1" s="87">
      <c r="A16" s="142" t="inlineStr">
        <is>
          <t>12:00</t>
        </is>
      </c>
      <c r="B16" s="135" t="n"/>
      <c r="C16" s="139" t="n">
        <v>62.096</v>
      </c>
      <c r="D16" s="139" t="n">
        <v>-80</v>
      </c>
      <c r="E16" s="77" t="n">
        <v>-4967.68</v>
      </c>
      <c r="F16" s="139" t="n">
        <v>0</v>
      </c>
      <c r="G16" s="139" t="n">
        <v>0</v>
      </c>
      <c r="H16" s="139" t="n">
        <v>-80</v>
      </c>
      <c r="I16" s="77" t="n">
        <v>0</v>
      </c>
      <c r="J16" s="139" t="n">
        <v>0</v>
      </c>
      <c r="K16" s="139" t="n">
        <v>0</v>
      </c>
      <c r="L16" s="139" t="n">
        <v>0</v>
      </c>
      <c r="M16" s="77" t="n">
        <v>0</v>
      </c>
      <c r="N16" s="139" t="n">
        <v>0</v>
      </c>
      <c r="O16" s="77" t="n">
        <v>0</v>
      </c>
      <c r="P16" s="139" t="n">
        <v>-80</v>
      </c>
      <c r="Q16" s="77" t="n">
        <v>0</v>
      </c>
      <c r="R16" s="139" t="n">
        <v>0</v>
      </c>
      <c r="S16" s="77" t="n">
        <v>0</v>
      </c>
      <c r="T16" s="139" t="n">
        <v>-80</v>
      </c>
      <c r="U16" s="77" t="n">
        <v>0</v>
      </c>
      <c r="V16" s="77" t="n">
        <v>0</v>
      </c>
      <c r="W16" s="77" t="n">
        <v>0</v>
      </c>
      <c r="X16" s="77" t="n">
        <v>0</v>
      </c>
      <c r="Y16" s="77" t="n">
        <v>0</v>
      </c>
      <c r="Z16" s="139" t="n">
        <v>62.096</v>
      </c>
      <c r="AA16" s="139" t="n">
        <v>-80</v>
      </c>
      <c r="AB16" s="77" t="n">
        <v>-4967.68</v>
      </c>
    </row>
    <row r="17" ht="14.25" customHeight="1" s="87">
      <c r="A17" s="140" t="inlineStr">
        <is>
          <t>13:00</t>
        </is>
      </c>
      <c r="B17" s="135" t="n"/>
      <c r="C17" s="141" t="n">
        <v>97.504</v>
      </c>
      <c r="D17" s="141" t="n">
        <v>-80</v>
      </c>
      <c r="E17" s="82" t="n">
        <v>-7800.32</v>
      </c>
      <c r="F17" s="141" t="n">
        <v>0</v>
      </c>
      <c r="G17" s="141" t="n">
        <v>0</v>
      </c>
      <c r="H17" s="141" t="n">
        <v>-80</v>
      </c>
      <c r="I17" s="82" t="n">
        <v>0</v>
      </c>
      <c r="J17" s="141" t="n">
        <v>0</v>
      </c>
      <c r="K17" s="141" t="n">
        <v>0</v>
      </c>
      <c r="L17" s="141" t="n">
        <v>0</v>
      </c>
      <c r="M17" s="82" t="n">
        <v>0</v>
      </c>
      <c r="N17" s="141" t="n">
        <v>0</v>
      </c>
      <c r="O17" s="82" t="n">
        <v>0</v>
      </c>
      <c r="P17" s="141" t="n">
        <v>-80</v>
      </c>
      <c r="Q17" s="82" t="n">
        <v>0</v>
      </c>
      <c r="R17" s="141" t="n">
        <v>0</v>
      </c>
      <c r="S17" s="82" t="n">
        <v>0</v>
      </c>
      <c r="T17" s="141" t="n">
        <v>-80</v>
      </c>
      <c r="U17" s="82" t="n">
        <v>0</v>
      </c>
      <c r="V17" s="82" t="n">
        <v>0</v>
      </c>
      <c r="W17" s="82" t="n">
        <v>0</v>
      </c>
      <c r="X17" s="82" t="n">
        <v>0</v>
      </c>
      <c r="Y17" s="82" t="n">
        <v>0</v>
      </c>
      <c r="Z17" s="141" t="n">
        <v>97.504</v>
      </c>
      <c r="AA17" s="141" t="n">
        <v>-80</v>
      </c>
      <c r="AB17" s="82" t="n">
        <v>-7800.32</v>
      </c>
    </row>
    <row r="18" ht="14.25" customHeight="1" s="87">
      <c r="A18" s="142" t="inlineStr">
        <is>
          <t>14:00</t>
        </is>
      </c>
      <c r="B18" s="135" t="n"/>
      <c r="C18" s="139" t="n">
        <v>13.742</v>
      </c>
      <c r="D18" s="139" t="n">
        <v>-80</v>
      </c>
      <c r="E18" s="77" t="n">
        <v>-1099.36</v>
      </c>
      <c r="F18" s="139" t="n">
        <v>0</v>
      </c>
      <c r="G18" s="139" t="n">
        <v>0</v>
      </c>
      <c r="H18" s="139" t="n">
        <v>-80</v>
      </c>
      <c r="I18" s="77" t="n">
        <v>0</v>
      </c>
      <c r="J18" s="139" t="n">
        <v>0</v>
      </c>
      <c r="K18" s="139" t="n">
        <v>0</v>
      </c>
      <c r="L18" s="139" t="n">
        <v>0</v>
      </c>
      <c r="M18" s="77" t="n">
        <v>0</v>
      </c>
      <c r="N18" s="139" t="n">
        <v>0</v>
      </c>
      <c r="O18" s="77" t="n">
        <v>0</v>
      </c>
      <c r="P18" s="139" t="n">
        <v>-80</v>
      </c>
      <c r="Q18" s="77" t="n">
        <v>0</v>
      </c>
      <c r="R18" s="139" t="n">
        <v>0</v>
      </c>
      <c r="S18" s="77" t="n">
        <v>0</v>
      </c>
      <c r="T18" s="139" t="n">
        <v>-80</v>
      </c>
      <c r="U18" s="77" t="n">
        <v>0</v>
      </c>
      <c r="V18" s="77" t="n">
        <v>0</v>
      </c>
      <c r="W18" s="77" t="n">
        <v>0</v>
      </c>
      <c r="X18" s="77" t="n">
        <v>0</v>
      </c>
      <c r="Y18" s="77" t="n">
        <v>0</v>
      </c>
      <c r="Z18" s="139" t="n">
        <v>13.742</v>
      </c>
      <c r="AA18" s="139" t="n">
        <v>-80</v>
      </c>
      <c r="AB18" s="77" t="n">
        <v>-1099.36</v>
      </c>
    </row>
    <row r="19" ht="14.25" customHeight="1" s="87">
      <c r="A19" s="140" t="inlineStr">
        <is>
          <t>15:00</t>
        </is>
      </c>
      <c r="B19" s="135" t="n"/>
      <c r="C19" s="141" t="n">
        <v>0.705</v>
      </c>
      <c r="D19" s="141" t="n">
        <v>-80</v>
      </c>
      <c r="E19" s="82" t="n">
        <v>-56.4</v>
      </c>
      <c r="F19" s="141" t="n">
        <v>0</v>
      </c>
      <c r="G19" s="141" t="n">
        <v>0</v>
      </c>
      <c r="H19" s="141" t="n">
        <v>-80</v>
      </c>
      <c r="I19" s="82" t="n">
        <v>0</v>
      </c>
      <c r="J19" s="141" t="n">
        <v>0</v>
      </c>
      <c r="K19" s="141" t="n">
        <v>0</v>
      </c>
      <c r="L19" s="141" t="n">
        <v>0</v>
      </c>
      <c r="M19" s="82" t="n">
        <v>0</v>
      </c>
      <c r="N19" s="141" t="n">
        <v>0</v>
      </c>
      <c r="O19" s="82" t="n">
        <v>0</v>
      </c>
      <c r="P19" s="141" t="n">
        <v>-80</v>
      </c>
      <c r="Q19" s="82" t="n">
        <v>0</v>
      </c>
      <c r="R19" s="141" t="n">
        <v>0</v>
      </c>
      <c r="S19" s="82" t="n">
        <v>0</v>
      </c>
      <c r="T19" s="141" t="n">
        <v>-80</v>
      </c>
      <c r="U19" s="82" t="n">
        <v>0</v>
      </c>
      <c r="V19" s="82" t="n">
        <v>0</v>
      </c>
      <c r="W19" s="82" t="n">
        <v>0</v>
      </c>
      <c r="X19" s="82" t="n">
        <v>0</v>
      </c>
      <c r="Y19" s="82" t="n">
        <v>0</v>
      </c>
      <c r="Z19" s="141" t="n">
        <v>0.705</v>
      </c>
      <c r="AA19" s="141" t="n">
        <v>-80</v>
      </c>
      <c r="AB19" s="82" t="n">
        <v>-56.4</v>
      </c>
    </row>
    <row r="20" ht="14.25" customHeight="1" s="87">
      <c r="A20" s="142" t="inlineStr">
        <is>
          <t>16:00</t>
        </is>
      </c>
      <c r="B20" s="135" t="n"/>
      <c r="C20" s="139" t="n">
        <v>0.617</v>
      </c>
      <c r="D20" s="139" t="n">
        <v>163.106</v>
      </c>
      <c r="E20" s="77" t="n">
        <v>100.636402</v>
      </c>
      <c r="F20" s="139" t="n">
        <v>0</v>
      </c>
      <c r="G20" s="139" t="n">
        <v>0</v>
      </c>
      <c r="H20" s="139" t="n">
        <v>163.106</v>
      </c>
      <c r="I20" s="77" t="n">
        <v>0</v>
      </c>
      <c r="J20" s="139" t="n">
        <v>0</v>
      </c>
      <c r="K20" s="139" t="n">
        <v>0</v>
      </c>
      <c r="L20" s="139" t="n">
        <v>0</v>
      </c>
      <c r="M20" s="77" t="n">
        <v>0</v>
      </c>
      <c r="N20" s="139" t="n">
        <v>0</v>
      </c>
      <c r="O20" s="77" t="n">
        <v>0</v>
      </c>
      <c r="P20" s="139" t="n">
        <v>163.106</v>
      </c>
      <c r="Q20" s="77" t="n">
        <v>0</v>
      </c>
      <c r="R20" s="139" t="n">
        <v>0</v>
      </c>
      <c r="S20" s="77" t="n">
        <v>0</v>
      </c>
      <c r="T20" s="139" t="n">
        <v>163.106</v>
      </c>
      <c r="U20" s="77" t="n">
        <v>0</v>
      </c>
      <c r="V20" s="77" t="n">
        <v>0</v>
      </c>
      <c r="W20" s="77" t="n">
        <v>0</v>
      </c>
      <c r="X20" s="77" t="n">
        <v>0</v>
      </c>
      <c r="Y20" s="77" t="n">
        <v>0</v>
      </c>
      <c r="Z20" s="139" t="n">
        <v>0.617</v>
      </c>
      <c r="AA20" s="139" t="n">
        <v>163.106</v>
      </c>
      <c r="AB20" s="77" t="n">
        <v>100.636402</v>
      </c>
    </row>
    <row r="21" ht="14.25" customHeight="1" s="87">
      <c r="A21" s="140" t="inlineStr">
        <is>
          <t>17:00</t>
        </is>
      </c>
      <c r="B21" s="135" t="n"/>
      <c r="C21" s="141" t="n">
        <v>0.529</v>
      </c>
      <c r="D21" s="141" t="n">
        <v>557.003</v>
      </c>
      <c r="E21" s="82" t="n">
        <v>294.654587</v>
      </c>
      <c r="F21" s="141" t="n">
        <v>0</v>
      </c>
      <c r="G21" s="141" t="n">
        <v>0</v>
      </c>
      <c r="H21" s="141" t="n">
        <v>557.003</v>
      </c>
      <c r="I21" s="82" t="n">
        <v>0</v>
      </c>
      <c r="J21" s="141" t="n">
        <v>0</v>
      </c>
      <c r="K21" s="141" t="n">
        <v>0</v>
      </c>
      <c r="L21" s="141" t="n">
        <v>0</v>
      </c>
      <c r="M21" s="82" t="n">
        <v>0</v>
      </c>
      <c r="N21" s="141" t="n">
        <v>0</v>
      </c>
      <c r="O21" s="82" t="n">
        <v>0</v>
      </c>
      <c r="P21" s="141" t="n">
        <v>557.003</v>
      </c>
      <c r="Q21" s="82" t="n">
        <v>0</v>
      </c>
      <c r="R21" s="141" t="n">
        <v>0</v>
      </c>
      <c r="S21" s="82" t="n">
        <v>0</v>
      </c>
      <c r="T21" s="141" t="n">
        <v>557.003</v>
      </c>
      <c r="U21" s="82" t="n">
        <v>0</v>
      </c>
      <c r="V21" s="82" t="n">
        <v>0</v>
      </c>
      <c r="W21" s="82" t="n">
        <v>0</v>
      </c>
      <c r="X21" s="82" t="n">
        <v>0</v>
      </c>
      <c r="Y21" s="82" t="n">
        <v>0</v>
      </c>
      <c r="Z21" s="141" t="n">
        <v>0.529</v>
      </c>
      <c r="AA21" s="141" t="n">
        <v>557.003</v>
      </c>
      <c r="AB21" s="82" t="n">
        <v>294.654587</v>
      </c>
    </row>
    <row r="22" ht="14.25" customHeight="1" s="87">
      <c r="A22" s="142" t="inlineStr">
        <is>
          <t>18:00</t>
        </is>
      </c>
      <c r="B22" s="135" t="n"/>
      <c r="C22" s="139" t="n">
        <v>0.353</v>
      </c>
      <c r="D22" s="139" t="n">
        <v>608.324</v>
      </c>
      <c r="E22" s="77" t="n">
        <v>214.738372</v>
      </c>
      <c r="F22" s="139" t="n">
        <v>0</v>
      </c>
      <c r="G22" s="139" t="n">
        <v>0</v>
      </c>
      <c r="H22" s="139" t="n">
        <v>608.324</v>
      </c>
      <c r="I22" s="77" t="n">
        <v>0</v>
      </c>
      <c r="J22" s="139" t="n">
        <v>0</v>
      </c>
      <c r="K22" s="139" t="n">
        <v>0</v>
      </c>
      <c r="L22" s="139" t="n">
        <v>0</v>
      </c>
      <c r="M22" s="77" t="n">
        <v>0</v>
      </c>
      <c r="N22" s="139" t="n">
        <v>0</v>
      </c>
      <c r="O22" s="77" t="n">
        <v>0</v>
      </c>
      <c r="P22" s="139" t="n">
        <v>608.324</v>
      </c>
      <c r="Q22" s="77" t="n">
        <v>0</v>
      </c>
      <c r="R22" s="139" t="n">
        <v>0</v>
      </c>
      <c r="S22" s="77" t="n">
        <v>0</v>
      </c>
      <c r="T22" s="139" t="n">
        <v>608.324</v>
      </c>
      <c r="U22" s="77" t="n">
        <v>0</v>
      </c>
      <c r="V22" s="77" t="n">
        <v>0</v>
      </c>
      <c r="W22" s="77" t="n">
        <v>0</v>
      </c>
      <c r="X22" s="77" t="n">
        <v>0</v>
      </c>
      <c r="Y22" s="77" t="n">
        <v>0</v>
      </c>
      <c r="Z22" s="139" t="n">
        <v>0.353</v>
      </c>
      <c r="AA22" s="139" t="n">
        <v>608.324</v>
      </c>
      <c r="AB22" s="77" t="n">
        <v>214.738372</v>
      </c>
    </row>
    <row r="23" ht="14.25" customHeight="1" s="87">
      <c r="A23" s="140" t="inlineStr">
        <is>
          <t>19:00</t>
        </is>
      </c>
      <c r="B23" s="135" t="n"/>
      <c r="C23" s="141" t="n">
        <v>0</v>
      </c>
      <c r="D23" s="141" t="n">
        <v>603.941</v>
      </c>
      <c r="E23" s="82" t="n">
        <v>0</v>
      </c>
      <c r="F23" s="141" t="n">
        <v>0</v>
      </c>
      <c r="G23" s="141" t="n">
        <v>0</v>
      </c>
      <c r="H23" s="141" t="n">
        <v>603.941</v>
      </c>
      <c r="I23" s="82" t="n">
        <v>0</v>
      </c>
      <c r="J23" s="141" t="n">
        <v>0</v>
      </c>
      <c r="K23" s="141" t="n">
        <v>0</v>
      </c>
      <c r="L23" s="141" t="n">
        <v>0</v>
      </c>
      <c r="M23" s="82" t="n">
        <v>0</v>
      </c>
      <c r="N23" s="141" t="n">
        <v>0</v>
      </c>
      <c r="O23" s="82" t="n">
        <v>0</v>
      </c>
      <c r="P23" s="141" t="n">
        <v>603.941</v>
      </c>
      <c r="Q23" s="82" t="n">
        <v>0</v>
      </c>
      <c r="R23" s="141" t="n">
        <v>0</v>
      </c>
      <c r="S23" s="82" t="n">
        <v>0</v>
      </c>
      <c r="T23" s="141" t="n">
        <v>603.941</v>
      </c>
      <c r="U23" s="82" t="n">
        <v>0</v>
      </c>
      <c r="V23" s="82" t="n">
        <v>0</v>
      </c>
      <c r="W23" s="82" t="n">
        <v>0</v>
      </c>
      <c r="X23" s="82" t="n">
        <v>0</v>
      </c>
      <c r="Y23" s="82" t="n">
        <v>0</v>
      </c>
      <c r="Z23" s="141" t="n">
        <v>0</v>
      </c>
      <c r="AA23" s="141" t="inlineStr">
        <is>
          <t>-</t>
        </is>
      </c>
      <c r="AB23" s="82" t="n">
        <v>0</v>
      </c>
    </row>
    <row r="24" ht="14.25" customHeight="1" s="87">
      <c r="A24" s="142" t="inlineStr">
        <is>
          <t>20:00</t>
        </is>
      </c>
      <c r="B24" s="135" t="n"/>
      <c r="C24" s="139" t="n">
        <v>0</v>
      </c>
      <c r="D24" s="139" t="n">
        <v>587.389</v>
      </c>
      <c r="E24" s="77" t="n">
        <v>0</v>
      </c>
      <c r="F24" s="139" t="n">
        <v>0</v>
      </c>
      <c r="G24" s="139" t="n">
        <v>0</v>
      </c>
      <c r="H24" s="139" t="n">
        <v>587.389</v>
      </c>
      <c r="I24" s="77" t="n">
        <v>0</v>
      </c>
      <c r="J24" s="139" t="n">
        <v>0</v>
      </c>
      <c r="K24" s="139" t="n">
        <v>0</v>
      </c>
      <c r="L24" s="139" t="n">
        <v>0</v>
      </c>
      <c r="M24" s="77" t="n">
        <v>0</v>
      </c>
      <c r="N24" s="139" t="n">
        <v>0</v>
      </c>
      <c r="O24" s="77" t="n">
        <v>0</v>
      </c>
      <c r="P24" s="139" t="n">
        <v>587.389</v>
      </c>
      <c r="Q24" s="77" t="n">
        <v>0</v>
      </c>
      <c r="R24" s="139" t="n">
        <v>0</v>
      </c>
      <c r="S24" s="77" t="n">
        <v>0</v>
      </c>
      <c r="T24" s="139" t="n">
        <v>587.389</v>
      </c>
      <c r="U24" s="77" t="n">
        <v>0</v>
      </c>
      <c r="V24" s="77" t="n">
        <v>0</v>
      </c>
      <c r="W24" s="77" t="n">
        <v>0</v>
      </c>
      <c r="X24" s="77" t="n">
        <v>0</v>
      </c>
      <c r="Y24" s="77" t="n">
        <v>0</v>
      </c>
      <c r="Z24" s="139" t="n">
        <v>0</v>
      </c>
      <c r="AA24" s="139" t="inlineStr">
        <is>
          <t>-</t>
        </is>
      </c>
      <c r="AB24" s="77" t="n">
        <v>0</v>
      </c>
    </row>
    <row r="25" ht="14.25" customHeight="1" s="87">
      <c r="A25" s="140" t="inlineStr">
        <is>
          <t>21:00</t>
        </is>
      </c>
      <c r="B25" s="135" t="n"/>
      <c r="C25" s="141" t="n">
        <v>0</v>
      </c>
      <c r="D25" s="141" t="n">
        <v>585.317</v>
      </c>
      <c r="E25" s="82" t="n">
        <v>0</v>
      </c>
      <c r="F25" s="141" t="n">
        <v>0</v>
      </c>
      <c r="G25" s="141" t="n">
        <v>0</v>
      </c>
      <c r="H25" s="141" t="n">
        <v>585.317</v>
      </c>
      <c r="I25" s="82" t="n">
        <v>0</v>
      </c>
      <c r="J25" s="141" t="n">
        <v>0</v>
      </c>
      <c r="K25" s="141" t="n">
        <v>0</v>
      </c>
      <c r="L25" s="141" t="n">
        <v>0</v>
      </c>
      <c r="M25" s="82" t="n">
        <v>0</v>
      </c>
      <c r="N25" s="141" t="n">
        <v>0</v>
      </c>
      <c r="O25" s="82" t="n">
        <v>0</v>
      </c>
      <c r="P25" s="141" t="n">
        <v>585.317</v>
      </c>
      <c r="Q25" s="82" t="n">
        <v>0</v>
      </c>
      <c r="R25" s="141" t="n">
        <v>0</v>
      </c>
      <c r="S25" s="82" t="n">
        <v>0</v>
      </c>
      <c r="T25" s="141" t="n">
        <v>585.317</v>
      </c>
      <c r="U25" s="82" t="n">
        <v>0</v>
      </c>
      <c r="V25" s="82" t="n">
        <v>0</v>
      </c>
      <c r="W25" s="82" t="n">
        <v>0</v>
      </c>
      <c r="X25" s="82" t="n">
        <v>0</v>
      </c>
      <c r="Y25" s="82" t="n">
        <v>0</v>
      </c>
      <c r="Z25" s="141" t="n">
        <v>0</v>
      </c>
      <c r="AA25" s="141" t="inlineStr">
        <is>
          <t>-</t>
        </is>
      </c>
      <c r="AB25" s="82" t="n">
        <v>0</v>
      </c>
    </row>
    <row r="26" ht="14.25" customHeight="1" s="87">
      <c r="A26" s="142" t="inlineStr">
        <is>
          <t>22:00</t>
        </is>
      </c>
      <c r="B26" s="135" t="n"/>
      <c r="C26" s="139" t="n">
        <v>0.176</v>
      </c>
      <c r="D26" s="139" t="n">
        <v>598.8099999999999</v>
      </c>
      <c r="E26" s="77" t="n">
        <v>105.39056</v>
      </c>
      <c r="F26" s="139" t="n">
        <v>0</v>
      </c>
      <c r="G26" s="139" t="n">
        <v>0</v>
      </c>
      <c r="H26" s="139" t="n">
        <v>598.8099999999999</v>
      </c>
      <c r="I26" s="77" t="n">
        <v>0</v>
      </c>
      <c r="J26" s="139" t="n">
        <v>0</v>
      </c>
      <c r="K26" s="139" t="n">
        <v>0</v>
      </c>
      <c r="L26" s="139" t="n">
        <v>0</v>
      </c>
      <c r="M26" s="77" t="n">
        <v>0</v>
      </c>
      <c r="N26" s="139" t="n">
        <v>0</v>
      </c>
      <c r="O26" s="77" t="n">
        <v>0</v>
      </c>
      <c r="P26" s="139" t="n">
        <v>598.8099999999999</v>
      </c>
      <c r="Q26" s="77" t="n">
        <v>0</v>
      </c>
      <c r="R26" s="139" t="n">
        <v>0</v>
      </c>
      <c r="S26" s="77" t="n">
        <v>0</v>
      </c>
      <c r="T26" s="139" t="n">
        <v>598.8099999999999</v>
      </c>
      <c r="U26" s="77" t="n">
        <v>0</v>
      </c>
      <c r="V26" s="77" t="n">
        <v>0</v>
      </c>
      <c r="W26" s="77" t="n">
        <v>0</v>
      </c>
      <c r="X26" s="77" t="n">
        <v>0</v>
      </c>
      <c r="Y26" s="77" t="n">
        <v>0</v>
      </c>
      <c r="Z26" s="139" t="n">
        <v>0.176</v>
      </c>
      <c r="AA26" s="139" t="n">
        <v>598.8099999999999</v>
      </c>
      <c r="AB26" s="77" t="n">
        <v>105.39056</v>
      </c>
    </row>
    <row r="27" ht="14.25" customHeight="1" s="87">
      <c r="A27" s="140" t="inlineStr">
        <is>
          <t>23:00</t>
        </is>
      </c>
      <c r="B27" s="135" t="n"/>
      <c r="C27" s="141" t="n">
        <v>0.264</v>
      </c>
      <c r="D27" s="141" t="n">
        <v>598.063</v>
      </c>
      <c r="E27" s="82" t="n">
        <v>157.888632</v>
      </c>
      <c r="F27" s="141" t="n">
        <v>0</v>
      </c>
      <c r="G27" s="141" t="n">
        <v>0</v>
      </c>
      <c r="H27" s="141" t="n">
        <v>598.063</v>
      </c>
      <c r="I27" s="82" t="n">
        <v>0</v>
      </c>
      <c r="J27" s="141" t="n">
        <v>0</v>
      </c>
      <c r="K27" s="141" t="n">
        <v>0</v>
      </c>
      <c r="L27" s="141" t="n">
        <v>0</v>
      </c>
      <c r="M27" s="82" t="n">
        <v>0</v>
      </c>
      <c r="N27" s="141" t="n">
        <v>0</v>
      </c>
      <c r="O27" s="82" t="n">
        <v>0</v>
      </c>
      <c r="P27" s="141" t="n">
        <v>598.063</v>
      </c>
      <c r="Q27" s="82" t="n">
        <v>0</v>
      </c>
      <c r="R27" s="141" t="n">
        <v>0</v>
      </c>
      <c r="S27" s="82" t="n">
        <v>0</v>
      </c>
      <c r="T27" s="141" t="n">
        <v>598.063</v>
      </c>
      <c r="U27" s="82" t="n">
        <v>0</v>
      </c>
      <c r="V27" s="82" t="n">
        <v>0</v>
      </c>
      <c r="W27" s="82" t="n">
        <v>0</v>
      </c>
      <c r="X27" s="82" t="n">
        <v>0</v>
      </c>
      <c r="Y27" s="82" t="n">
        <v>0</v>
      </c>
      <c r="Z27" s="141" t="n">
        <v>0.264</v>
      </c>
      <c r="AA27" s="141" t="n">
        <v>598.063</v>
      </c>
      <c r="AB27" s="82" t="n">
        <v>157.888632</v>
      </c>
    </row>
    <row r="28" ht="14.25" customHeight="1" s="87">
      <c r="A28" s="142" t="inlineStr">
        <is>
          <t>24:00</t>
        </is>
      </c>
      <c r="B28" s="135" t="n"/>
      <c r="C28" s="139" t="n">
        <v>0.264</v>
      </c>
      <c r="D28" s="139" t="n">
        <v>592.173</v>
      </c>
      <c r="E28" s="77" t="n">
        <v>156.333672</v>
      </c>
      <c r="F28" s="139" t="n">
        <v>0</v>
      </c>
      <c r="G28" s="139" t="n">
        <v>0</v>
      </c>
      <c r="H28" s="139" t="n">
        <v>592.173</v>
      </c>
      <c r="I28" s="77" t="n">
        <v>0</v>
      </c>
      <c r="J28" s="139" t="n">
        <v>0</v>
      </c>
      <c r="K28" s="139" t="n">
        <v>0</v>
      </c>
      <c r="L28" s="139" t="n">
        <v>0</v>
      </c>
      <c r="M28" s="77" t="n">
        <v>0</v>
      </c>
      <c r="N28" s="139" t="n">
        <v>0</v>
      </c>
      <c r="O28" s="77" t="n">
        <v>0</v>
      </c>
      <c r="P28" s="139" t="n">
        <v>592.173</v>
      </c>
      <c r="Q28" s="77" t="n">
        <v>0</v>
      </c>
      <c r="R28" s="139" t="n">
        <v>0</v>
      </c>
      <c r="S28" s="77" t="n">
        <v>0</v>
      </c>
      <c r="T28" s="139" t="n">
        <v>592.173</v>
      </c>
      <c r="U28" s="77" t="n">
        <v>0</v>
      </c>
      <c r="V28" s="77" t="n">
        <v>0</v>
      </c>
      <c r="W28" s="77" t="n">
        <v>0</v>
      </c>
      <c r="X28" s="77" t="n">
        <v>0</v>
      </c>
      <c r="Y28" s="77" t="n">
        <v>0</v>
      </c>
      <c r="Z28" s="139" t="n">
        <v>0.264</v>
      </c>
      <c r="AA28" s="139" t="n">
        <v>592.173</v>
      </c>
      <c r="AB28" s="77" t="n">
        <v>156.333672</v>
      </c>
    </row>
    <row r="29" ht="14.25" customHeight="1" s="87">
      <c r="A29" s="142" t="inlineStr">
        <is>
          <t>合计</t>
        </is>
      </c>
      <c r="B29" s="135" t="n"/>
      <c r="C29" s="141" t="n">
        <v>188.401</v>
      </c>
      <c r="D29" s="141" t="n">
        <v>-64.71965265046363</v>
      </c>
      <c r="E29" s="82" t="n">
        <v>-12193.247279</v>
      </c>
      <c r="F29" s="141" t="n">
        <v>0</v>
      </c>
      <c r="G29" s="141" t="inlineStr">
        <is>
          <t>-</t>
        </is>
      </c>
      <c r="H29" s="141" t="inlineStr">
        <is>
          <t>-</t>
        </is>
      </c>
      <c r="I29" s="82" t="n">
        <v>0</v>
      </c>
      <c r="J29" s="141" t="n">
        <v>0</v>
      </c>
      <c r="K29" s="82" t="inlineStr">
        <is>
          <t>-</t>
        </is>
      </c>
      <c r="L29" s="82" t="inlineStr">
        <is>
          <t>-</t>
        </is>
      </c>
      <c r="M29" s="82" t="n">
        <v>0</v>
      </c>
      <c r="N29" s="141" t="n">
        <v>0</v>
      </c>
      <c r="O29" s="141" t="inlineStr">
        <is>
          <t>-</t>
        </is>
      </c>
      <c r="P29" s="141" t="inlineStr">
        <is>
          <t>-</t>
        </is>
      </c>
      <c r="Q29" s="82" t="n">
        <v>0</v>
      </c>
      <c r="R29" s="141" t="n">
        <v>0</v>
      </c>
      <c r="S29" s="141" t="inlineStr">
        <is>
          <t>-</t>
        </is>
      </c>
      <c r="T29" s="141" t="inlineStr">
        <is>
          <t>-</t>
        </is>
      </c>
      <c r="U29" s="82" t="n">
        <v>0</v>
      </c>
      <c r="V29" s="82" t="n">
        <v>0</v>
      </c>
      <c r="W29" s="82" t="n">
        <v>176.26</v>
      </c>
      <c r="X29" s="82" t="n">
        <v>0</v>
      </c>
      <c r="Y29" s="82" t="n">
        <v>0</v>
      </c>
      <c r="Z29" s="141" t="n">
        <v>188.401</v>
      </c>
      <c r="AA29" s="141" t="n">
        <v>-63.78409498357227</v>
      </c>
      <c r="AB29" s="82" t="n">
        <v>-12016.987279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C80" workbookViewId="0">
      <selection activeCell="AC80" sqref="A1:XFD1048576"/>
    </sheetView>
  </sheetViews>
  <sheetFormatPr baseColWidth="8" defaultColWidth="9.77734375" defaultRowHeight="13.8"/>
  <cols>
    <col width="32.21875" customWidth="1" style="69" min="1" max="1"/>
    <col width="18.33203125" customWidth="1" style="69" min="2" max="7"/>
    <col width="20.21875" customWidth="1" style="69" min="8" max="10"/>
    <col width="18.33203125" customWidth="1" style="69" min="11" max="18"/>
    <col width="23.109375" customWidth="1" style="69" min="19" max="19"/>
    <col width="22.109375" customWidth="1" style="69" min="20" max="20"/>
    <col width="18.33203125" customWidth="1" style="69" min="21" max="23"/>
    <col width="27.88671875" customWidth="1" style="69" min="24" max="24"/>
    <col width="18.33203125" customWidth="1" style="69" min="25" max="30"/>
    <col width="20.21875" customWidth="1" style="69" min="31" max="35"/>
    <col width="18.33203125" customWidth="1" style="69" min="36" max="36"/>
    <col width="25.109375" customWidth="1" style="69" min="37" max="37"/>
    <col width="13.88671875" customWidth="1" style="69" min="38" max="39"/>
    <col width="9.77734375" customWidth="1" style="69" min="40" max="16384"/>
  </cols>
  <sheetData>
    <row r="1" ht="22.65" customHeight="1" s="87">
      <c r="A1" s="121" t="inlineStr">
        <is>
          <t>2026年5月13日日清算临时结果单（发电侧）</t>
        </is>
      </c>
    </row>
    <row r="2" ht="34.65" customHeight="1" s="87">
      <c r="A2" s="119" t="inlineStr">
        <is>
          <t>德州润津储能科技有限公司(发电):</t>
        </is>
      </c>
      <c r="K2" s="120" t="n"/>
      <c r="L2" s="120" t="n"/>
      <c r="M2" s="120" t="n"/>
      <c r="O2" s="7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71" t="n"/>
      <c r="AB2" s="71" t="n"/>
      <c r="AC2" s="71" t="n"/>
      <c r="AD2" s="71" t="n"/>
      <c r="AE2" s="72" t="n"/>
      <c r="AF2" s="120" t="n"/>
      <c r="AG2" s="120" t="n"/>
      <c r="AH2" s="120" t="n"/>
      <c r="AI2" s="120" t="n"/>
      <c r="AJ2" s="120" t="n"/>
      <c r="AK2" s="73" t="inlineStr">
        <is>
          <t>单位：兆瓦时、元/兆瓦时、元</t>
        </is>
      </c>
    </row>
    <row r="3" ht="19.95" customHeight="1" s="87">
      <c r="A3" s="122" t="inlineStr">
        <is>
          <t>时段</t>
        </is>
      </c>
      <c r="B3" s="122" t="inlineStr">
        <is>
          <t>跨省跨区结算</t>
        </is>
      </c>
      <c r="C3" s="134" t="n"/>
      <c r="D3" s="134" t="n"/>
      <c r="E3" s="134" t="n"/>
      <c r="F3" s="134" t="n"/>
      <c r="G3" s="134" t="n"/>
      <c r="H3" s="134" t="n"/>
      <c r="I3" s="134" t="n"/>
      <c r="J3" s="135" t="n"/>
      <c r="K3" s="122" t="inlineStr">
        <is>
          <t>非市场结算</t>
        </is>
      </c>
      <c r="L3" s="134" t="n"/>
      <c r="M3" s="135" t="n"/>
      <c r="N3" s="122" t="inlineStr">
        <is>
          <t>调试期结算</t>
        </is>
      </c>
      <c r="O3" s="122" t="inlineStr">
        <is>
          <t>省内实时市场结算</t>
        </is>
      </c>
      <c r="P3" s="134" t="n"/>
      <c r="Q3" s="135" t="n"/>
      <c r="R3" s="122" t="inlineStr">
        <is>
          <t>省内日前市场结算</t>
        </is>
      </c>
      <c r="S3" s="134" t="n"/>
      <c r="T3" s="134" t="n"/>
      <c r="U3" s="135" t="n"/>
      <c r="V3" s="122" t="inlineStr">
        <is>
          <t>省内中长期结算</t>
        </is>
      </c>
      <c r="W3" s="134" t="n"/>
      <c r="X3" s="134" t="n"/>
      <c r="Y3" s="135" t="n"/>
      <c r="Z3" s="122" t="inlineStr">
        <is>
          <t>运行成本补偿及分摊</t>
        </is>
      </c>
      <c r="AA3" s="135" t="n"/>
      <c r="AB3" s="122" t="inlineStr">
        <is>
          <t>供热考核及返还</t>
        </is>
      </c>
      <c r="AC3" s="135" t="n"/>
      <c r="AD3" s="143" t="inlineStr">
        <is>
          <t>市场超额收益回收</t>
        </is>
      </c>
      <c r="AE3" s="122" t="inlineStr">
        <is>
          <t>调频辅助服务</t>
        </is>
      </c>
      <c r="AF3" s="135" t="n"/>
      <c r="AG3" s="122" t="inlineStr">
        <is>
          <t>爬坡辅助服务</t>
        </is>
      </c>
      <c r="AH3" s="134" t="n"/>
      <c r="AI3" s="135" t="n"/>
      <c r="AJ3" s="122" t="inlineStr">
        <is>
          <t>总结算电量及费用</t>
        </is>
      </c>
      <c r="AK3" s="135" t="n"/>
    </row>
    <row r="4" ht="19.95" customHeight="1" s="87">
      <c r="A4" s="144" t="n"/>
      <c r="B4" s="122" t="inlineStr">
        <is>
          <t>省间中长期结算电量</t>
        </is>
      </c>
      <c r="C4" s="122" t="inlineStr">
        <is>
          <t>省间中长期结算价格</t>
        </is>
      </c>
      <c r="D4" s="122" t="inlineStr">
        <is>
          <t>省间中长期结算电费</t>
        </is>
      </c>
      <c r="E4" s="143" t="inlineStr">
        <is>
          <t>省间日前结算电量</t>
        </is>
      </c>
      <c r="F4" s="143" t="inlineStr">
        <is>
          <t>省间日前结算价格</t>
        </is>
      </c>
      <c r="G4" s="143" t="inlineStr">
        <is>
          <t>省间日前结算电费</t>
        </is>
      </c>
      <c r="H4" s="143" t="inlineStr">
        <is>
          <t>省间应急外送结算电量</t>
        </is>
      </c>
      <c r="I4" s="143" t="inlineStr">
        <is>
          <t>省间应急外送结算价格</t>
        </is>
      </c>
      <c r="J4" s="143" t="inlineStr">
        <is>
          <t>省间应急外送结算电费</t>
        </is>
      </c>
      <c r="K4" s="143" t="inlineStr">
        <is>
          <t>非市场结算电量</t>
        </is>
      </c>
      <c r="L4" s="143" t="inlineStr">
        <is>
          <t>非市场结算价格</t>
        </is>
      </c>
      <c r="M4" s="143" t="inlineStr">
        <is>
          <t>非市场电能量电费</t>
        </is>
      </c>
      <c r="N4" s="143" t="inlineStr">
        <is>
          <t>调试期结算电量</t>
        </is>
      </c>
      <c r="O4" s="143" t="inlineStr">
        <is>
          <t>实际上网电量</t>
        </is>
      </c>
      <c r="P4" s="143" t="inlineStr">
        <is>
          <t>实时市场节点电价</t>
        </is>
      </c>
      <c r="Q4" s="143" t="inlineStr">
        <is>
          <t>实时电能量电费</t>
        </is>
      </c>
      <c r="R4" s="143" t="inlineStr">
        <is>
          <t>日前出清电量</t>
        </is>
      </c>
      <c r="S4" s="143" t="inlineStr">
        <is>
          <t>日前市场出清电价</t>
        </is>
      </c>
      <c r="T4" s="143" t="inlineStr">
        <is>
          <t>实时市场统一结算点电价</t>
        </is>
      </c>
      <c r="U4" s="143" t="inlineStr">
        <is>
          <t>日前电能量电费</t>
        </is>
      </c>
      <c r="V4" s="143" t="inlineStr">
        <is>
          <t>中长期合约电量</t>
        </is>
      </c>
      <c r="W4" s="143" t="inlineStr">
        <is>
          <t>中长期合约固定价格</t>
        </is>
      </c>
      <c r="X4" s="143" t="inlineStr">
        <is>
          <t>中长期结算参考点现货市场电价</t>
        </is>
      </c>
      <c r="Y4" s="143" t="inlineStr">
        <is>
          <t>中长期合约电费</t>
        </is>
      </c>
      <c r="Z4" s="143" t="inlineStr">
        <is>
          <t>运行成本补偿费用</t>
        </is>
      </c>
      <c r="AA4" s="143" t="inlineStr">
        <is>
          <t>运行成本分摊费用</t>
        </is>
      </c>
      <c r="AB4" s="143" t="inlineStr">
        <is>
          <t>供热考核费用</t>
        </is>
      </c>
      <c r="AC4" s="143" t="inlineStr">
        <is>
          <t>供热返还费用</t>
        </is>
      </c>
      <c r="AD4" s="143" t="inlineStr">
        <is>
          <t>市场超额收益回收</t>
        </is>
      </c>
      <c r="AE4" s="143" t="inlineStr">
        <is>
          <t>调频辅助服务补偿费用</t>
        </is>
      </c>
      <c r="AF4" s="143" t="inlineStr">
        <is>
          <t>调频辅助服务分摊费用</t>
        </is>
      </c>
      <c r="AG4" s="122" t="inlineStr">
        <is>
          <t>爬坡辅助服务补偿费用</t>
        </is>
      </c>
      <c r="AH4" s="122" t="inlineStr">
        <is>
          <t>爬坡辅助服务考核费用</t>
        </is>
      </c>
      <c r="AI4" s="143" t="inlineStr">
        <is>
          <t>爬坡辅助服务分摊费用</t>
        </is>
      </c>
      <c r="AJ4" s="143" t="inlineStr">
        <is>
          <t>总结算电量</t>
        </is>
      </c>
      <c r="AK4" s="143" t="inlineStr">
        <is>
          <t>总结算费用</t>
        </is>
      </c>
    </row>
    <row r="5" ht="14.25" customHeight="1" s="87">
      <c r="A5" s="80" t="inlineStr">
        <is>
          <t>00:15</t>
        </is>
      </c>
      <c r="B5" s="141" t="n">
        <v>0</v>
      </c>
      <c r="C5" s="141" t="n">
        <v>0</v>
      </c>
      <c r="D5" s="82" t="n">
        <v>0</v>
      </c>
      <c r="E5" s="141" t="n">
        <v>0</v>
      </c>
      <c r="F5" s="141" t="n">
        <v>0</v>
      </c>
      <c r="G5" s="82" t="n">
        <v>0</v>
      </c>
      <c r="H5" s="145" t="n"/>
      <c r="I5" s="145" t="n"/>
      <c r="J5" s="84" t="n"/>
      <c r="K5" s="141" t="n">
        <v>0</v>
      </c>
      <c r="L5" s="141" t="n">
        <v>0</v>
      </c>
      <c r="M5" s="82" t="n">
        <v>0</v>
      </c>
      <c r="N5" s="82" t="n">
        <v>0</v>
      </c>
      <c r="O5" s="141" t="n">
        <v>0</v>
      </c>
      <c r="P5" s="141" t="n">
        <v>426</v>
      </c>
      <c r="Q5" s="82" t="n">
        <v>0</v>
      </c>
      <c r="R5" s="141" t="n">
        <v>0</v>
      </c>
      <c r="S5" s="141" t="n">
        <v>0</v>
      </c>
      <c r="T5" s="141" t="n">
        <v>426</v>
      </c>
      <c r="U5" s="82" t="n">
        <v>0</v>
      </c>
      <c r="V5" s="141" t="n">
        <v>0</v>
      </c>
      <c r="W5" s="141" t="n">
        <v>0</v>
      </c>
      <c r="X5" s="141" t="n">
        <v>0</v>
      </c>
      <c r="Y5" s="82" t="n">
        <v>0</v>
      </c>
      <c r="Z5" s="82" t="n">
        <v>0</v>
      </c>
      <c r="AA5" s="82" t="n">
        <v>0</v>
      </c>
      <c r="AB5" s="82" t="n">
        <v>0</v>
      </c>
      <c r="AC5" s="82" t="n">
        <v>0</v>
      </c>
      <c r="AD5" s="82" t="n">
        <v>0</v>
      </c>
      <c r="AE5" s="82" t="n">
        <v>0</v>
      </c>
      <c r="AF5" s="82" t="n">
        <v>0</v>
      </c>
      <c r="AG5" s="82" t="n">
        <v>0</v>
      </c>
      <c r="AH5" s="82" t="n">
        <v>0</v>
      </c>
      <c r="AI5" s="82" t="n">
        <v>0</v>
      </c>
      <c r="AJ5" s="141" t="n">
        <v>0</v>
      </c>
      <c r="AK5" s="82" t="n">
        <v>0</v>
      </c>
    </row>
    <row r="6" ht="14.25" customHeight="1" s="87">
      <c r="A6" s="75" t="inlineStr">
        <is>
          <t>00:30</t>
        </is>
      </c>
      <c r="B6" s="139" t="n">
        <v>0</v>
      </c>
      <c r="C6" s="139" t="n">
        <v>0</v>
      </c>
      <c r="D6" s="77" t="n">
        <v>0</v>
      </c>
      <c r="E6" s="139" t="n">
        <v>0</v>
      </c>
      <c r="F6" s="139" t="n">
        <v>0</v>
      </c>
      <c r="G6" s="77" t="n">
        <v>0</v>
      </c>
      <c r="H6" s="146" t="n"/>
      <c r="I6" s="146" t="n"/>
      <c r="J6" s="79" t="n"/>
      <c r="K6" s="139" t="n">
        <v>0</v>
      </c>
      <c r="L6" s="139" t="n">
        <v>0</v>
      </c>
      <c r="M6" s="77" t="n">
        <v>0</v>
      </c>
      <c r="N6" s="77" t="n">
        <v>0</v>
      </c>
      <c r="O6" s="139" t="n">
        <v>0</v>
      </c>
      <c r="P6" s="139" t="n">
        <v>414.24</v>
      </c>
      <c r="Q6" s="77" t="n">
        <v>0</v>
      </c>
      <c r="R6" s="139" t="n">
        <v>0</v>
      </c>
      <c r="S6" s="139" t="n">
        <v>0</v>
      </c>
      <c r="T6" s="139" t="n">
        <v>414.24</v>
      </c>
      <c r="U6" s="77" t="n">
        <v>0</v>
      </c>
      <c r="V6" s="139" t="n">
        <v>0</v>
      </c>
      <c r="W6" s="139" t="n">
        <v>0</v>
      </c>
      <c r="X6" s="139" t="n">
        <v>0</v>
      </c>
      <c r="Y6" s="77" t="n">
        <v>0</v>
      </c>
      <c r="Z6" s="77" t="n">
        <v>0</v>
      </c>
      <c r="AA6" s="77" t="n">
        <v>0</v>
      </c>
      <c r="AB6" s="77" t="n">
        <v>0</v>
      </c>
      <c r="AC6" s="77" t="n">
        <v>0</v>
      </c>
      <c r="AD6" s="77" t="n">
        <v>0</v>
      </c>
      <c r="AE6" s="77" t="n">
        <v>0</v>
      </c>
      <c r="AF6" s="77" t="n">
        <v>0</v>
      </c>
      <c r="AG6" s="77" t="n">
        <v>0</v>
      </c>
      <c r="AH6" s="77" t="n">
        <v>0</v>
      </c>
      <c r="AI6" s="77" t="n">
        <v>0</v>
      </c>
      <c r="AJ6" s="139" t="n">
        <v>0</v>
      </c>
      <c r="AK6" s="77" t="n">
        <v>0</v>
      </c>
    </row>
    <row r="7" ht="14.25" customHeight="1" s="87">
      <c r="A7" s="80" t="inlineStr">
        <is>
          <t>00:45</t>
        </is>
      </c>
      <c r="B7" s="141" t="n">
        <v>0</v>
      </c>
      <c r="C7" s="141" t="n">
        <v>0</v>
      </c>
      <c r="D7" s="82" t="n">
        <v>0</v>
      </c>
      <c r="E7" s="141" t="n">
        <v>0</v>
      </c>
      <c r="F7" s="141" t="n">
        <v>0</v>
      </c>
      <c r="G7" s="82" t="n">
        <v>0</v>
      </c>
      <c r="H7" s="145" t="n"/>
      <c r="I7" s="145" t="n"/>
      <c r="J7" s="84" t="n"/>
      <c r="K7" s="141" t="n">
        <v>0</v>
      </c>
      <c r="L7" s="141" t="n">
        <v>0</v>
      </c>
      <c r="M7" s="82" t="n">
        <v>0</v>
      </c>
      <c r="N7" s="82" t="n">
        <v>0</v>
      </c>
      <c r="O7" s="141" t="n">
        <v>0</v>
      </c>
      <c r="P7" s="141" t="n">
        <v>416</v>
      </c>
      <c r="Q7" s="82" t="n">
        <v>0</v>
      </c>
      <c r="R7" s="141" t="n">
        <v>0</v>
      </c>
      <c r="S7" s="141" t="n">
        <v>0</v>
      </c>
      <c r="T7" s="141" t="n">
        <v>416</v>
      </c>
      <c r="U7" s="82" t="n">
        <v>0</v>
      </c>
      <c r="V7" s="141" t="n">
        <v>0</v>
      </c>
      <c r="W7" s="141" t="n">
        <v>0</v>
      </c>
      <c r="X7" s="141" t="n">
        <v>0</v>
      </c>
      <c r="Y7" s="82" t="n">
        <v>0</v>
      </c>
      <c r="Z7" s="82" t="n">
        <v>0</v>
      </c>
      <c r="AA7" s="82" t="n">
        <v>0</v>
      </c>
      <c r="AB7" s="82" t="n">
        <v>0</v>
      </c>
      <c r="AC7" s="82" t="n">
        <v>0</v>
      </c>
      <c r="AD7" s="82" t="n">
        <v>0</v>
      </c>
      <c r="AE7" s="82" t="n">
        <v>0</v>
      </c>
      <c r="AF7" s="82" t="n">
        <v>0</v>
      </c>
      <c r="AG7" s="82" t="n">
        <v>0</v>
      </c>
      <c r="AH7" s="82" t="n">
        <v>0</v>
      </c>
      <c r="AI7" s="82" t="n">
        <v>0</v>
      </c>
      <c r="AJ7" s="141" t="n">
        <v>0</v>
      </c>
      <c r="AK7" s="82" t="n">
        <v>0</v>
      </c>
    </row>
    <row r="8" ht="14.25" customHeight="1" s="87">
      <c r="A8" s="75" t="inlineStr">
        <is>
          <t>01:00</t>
        </is>
      </c>
      <c r="B8" s="139" t="n">
        <v>0</v>
      </c>
      <c r="C8" s="139" t="n">
        <v>0</v>
      </c>
      <c r="D8" s="77" t="n">
        <v>0</v>
      </c>
      <c r="E8" s="139" t="n">
        <v>0</v>
      </c>
      <c r="F8" s="139" t="n">
        <v>0</v>
      </c>
      <c r="G8" s="77" t="n">
        <v>0</v>
      </c>
      <c r="H8" s="146" t="n"/>
      <c r="I8" s="146" t="n"/>
      <c r="J8" s="79" t="n"/>
      <c r="K8" s="139" t="n">
        <v>0</v>
      </c>
      <c r="L8" s="139" t="n">
        <v>0</v>
      </c>
      <c r="M8" s="77" t="n">
        <v>0</v>
      </c>
      <c r="N8" s="77" t="n">
        <v>0</v>
      </c>
      <c r="O8" s="139" t="n">
        <v>0</v>
      </c>
      <c r="P8" s="139" t="n">
        <v>414</v>
      </c>
      <c r="Q8" s="77" t="n">
        <v>0</v>
      </c>
      <c r="R8" s="139" t="n">
        <v>0</v>
      </c>
      <c r="S8" s="139" t="n">
        <v>0</v>
      </c>
      <c r="T8" s="139" t="n">
        <v>414</v>
      </c>
      <c r="U8" s="77" t="n">
        <v>0</v>
      </c>
      <c r="V8" s="139" t="n">
        <v>0</v>
      </c>
      <c r="W8" s="139" t="n">
        <v>0</v>
      </c>
      <c r="X8" s="139" t="n">
        <v>0</v>
      </c>
      <c r="Y8" s="77" t="n">
        <v>0</v>
      </c>
      <c r="Z8" s="77" t="n">
        <v>0</v>
      </c>
      <c r="AA8" s="77" t="n">
        <v>0</v>
      </c>
      <c r="AB8" s="77" t="n">
        <v>0</v>
      </c>
      <c r="AC8" s="77" t="n">
        <v>0</v>
      </c>
      <c r="AD8" s="77" t="n">
        <v>0</v>
      </c>
      <c r="AE8" s="77" t="n">
        <v>0</v>
      </c>
      <c r="AF8" s="77" t="n">
        <v>0</v>
      </c>
      <c r="AG8" s="77" t="n">
        <v>0</v>
      </c>
      <c r="AH8" s="77" t="n">
        <v>0</v>
      </c>
      <c r="AI8" s="77" t="n">
        <v>0</v>
      </c>
      <c r="AJ8" s="139" t="n">
        <v>0</v>
      </c>
      <c r="AK8" s="77" t="n">
        <v>0</v>
      </c>
    </row>
    <row r="9" ht="14.25" customHeight="1" s="87">
      <c r="A9" s="80" t="inlineStr">
        <is>
          <t>01:15</t>
        </is>
      </c>
      <c r="B9" s="141" t="n">
        <v>0</v>
      </c>
      <c r="C9" s="141" t="n">
        <v>0</v>
      </c>
      <c r="D9" s="82" t="n">
        <v>0</v>
      </c>
      <c r="E9" s="141" t="n">
        <v>0</v>
      </c>
      <c r="F9" s="141" t="n">
        <v>0</v>
      </c>
      <c r="G9" s="82" t="n">
        <v>0</v>
      </c>
      <c r="H9" s="145" t="n"/>
      <c r="I9" s="145" t="n"/>
      <c r="J9" s="84" t="n"/>
      <c r="K9" s="141" t="n">
        <v>0</v>
      </c>
      <c r="L9" s="141" t="n">
        <v>0</v>
      </c>
      <c r="M9" s="82" t="n">
        <v>0</v>
      </c>
      <c r="N9" s="82" t="n">
        <v>0</v>
      </c>
      <c r="O9" s="141" t="n">
        <v>0</v>
      </c>
      <c r="P9" s="141" t="n">
        <v>417.396</v>
      </c>
      <c r="Q9" s="82" t="n">
        <v>0</v>
      </c>
      <c r="R9" s="141" t="n">
        <v>0</v>
      </c>
      <c r="S9" s="141" t="n">
        <v>0</v>
      </c>
      <c r="T9" s="141" t="n">
        <v>417.4</v>
      </c>
      <c r="U9" s="82" t="n">
        <v>0</v>
      </c>
      <c r="V9" s="141" t="n">
        <v>0</v>
      </c>
      <c r="W9" s="141" t="n">
        <v>0</v>
      </c>
      <c r="X9" s="141" t="n">
        <v>0</v>
      </c>
      <c r="Y9" s="82" t="n">
        <v>0</v>
      </c>
      <c r="Z9" s="82" t="n">
        <v>0</v>
      </c>
      <c r="AA9" s="82" t="n">
        <v>0</v>
      </c>
      <c r="AB9" s="82" t="n">
        <v>0</v>
      </c>
      <c r="AC9" s="82" t="n">
        <v>0</v>
      </c>
      <c r="AD9" s="82" t="n">
        <v>0</v>
      </c>
      <c r="AE9" s="82" t="n">
        <v>0</v>
      </c>
      <c r="AF9" s="82" t="n">
        <v>0</v>
      </c>
      <c r="AG9" s="82" t="n">
        <v>0</v>
      </c>
      <c r="AH9" s="82" t="n">
        <v>0</v>
      </c>
      <c r="AI9" s="82" t="n">
        <v>0</v>
      </c>
      <c r="AJ9" s="141" t="n">
        <v>0</v>
      </c>
      <c r="AK9" s="82" t="n">
        <v>0</v>
      </c>
    </row>
    <row r="10" ht="14.25" customHeight="1" s="87">
      <c r="A10" s="75" t="inlineStr">
        <is>
          <t>01:30</t>
        </is>
      </c>
      <c r="B10" s="139" t="n">
        <v>0</v>
      </c>
      <c r="C10" s="139" t="n">
        <v>0</v>
      </c>
      <c r="D10" s="77" t="n">
        <v>0</v>
      </c>
      <c r="E10" s="139" t="n">
        <v>0</v>
      </c>
      <c r="F10" s="139" t="n">
        <v>0</v>
      </c>
      <c r="G10" s="77" t="n">
        <v>0</v>
      </c>
      <c r="H10" s="146" t="n"/>
      <c r="I10" s="146" t="n"/>
      <c r="J10" s="79" t="n"/>
      <c r="K10" s="139" t="n">
        <v>0</v>
      </c>
      <c r="L10" s="139" t="n">
        <v>0</v>
      </c>
      <c r="M10" s="77" t="n">
        <v>0</v>
      </c>
      <c r="N10" s="77" t="n">
        <v>0</v>
      </c>
      <c r="O10" s="139" t="n">
        <v>0</v>
      </c>
      <c r="P10" s="139" t="n">
        <v>412.6</v>
      </c>
      <c r="Q10" s="77" t="n">
        <v>0</v>
      </c>
      <c r="R10" s="139" t="n">
        <v>0</v>
      </c>
      <c r="S10" s="139" t="n">
        <v>0</v>
      </c>
      <c r="T10" s="139" t="n">
        <v>412.6</v>
      </c>
      <c r="U10" s="77" t="n">
        <v>0</v>
      </c>
      <c r="V10" s="139" t="n">
        <v>0</v>
      </c>
      <c r="W10" s="139" t="n">
        <v>0</v>
      </c>
      <c r="X10" s="139" t="n">
        <v>0</v>
      </c>
      <c r="Y10" s="77" t="n">
        <v>0</v>
      </c>
      <c r="Z10" s="77" t="n">
        <v>0</v>
      </c>
      <c r="AA10" s="77" t="n">
        <v>0</v>
      </c>
      <c r="AB10" s="77" t="n">
        <v>0</v>
      </c>
      <c r="AC10" s="77" t="n">
        <v>0</v>
      </c>
      <c r="AD10" s="77" t="n">
        <v>0</v>
      </c>
      <c r="AE10" s="77" t="n">
        <v>0</v>
      </c>
      <c r="AF10" s="77" t="n">
        <v>0</v>
      </c>
      <c r="AG10" s="77" t="n">
        <v>0</v>
      </c>
      <c r="AH10" s="77" t="n">
        <v>0</v>
      </c>
      <c r="AI10" s="77" t="n">
        <v>0</v>
      </c>
      <c r="AJ10" s="139" t="n">
        <v>0</v>
      </c>
      <c r="AK10" s="77" t="n">
        <v>0</v>
      </c>
    </row>
    <row r="11" ht="14.25" customHeight="1" s="87">
      <c r="A11" s="80" t="inlineStr">
        <is>
          <t>01:45</t>
        </is>
      </c>
      <c r="B11" s="141" t="n">
        <v>0</v>
      </c>
      <c r="C11" s="141" t="n">
        <v>0</v>
      </c>
      <c r="D11" s="82" t="n">
        <v>0</v>
      </c>
      <c r="E11" s="141" t="n">
        <v>0</v>
      </c>
      <c r="F11" s="141" t="n">
        <v>0</v>
      </c>
      <c r="G11" s="82" t="n">
        <v>0</v>
      </c>
      <c r="H11" s="145" t="n"/>
      <c r="I11" s="145" t="n"/>
      <c r="J11" s="84" t="n"/>
      <c r="K11" s="141" t="n">
        <v>0</v>
      </c>
      <c r="L11" s="141" t="n">
        <v>0</v>
      </c>
      <c r="M11" s="82" t="n">
        <v>0</v>
      </c>
      <c r="N11" s="82" t="n">
        <v>0</v>
      </c>
      <c r="O11" s="141" t="n">
        <v>0</v>
      </c>
      <c r="P11" s="141" t="n">
        <v>412</v>
      </c>
      <c r="Q11" s="82" t="n">
        <v>0</v>
      </c>
      <c r="R11" s="141" t="n">
        <v>0</v>
      </c>
      <c r="S11" s="141" t="n">
        <v>0</v>
      </c>
      <c r="T11" s="141" t="n">
        <v>412</v>
      </c>
      <c r="U11" s="82" t="n">
        <v>0</v>
      </c>
      <c r="V11" s="141" t="n">
        <v>0</v>
      </c>
      <c r="W11" s="141" t="n">
        <v>0</v>
      </c>
      <c r="X11" s="141" t="n">
        <v>0</v>
      </c>
      <c r="Y11" s="82" t="n">
        <v>0</v>
      </c>
      <c r="Z11" s="82" t="n">
        <v>0</v>
      </c>
      <c r="AA11" s="82" t="n">
        <v>0</v>
      </c>
      <c r="AB11" s="82" t="n">
        <v>0</v>
      </c>
      <c r="AC11" s="82" t="n">
        <v>0</v>
      </c>
      <c r="AD11" s="82" t="n">
        <v>0</v>
      </c>
      <c r="AE11" s="82" t="n">
        <v>0</v>
      </c>
      <c r="AF11" s="82" t="n">
        <v>0</v>
      </c>
      <c r="AG11" s="82" t="n">
        <v>0</v>
      </c>
      <c r="AH11" s="82" t="n">
        <v>0</v>
      </c>
      <c r="AI11" s="82" t="n">
        <v>0</v>
      </c>
      <c r="AJ11" s="141" t="n">
        <v>0</v>
      </c>
      <c r="AK11" s="82" t="n">
        <v>0</v>
      </c>
    </row>
    <row r="12" ht="14.25" customHeight="1" s="87">
      <c r="A12" s="75" t="inlineStr">
        <is>
          <t>02:00</t>
        </is>
      </c>
      <c r="B12" s="139" t="n">
        <v>0</v>
      </c>
      <c r="C12" s="139" t="n">
        <v>0</v>
      </c>
      <c r="D12" s="77" t="n">
        <v>0</v>
      </c>
      <c r="E12" s="139" t="n">
        <v>0</v>
      </c>
      <c r="F12" s="139" t="n">
        <v>0</v>
      </c>
      <c r="G12" s="77" t="n">
        <v>0</v>
      </c>
      <c r="H12" s="146" t="n"/>
      <c r="I12" s="146" t="n"/>
      <c r="J12" s="79" t="n"/>
      <c r="K12" s="139" t="n">
        <v>0</v>
      </c>
      <c r="L12" s="139" t="n">
        <v>0</v>
      </c>
      <c r="M12" s="77" t="n">
        <v>0</v>
      </c>
      <c r="N12" s="77" t="n">
        <v>0</v>
      </c>
      <c r="O12" s="139" t="n">
        <v>0</v>
      </c>
      <c r="P12" s="139" t="n">
        <v>408.36</v>
      </c>
      <c r="Q12" s="77" t="n">
        <v>0</v>
      </c>
      <c r="R12" s="139" t="n">
        <v>0</v>
      </c>
      <c r="S12" s="139" t="n">
        <v>0</v>
      </c>
      <c r="T12" s="139" t="n">
        <v>408.36</v>
      </c>
      <c r="U12" s="77" t="n">
        <v>0</v>
      </c>
      <c r="V12" s="139" t="n">
        <v>0</v>
      </c>
      <c r="W12" s="139" t="n">
        <v>0</v>
      </c>
      <c r="X12" s="139" t="n">
        <v>0</v>
      </c>
      <c r="Y12" s="77" t="n">
        <v>0</v>
      </c>
      <c r="Z12" s="77" t="n">
        <v>0</v>
      </c>
      <c r="AA12" s="77" t="n">
        <v>0</v>
      </c>
      <c r="AB12" s="77" t="n">
        <v>0</v>
      </c>
      <c r="AC12" s="77" t="n">
        <v>0</v>
      </c>
      <c r="AD12" s="77" t="n">
        <v>0</v>
      </c>
      <c r="AE12" s="77" t="n">
        <v>0</v>
      </c>
      <c r="AF12" s="77" t="n">
        <v>0</v>
      </c>
      <c r="AG12" s="77" t="n">
        <v>0</v>
      </c>
      <c r="AH12" s="77" t="n">
        <v>0</v>
      </c>
      <c r="AI12" s="77" t="n">
        <v>0</v>
      </c>
      <c r="AJ12" s="139" t="n">
        <v>0</v>
      </c>
      <c r="AK12" s="77" t="n">
        <v>0</v>
      </c>
    </row>
    <row r="13" ht="14.25" customHeight="1" s="87">
      <c r="A13" s="80" t="inlineStr">
        <is>
          <t>02:15</t>
        </is>
      </c>
      <c r="B13" s="141" t="n">
        <v>0</v>
      </c>
      <c r="C13" s="141" t="n">
        <v>0</v>
      </c>
      <c r="D13" s="82" t="n">
        <v>0</v>
      </c>
      <c r="E13" s="141" t="n">
        <v>0</v>
      </c>
      <c r="F13" s="141" t="n">
        <v>0</v>
      </c>
      <c r="G13" s="82" t="n">
        <v>0</v>
      </c>
      <c r="H13" s="145" t="n"/>
      <c r="I13" s="145" t="n"/>
      <c r="J13" s="84" t="n"/>
      <c r="K13" s="141" t="n">
        <v>0</v>
      </c>
      <c r="L13" s="141" t="n">
        <v>0</v>
      </c>
      <c r="M13" s="82" t="n">
        <v>0</v>
      </c>
      <c r="N13" s="82" t="n">
        <v>0</v>
      </c>
      <c r="O13" s="141" t="n">
        <v>0</v>
      </c>
      <c r="P13" s="141" t="n">
        <v>408</v>
      </c>
      <c r="Q13" s="82" t="n">
        <v>0</v>
      </c>
      <c r="R13" s="141" t="n">
        <v>0</v>
      </c>
      <c r="S13" s="141" t="n">
        <v>0</v>
      </c>
      <c r="T13" s="141" t="n">
        <v>408</v>
      </c>
      <c r="U13" s="82" t="n">
        <v>0</v>
      </c>
      <c r="V13" s="141" t="n">
        <v>0</v>
      </c>
      <c r="W13" s="141" t="n">
        <v>0</v>
      </c>
      <c r="X13" s="141" t="n">
        <v>0</v>
      </c>
      <c r="Y13" s="82" t="n">
        <v>0</v>
      </c>
      <c r="Z13" s="82" t="n">
        <v>0</v>
      </c>
      <c r="AA13" s="82" t="n">
        <v>0</v>
      </c>
      <c r="AB13" s="82" t="n">
        <v>0</v>
      </c>
      <c r="AC13" s="82" t="n">
        <v>0</v>
      </c>
      <c r="AD13" s="82" t="n">
        <v>0</v>
      </c>
      <c r="AE13" s="82" t="n">
        <v>0</v>
      </c>
      <c r="AF13" s="82" t="n">
        <v>0</v>
      </c>
      <c r="AG13" s="82" t="n">
        <v>0</v>
      </c>
      <c r="AH13" s="82" t="n">
        <v>0</v>
      </c>
      <c r="AI13" s="82" t="n">
        <v>0</v>
      </c>
      <c r="AJ13" s="141" t="n">
        <v>0</v>
      </c>
      <c r="AK13" s="82" t="n">
        <v>0</v>
      </c>
    </row>
    <row r="14" ht="14.25" customHeight="1" s="87">
      <c r="A14" s="75" t="inlineStr">
        <is>
          <t>02:30</t>
        </is>
      </c>
      <c r="B14" s="139" t="n">
        <v>0</v>
      </c>
      <c r="C14" s="139" t="n">
        <v>0</v>
      </c>
      <c r="D14" s="77" t="n">
        <v>0</v>
      </c>
      <c r="E14" s="139" t="n">
        <v>0</v>
      </c>
      <c r="F14" s="139" t="n">
        <v>0</v>
      </c>
      <c r="G14" s="77" t="n">
        <v>0</v>
      </c>
      <c r="H14" s="146" t="n"/>
      <c r="I14" s="146" t="n"/>
      <c r="J14" s="79" t="n"/>
      <c r="K14" s="139" t="n">
        <v>0</v>
      </c>
      <c r="L14" s="139" t="n">
        <v>0</v>
      </c>
      <c r="M14" s="77" t="n">
        <v>0</v>
      </c>
      <c r="N14" s="77" t="n">
        <v>0</v>
      </c>
      <c r="O14" s="139" t="n">
        <v>0</v>
      </c>
      <c r="P14" s="139" t="n">
        <v>396</v>
      </c>
      <c r="Q14" s="77" t="n">
        <v>0</v>
      </c>
      <c r="R14" s="139" t="n">
        <v>0</v>
      </c>
      <c r="S14" s="139" t="n">
        <v>0</v>
      </c>
      <c r="T14" s="139" t="n">
        <v>396</v>
      </c>
      <c r="U14" s="77" t="n">
        <v>0</v>
      </c>
      <c r="V14" s="139" t="n">
        <v>0</v>
      </c>
      <c r="W14" s="139" t="n">
        <v>0</v>
      </c>
      <c r="X14" s="139" t="n">
        <v>0</v>
      </c>
      <c r="Y14" s="77" t="n">
        <v>0</v>
      </c>
      <c r="Z14" s="77" t="n">
        <v>0</v>
      </c>
      <c r="AA14" s="77" t="n">
        <v>0</v>
      </c>
      <c r="AB14" s="77" t="n">
        <v>0</v>
      </c>
      <c r="AC14" s="77" t="n">
        <v>0</v>
      </c>
      <c r="AD14" s="77" t="n">
        <v>0</v>
      </c>
      <c r="AE14" s="77" t="n">
        <v>0</v>
      </c>
      <c r="AF14" s="77" t="n">
        <v>0</v>
      </c>
      <c r="AG14" s="77" t="n">
        <v>0</v>
      </c>
      <c r="AH14" s="77" t="n">
        <v>0</v>
      </c>
      <c r="AI14" s="77" t="n">
        <v>0</v>
      </c>
      <c r="AJ14" s="139" t="n">
        <v>0</v>
      </c>
      <c r="AK14" s="77" t="n">
        <v>0</v>
      </c>
    </row>
    <row r="15" ht="14.25" customHeight="1" s="87">
      <c r="A15" s="80" t="inlineStr">
        <is>
          <t>02:45</t>
        </is>
      </c>
      <c r="B15" s="141" t="n">
        <v>0</v>
      </c>
      <c r="C15" s="141" t="n">
        <v>0</v>
      </c>
      <c r="D15" s="82" t="n">
        <v>0</v>
      </c>
      <c r="E15" s="141" t="n">
        <v>0</v>
      </c>
      <c r="F15" s="141" t="n">
        <v>0</v>
      </c>
      <c r="G15" s="82" t="n">
        <v>0</v>
      </c>
      <c r="H15" s="145" t="n"/>
      <c r="I15" s="145" t="n"/>
      <c r="J15" s="84" t="n"/>
      <c r="K15" s="141" t="n">
        <v>0</v>
      </c>
      <c r="L15" s="141" t="n">
        <v>0</v>
      </c>
      <c r="M15" s="82" t="n">
        <v>0</v>
      </c>
      <c r="N15" s="82" t="n">
        <v>0</v>
      </c>
      <c r="O15" s="141" t="n">
        <v>0</v>
      </c>
      <c r="P15" s="141" t="n">
        <v>379.44</v>
      </c>
      <c r="Q15" s="82" t="n">
        <v>0</v>
      </c>
      <c r="R15" s="141" t="n">
        <v>0</v>
      </c>
      <c r="S15" s="141" t="n">
        <v>0</v>
      </c>
      <c r="T15" s="141" t="n">
        <v>379.44</v>
      </c>
      <c r="U15" s="82" t="n">
        <v>0</v>
      </c>
      <c r="V15" s="141" t="n">
        <v>0</v>
      </c>
      <c r="W15" s="141" t="n">
        <v>0</v>
      </c>
      <c r="X15" s="141" t="n">
        <v>0</v>
      </c>
      <c r="Y15" s="82" t="n">
        <v>0</v>
      </c>
      <c r="Z15" s="82" t="n">
        <v>0</v>
      </c>
      <c r="AA15" s="82" t="n">
        <v>0</v>
      </c>
      <c r="AB15" s="82" t="n">
        <v>0</v>
      </c>
      <c r="AC15" s="82" t="n">
        <v>0</v>
      </c>
      <c r="AD15" s="82" t="n">
        <v>0</v>
      </c>
      <c r="AE15" s="82" t="n">
        <v>0</v>
      </c>
      <c r="AF15" s="82" t="n">
        <v>0</v>
      </c>
      <c r="AG15" s="82" t="n">
        <v>0</v>
      </c>
      <c r="AH15" s="82" t="n">
        <v>0</v>
      </c>
      <c r="AI15" s="82" t="n">
        <v>0</v>
      </c>
      <c r="AJ15" s="141" t="n">
        <v>0</v>
      </c>
      <c r="AK15" s="82" t="n">
        <v>0</v>
      </c>
    </row>
    <row r="16" ht="14.25" customHeight="1" s="87">
      <c r="A16" s="75" t="inlineStr">
        <is>
          <t>03:00</t>
        </is>
      </c>
      <c r="B16" s="139" t="n">
        <v>0</v>
      </c>
      <c r="C16" s="139" t="n">
        <v>0</v>
      </c>
      <c r="D16" s="77" t="n">
        <v>0</v>
      </c>
      <c r="E16" s="139" t="n">
        <v>0</v>
      </c>
      <c r="F16" s="139" t="n">
        <v>0</v>
      </c>
      <c r="G16" s="77" t="n">
        <v>0</v>
      </c>
      <c r="H16" s="146" t="n"/>
      <c r="I16" s="146" t="n"/>
      <c r="J16" s="79" t="n"/>
      <c r="K16" s="139" t="n">
        <v>0</v>
      </c>
      <c r="L16" s="139" t="n">
        <v>0</v>
      </c>
      <c r="M16" s="77" t="n">
        <v>0</v>
      </c>
      <c r="N16" s="77" t="n">
        <v>0</v>
      </c>
      <c r="O16" s="139" t="n">
        <v>0</v>
      </c>
      <c r="P16" s="139" t="n">
        <v>370.8</v>
      </c>
      <c r="Q16" s="77" t="n">
        <v>0</v>
      </c>
      <c r="R16" s="139" t="n">
        <v>0</v>
      </c>
      <c r="S16" s="139" t="n">
        <v>0</v>
      </c>
      <c r="T16" s="139" t="n">
        <v>370.8</v>
      </c>
      <c r="U16" s="77" t="n">
        <v>0</v>
      </c>
      <c r="V16" s="139" t="n">
        <v>0</v>
      </c>
      <c r="W16" s="139" t="n">
        <v>0</v>
      </c>
      <c r="X16" s="139" t="n">
        <v>0</v>
      </c>
      <c r="Y16" s="77" t="n">
        <v>0</v>
      </c>
      <c r="Z16" s="77" t="n">
        <v>0</v>
      </c>
      <c r="AA16" s="77" t="n">
        <v>0</v>
      </c>
      <c r="AB16" s="77" t="n">
        <v>0</v>
      </c>
      <c r="AC16" s="77" t="n">
        <v>0</v>
      </c>
      <c r="AD16" s="77" t="n">
        <v>0</v>
      </c>
      <c r="AE16" s="77" t="n">
        <v>0</v>
      </c>
      <c r="AF16" s="77" t="n">
        <v>0</v>
      </c>
      <c r="AG16" s="77" t="n">
        <v>0</v>
      </c>
      <c r="AH16" s="77" t="n">
        <v>0</v>
      </c>
      <c r="AI16" s="77" t="n">
        <v>0</v>
      </c>
      <c r="AJ16" s="139" t="n">
        <v>0</v>
      </c>
      <c r="AK16" s="77" t="n">
        <v>0</v>
      </c>
    </row>
    <row r="17" ht="14.25" customHeight="1" s="87">
      <c r="A17" s="80" t="inlineStr">
        <is>
          <t>03:15</t>
        </is>
      </c>
      <c r="B17" s="141" t="n">
        <v>0</v>
      </c>
      <c r="C17" s="141" t="n">
        <v>0</v>
      </c>
      <c r="D17" s="82" t="n">
        <v>0</v>
      </c>
      <c r="E17" s="141" t="n">
        <v>0</v>
      </c>
      <c r="F17" s="141" t="n">
        <v>0</v>
      </c>
      <c r="G17" s="82" t="n">
        <v>0</v>
      </c>
      <c r="H17" s="145" t="n"/>
      <c r="I17" s="145" t="n"/>
      <c r="J17" s="84" t="n"/>
      <c r="K17" s="141" t="n">
        <v>0</v>
      </c>
      <c r="L17" s="141" t="n">
        <v>0</v>
      </c>
      <c r="M17" s="82" t="n">
        <v>0</v>
      </c>
      <c r="N17" s="82" t="n">
        <v>0</v>
      </c>
      <c r="O17" s="141" t="n">
        <v>0</v>
      </c>
      <c r="P17" s="141" t="n">
        <v>367.358</v>
      </c>
      <c r="Q17" s="82" t="n">
        <v>0</v>
      </c>
      <c r="R17" s="141" t="n">
        <v>0</v>
      </c>
      <c r="S17" s="141" t="n">
        <v>0</v>
      </c>
      <c r="T17" s="141" t="n">
        <v>367.36</v>
      </c>
      <c r="U17" s="82" t="n">
        <v>0</v>
      </c>
      <c r="V17" s="141" t="n">
        <v>0</v>
      </c>
      <c r="W17" s="141" t="n">
        <v>0</v>
      </c>
      <c r="X17" s="141" t="n">
        <v>0</v>
      </c>
      <c r="Y17" s="82" t="n">
        <v>0</v>
      </c>
      <c r="Z17" s="82" t="n">
        <v>0</v>
      </c>
      <c r="AA17" s="82" t="n">
        <v>0</v>
      </c>
      <c r="AB17" s="82" t="n">
        <v>0</v>
      </c>
      <c r="AC17" s="82" t="n">
        <v>0</v>
      </c>
      <c r="AD17" s="82" t="n">
        <v>0</v>
      </c>
      <c r="AE17" s="82" t="n">
        <v>0</v>
      </c>
      <c r="AF17" s="82" t="n">
        <v>0</v>
      </c>
      <c r="AG17" s="82" t="n">
        <v>0</v>
      </c>
      <c r="AH17" s="82" t="n">
        <v>0</v>
      </c>
      <c r="AI17" s="82" t="n">
        <v>0</v>
      </c>
      <c r="AJ17" s="141" t="n">
        <v>0</v>
      </c>
      <c r="AK17" s="82" t="n">
        <v>0</v>
      </c>
    </row>
    <row r="18" ht="14.25" customHeight="1" s="87">
      <c r="A18" s="75" t="inlineStr">
        <is>
          <t>03:30</t>
        </is>
      </c>
      <c r="B18" s="139" t="n">
        <v>0</v>
      </c>
      <c r="C18" s="139" t="n">
        <v>0</v>
      </c>
      <c r="D18" s="77" t="n">
        <v>0</v>
      </c>
      <c r="E18" s="139" t="n">
        <v>0</v>
      </c>
      <c r="F18" s="139" t="n">
        <v>0</v>
      </c>
      <c r="G18" s="77" t="n">
        <v>0</v>
      </c>
      <c r="H18" s="146" t="n"/>
      <c r="I18" s="146" t="n"/>
      <c r="J18" s="79" t="n"/>
      <c r="K18" s="139" t="n">
        <v>0</v>
      </c>
      <c r="L18" s="139" t="n">
        <v>0</v>
      </c>
      <c r="M18" s="77" t="n">
        <v>0</v>
      </c>
      <c r="N18" s="77" t="n">
        <v>0</v>
      </c>
      <c r="O18" s="139" t="n">
        <v>0</v>
      </c>
      <c r="P18" s="139" t="n">
        <v>376</v>
      </c>
      <c r="Q18" s="77" t="n">
        <v>0</v>
      </c>
      <c r="R18" s="139" t="n">
        <v>0</v>
      </c>
      <c r="S18" s="139" t="n">
        <v>0</v>
      </c>
      <c r="T18" s="139" t="n">
        <v>376</v>
      </c>
      <c r="U18" s="77" t="n">
        <v>0</v>
      </c>
      <c r="V18" s="139" t="n">
        <v>0</v>
      </c>
      <c r="W18" s="139" t="n">
        <v>0</v>
      </c>
      <c r="X18" s="139" t="n">
        <v>0</v>
      </c>
      <c r="Y18" s="77" t="n">
        <v>0</v>
      </c>
      <c r="Z18" s="77" t="n">
        <v>0</v>
      </c>
      <c r="AA18" s="77" t="n">
        <v>0</v>
      </c>
      <c r="AB18" s="77" t="n">
        <v>0</v>
      </c>
      <c r="AC18" s="77" t="n">
        <v>0</v>
      </c>
      <c r="AD18" s="77" t="n">
        <v>0</v>
      </c>
      <c r="AE18" s="77" t="n">
        <v>0</v>
      </c>
      <c r="AF18" s="77" t="n">
        <v>0</v>
      </c>
      <c r="AG18" s="77" t="n">
        <v>0</v>
      </c>
      <c r="AH18" s="77" t="n">
        <v>0</v>
      </c>
      <c r="AI18" s="77" t="n">
        <v>0</v>
      </c>
      <c r="AJ18" s="139" t="n">
        <v>0</v>
      </c>
      <c r="AK18" s="77" t="n">
        <v>0</v>
      </c>
    </row>
    <row r="19" ht="14.25" customHeight="1" s="87">
      <c r="A19" s="80" t="inlineStr">
        <is>
          <t>03:45</t>
        </is>
      </c>
      <c r="B19" s="141" t="n">
        <v>0</v>
      </c>
      <c r="C19" s="141" t="n">
        <v>0</v>
      </c>
      <c r="D19" s="82" t="n">
        <v>0</v>
      </c>
      <c r="E19" s="141" t="n">
        <v>0</v>
      </c>
      <c r="F19" s="141" t="n">
        <v>0</v>
      </c>
      <c r="G19" s="82" t="n">
        <v>0</v>
      </c>
      <c r="H19" s="145" t="n"/>
      <c r="I19" s="145" t="n"/>
      <c r="J19" s="84" t="n"/>
      <c r="K19" s="141" t="n">
        <v>0</v>
      </c>
      <c r="L19" s="141" t="n">
        <v>0</v>
      </c>
      <c r="M19" s="82" t="n">
        <v>0</v>
      </c>
      <c r="N19" s="82" t="n">
        <v>0</v>
      </c>
      <c r="O19" s="141" t="n">
        <v>0</v>
      </c>
      <c r="P19" s="141" t="n">
        <v>373</v>
      </c>
      <c r="Q19" s="82" t="n">
        <v>0</v>
      </c>
      <c r="R19" s="141" t="n">
        <v>0</v>
      </c>
      <c r="S19" s="141" t="n">
        <v>0</v>
      </c>
      <c r="T19" s="141" t="n">
        <v>373</v>
      </c>
      <c r="U19" s="82" t="n">
        <v>0</v>
      </c>
      <c r="V19" s="141" t="n">
        <v>0</v>
      </c>
      <c r="W19" s="141" t="n">
        <v>0</v>
      </c>
      <c r="X19" s="141" t="n">
        <v>0</v>
      </c>
      <c r="Y19" s="82" t="n">
        <v>0</v>
      </c>
      <c r="Z19" s="82" t="n">
        <v>0</v>
      </c>
      <c r="AA19" s="82" t="n">
        <v>0</v>
      </c>
      <c r="AB19" s="82" t="n">
        <v>0</v>
      </c>
      <c r="AC19" s="82" t="n">
        <v>0</v>
      </c>
      <c r="AD19" s="82" t="n">
        <v>0</v>
      </c>
      <c r="AE19" s="82" t="n">
        <v>0</v>
      </c>
      <c r="AF19" s="82" t="n">
        <v>0</v>
      </c>
      <c r="AG19" s="82" t="n">
        <v>0</v>
      </c>
      <c r="AH19" s="82" t="n">
        <v>0</v>
      </c>
      <c r="AI19" s="82" t="n">
        <v>0</v>
      </c>
      <c r="AJ19" s="141" t="n">
        <v>0</v>
      </c>
      <c r="AK19" s="82" t="n">
        <v>0</v>
      </c>
    </row>
    <row r="20" ht="14.25" customHeight="1" s="87">
      <c r="A20" s="75" t="inlineStr">
        <is>
          <t>04:00</t>
        </is>
      </c>
      <c r="B20" s="139" t="n">
        <v>0</v>
      </c>
      <c r="C20" s="139" t="n">
        <v>0</v>
      </c>
      <c r="D20" s="77" t="n">
        <v>0</v>
      </c>
      <c r="E20" s="139" t="n">
        <v>0</v>
      </c>
      <c r="F20" s="139" t="n">
        <v>0</v>
      </c>
      <c r="G20" s="77" t="n">
        <v>0</v>
      </c>
      <c r="H20" s="146" t="n"/>
      <c r="I20" s="146" t="n"/>
      <c r="J20" s="79" t="n"/>
      <c r="K20" s="139" t="n">
        <v>0</v>
      </c>
      <c r="L20" s="139" t="n">
        <v>0</v>
      </c>
      <c r="M20" s="77" t="n">
        <v>0</v>
      </c>
      <c r="N20" s="77" t="n">
        <v>0</v>
      </c>
      <c r="O20" s="139" t="n">
        <v>0</v>
      </c>
      <c r="P20" s="139" t="n">
        <v>372.56</v>
      </c>
      <c r="Q20" s="77" t="n">
        <v>0</v>
      </c>
      <c r="R20" s="139" t="n">
        <v>0</v>
      </c>
      <c r="S20" s="139" t="n">
        <v>0</v>
      </c>
      <c r="T20" s="139" t="n">
        <v>372.56</v>
      </c>
      <c r="U20" s="77" t="n">
        <v>0</v>
      </c>
      <c r="V20" s="139" t="n">
        <v>0</v>
      </c>
      <c r="W20" s="139" t="n">
        <v>0</v>
      </c>
      <c r="X20" s="139" t="n">
        <v>0</v>
      </c>
      <c r="Y20" s="77" t="n">
        <v>0</v>
      </c>
      <c r="Z20" s="77" t="n">
        <v>0</v>
      </c>
      <c r="AA20" s="77" t="n">
        <v>0</v>
      </c>
      <c r="AB20" s="77" t="n">
        <v>0</v>
      </c>
      <c r="AC20" s="77" t="n">
        <v>0</v>
      </c>
      <c r="AD20" s="77" t="n">
        <v>0</v>
      </c>
      <c r="AE20" s="77" t="n">
        <v>0</v>
      </c>
      <c r="AF20" s="77" t="n">
        <v>0</v>
      </c>
      <c r="AG20" s="77" t="n">
        <v>0</v>
      </c>
      <c r="AH20" s="77" t="n">
        <v>0</v>
      </c>
      <c r="AI20" s="77" t="n">
        <v>0</v>
      </c>
      <c r="AJ20" s="139" t="n">
        <v>0</v>
      </c>
      <c r="AK20" s="77" t="n">
        <v>0</v>
      </c>
    </row>
    <row r="21" ht="14.25" customHeight="1" s="87">
      <c r="A21" s="80" t="inlineStr">
        <is>
          <t>04:15</t>
        </is>
      </c>
      <c r="B21" s="141" t="n">
        <v>0</v>
      </c>
      <c r="C21" s="141" t="n">
        <v>0</v>
      </c>
      <c r="D21" s="82" t="n">
        <v>0</v>
      </c>
      <c r="E21" s="141" t="n">
        <v>0</v>
      </c>
      <c r="F21" s="141" t="n">
        <v>0</v>
      </c>
      <c r="G21" s="82" t="n">
        <v>0</v>
      </c>
      <c r="H21" s="145" t="n"/>
      <c r="I21" s="145" t="n"/>
      <c r="J21" s="84" t="n"/>
      <c r="K21" s="141" t="n">
        <v>0</v>
      </c>
      <c r="L21" s="141" t="n">
        <v>0</v>
      </c>
      <c r="M21" s="82" t="n">
        <v>0</v>
      </c>
      <c r="N21" s="82" t="n">
        <v>0</v>
      </c>
      <c r="O21" s="141" t="n">
        <v>0</v>
      </c>
      <c r="P21" s="141" t="n">
        <v>379.44</v>
      </c>
      <c r="Q21" s="82" t="n">
        <v>0</v>
      </c>
      <c r="R21" s="141" t="n">
        <v>0</v>
      </c>
      <c r="S21" s="141" t="n">
        <v>0</v>
      </c>
      <c r="T21" s="141" t="n">
        <v>379.44</v>
      </c>
      <c r="U21" s="82" t="n">
        <v>0</v>
      </c>
      <c r="V21" s="141" t="n">
        <v>0</v>
      </c>
      <c r="W21" s="141" t="n">
        <v>0</v>
      </c>
      <c r="X21" s="141" t="n">
        <v>0</v>
      </c>
      <c r="Y21" s="82" t="n">
        <v>0</v>
      </c>
      <c r="Z21" s="82" t="n">
        <v>0</v>
      </c>
      <c r="AA21" s="82" t="n">
        <v>0</v>
      </c>
      <c r="AB21" s="82" t="n">
        <v>0</v>
      </c>
      <c r="AC21" s="82" t="n">
        <v>0</v>
      </c>
      <c r="AD21" s="82" t="n">
        <v>0</v>
      </c>
      <c r="AE21" s="82" t="n">
        <v>0</v>
      </c>
      <c r="AF21" s="82" t="n">
        <v>0</v>
      </c>
      <c r="AG21" s="82" t="n">
        <v>0</v>
      </c>
      <c r="AH21" s="82" t="n">
        <v>0</v>
      </c>
      <c r="AI21" s="82" t="n">
        <v>0</v>
      </c>
      <c r="AJ21" s="141" t="n">
        <v>0</v>
      </c>
      <c r="AK21" s="82" t="n">
        <v>0</v>
      </c>
    </row>
    <row r="22" ht="14.25" customHeight="1" s="87">
      <c r="A22" s="75" t="inlineStr">
        <is>
          <t>04:30</t>
        </is>
      </c>
      <c r="B22" s="139" t="n">
        <v>0</v>
      </c>
      <c r="C22" s="139" t="n">
        <v>0</v>
      </c>
      <c r="D22" s="77" t="n">
        <v>0</v>
      </c>
      <c r="E22" s="139" t="n">
        <v>0</v>
      </c>
      <c r="F22" s="139" t="n">
        <v>0</v>
      </c>
      <c r="G22" s="77" t="n">
        <v>0</v>
      </c>
      <c r="H22" s="146" t="n"/>
      <c r="I22" s="146" t="n"/>
      <c r="J22" s="79" t="n"/>
      <c r="K22" s="139" t="n">
        <v>0</v>
      </c>
      <c r="L22" s="139" t="n">
        <v>0</v>
      </c>
      <c r="M22" s="77" t="n">
        <v>0</v>
      </c>
      <c r="N22" s="77" t="n">
        <v>0</v>
      </c>
      <c r="O22" s="139" t="n">
        <v>0</v>
      </c>
      <c r="P22" s="139" t="n">
        <v>388.56</v>
      </c>
      <c r="Q22" s="77" t="n">
        <v>0</v>
      </c>
      <c r="R22" s="139" t="n">
        <v>0</v>
      </c>
      <c r="S22" s="139" t="n">
        <v>0</v>
      </c>
      <c r="T22" s="139" t="n">
        <v>388.56</v>
      </c>
      <c r="U22" s="77" t="n">
        <v>0</v>
      </c>
      <c r="V22" s="139" t="n">
        <v>0</v>
      </c>
      <c r="W22" s="139" t="n">
        <v>0</v>
      </c>
      <c r="X22" s="139" t="n">
        <v>0</v>
      </c>
      <c r="Y22" s="77" t="n">
        <v>0</v>
      </c>
      <c r="Z22" s="77" t="n">
        <v>0</v>
      </c>
      <c r="AA22" s="77" t="n">
        <v>0</v>
      </c>
      <c r="AB22" s="77" t="n">
        <v>0</v>
      </c>
      <c r="AC22" s="77" t="n">
        <v>0</v>
      </c>
      <c r="AD22" s="77" t="n">
        <v>0</v>
      </c>
      <c r="AE22" s="77" t="n">
        <v>0</v>
      </c>
      <c r="AF22" s="77" t="n">
        <v>0</v>
      </c>
      <c r="AG22" s="77" t="n">
        <v>0</v>
      </c>
      <c r="AH22" s="77" t="n">
        <v>0</v>
      </c>
      <c r="AI22" s="77" t="n">
        <v>0</v>
      </c>
      <c r="AJ22" s="139" t="n">
        <v>0</v>
      </c>
      <c r="AK22" s="77" t="n">
        <v>0</v>
      </c>
    </row>
    <row r="23" ht="14.25" customHeight="1" s="87">
      <c r="A23" s="80" t="inlineStr">
        <is>
          <t>04:45</t>
        </is>
      </c>
      <c r="B23" s="141" t="n">
        <v>0</v>
      </c>
      <c r="C23" s="141" t="n">
        <v>0</v>
      </c>
      <c r="D23" s="82" t="n">
        <v>0</v>
      </c>
      <c r="E23" s="141" t="n">
        <v>0</v>
      </c>
      <c r="F23" s="141" t="n">
        <v>0</v>
      </c>
      <c r="G23" s="82" t="n">
        <v>0</v>
      </c>
      <c r="H23" s="145" t="n"/>
      <c r="I23" s="145" t="n"/>
      <c r="J23" s="84" t="n"/>
      <c r="K23" s="141" t="n">
        <v>0</v>
      </c>
      <c r="L23" s="141" t="n">
        <v>0</v>
      </c>
      <c r="M23" s="82" t="n">
        <v>0</v>
      </c>
      <c r="N23" s="82" t="n">
        <v>0</v>
      </c>
      <c r="O23" s="141" t="n">
        <v>0</v>
      </c>
      <c r="P23" s="141" t="n">
        <v>398</v>
      </c>
      <c r="Q23" s="82" t="n">
        <v>0</v>
      </c>
      <c r="R23" s="141" t="n">
        <v>0</v>
      </c>
      <c r="S23" s="141" t="n">
        <v>0</v>
      </c>
      <c r="T23" s="141" t="n">
        <v>398</v>
      </c>
      <c r="U23" s="82" t="n">
        <v>0</v>
      </c>
      <c r="V23" s="141" t="n">
        <v>0</v>
      </c>
      <c r="W23" s="141" t="n">
        <v>0</v>
      </c>
      <c r="X23" s="141" t="n">
        <v>0</v>
      </c>
      <c r="Y23" s="82" t="n">
        <v>0</v>
      </c>
      <c r="Z23" s="82" t="n">
        <v>0</v>
      </c>
      <c r="AA23" s="82" t="n">
        <v>0</v>
      </c>
      <c r="AB23" s="82" t="n">
        <v>0</v>
      </c>
      <c r="AC23" s="82" t="n">
        <v>0</v>
      </c>
      <c r="AD23" s="82" t="n">
        <v>0</v>
      </c>
      <c r="AE23" s="82" t="n">
        <v>0</v>
      </c>
      <c r="AF23" s="82" t="n">
        <v>0</v>
      </c>
      <c r="AG23" s="82" t="n">
        <v>0</v>
      </c>
      <c r="AH23" s="82" t="n">
        <v>0</v>
      </c>
      <c r="AI23" s="82" t="n">
        <v>0</v>
      </c>
      <c r="AJ23" s="141" t="n">
        <v>0</v>
      </c>
      <c r="AK23" s="82" t="n">
        <v>0</v>
      </c>
    </row>
    <row r="24" ht="14.25" customHeight="1" s="87">
      <c r="A24" s="75" t="inlineStr">
        <is>
          <t>05:00</t>
        </is>
      </c>
      <c r="B24" s="139" t="n">
        <v>0</v>
      </c>
      <c r="C24" s="139" t="n">
        <v>0</v>
      </c>
      <c r="D24" s="77" t="n">
        <v>0</v>
      </c>
      <c r="E24" s="139" t="n">
        <v>0</v>
      </c>
      <c r="F24" s="139" t="n">
        <v>0</v>
      </c>
      <c r="G24" s="77" t="n">
        <v>0</v>
      </c>
      <c r="H24" s="146" t="n"/>
      <c r="I24" s="146" t="n"/>
      <c r="J24" s="79" t="n"/>
      <c r="K24" s="139" t="n">
        <v>0</v>
      </c>
      <c r="L24" s="139" t="n">
        <v>0</v>
      </c>
      <c r="M24" s="77" t="n">
        <v>0</v>
      </c>
      <c r="N24" s="77" t="n">
        <v>0</v>
      </c>
      <c r="O24" s="139" t="n">
        <v>0</v>
      </c>
      <c r="P24" s="139" t="n">
        <v>412</v>
      </c>
      <c r="Q24" s="77" t="n">
        <v>0</v>
      </c>
      <c r="R24" s="139" t="n">
        <v>0</v>
      </c>
      <c r="S24" s="139" t="n">
        <v>0</v>
      </c>
      <c r="T24" s="139" t="n">
        <v>412</v>
      </c>
      <c r="U24" s="77" t="n">
        <v>0</v>
      </c>
      <c r="V24" s="139" t="n">
        <v>0</v>
      </c>
      <c r="W24" s="139" t="n">
        <v>0</v>
      </c>
      <c r="X24" s="139" t="n">
        <v>0</v>
      </c>
      <c r="Y24" s="77" t="n">
        <v>0</v>
      </c>
      <c r="Z24" s="77" t="n">
        <v>0</v>
      </c>
      <c r="AA24" s="77" t="n">
        <v>0</v>
      </c>
      <c r="AB24" s="77" t="n">
        <v>0</v>
      </c>
      <c r="AC24" s="77" t="n">
        <v>0</v>
      </c>
      <c r="AD24" s="77" t="n">
        <v>0</v>
      </c>
      <c r="AE24" s="77" t="n">
        <v>0</v>
      </c>
      <c r="AF24" s="77" t="n">
        <v>0</v>
      </c>
      <c r="AG24" s="77" t="n">
        <v>0</v>
      </c>
      <c r="AH24" s="77" t="n">
        <v>0</v>
      </c>
      <c r="AI24" s="77" t="n">
        <v>0</v>
      </c>
      <c r="AJ24" s="139" t="n">
        <v>0</v>
      </c>
      <c r="AK24" s="77" t="n">
        <v>0</v>
      </c>
    </row>
    <row r="25" ht="14.25" customHeight="1" s="87">
      <c r="A25" s="80" t="inlineStr">
        <is>
          <t>05:15</t>
        </is>
      </c>
      <c r="B25" s="141" t="n">
        <v>0</v>
      </c>
      <c r="C25" s="141" t="n">
        <v>0</v>
      </c>
      <c r="D25" s="82" t="n">
        <v>0</v>
      </c>
      <c r="E25" s="141" t="n">
        <v>0</v>
      </c>
      <c r="F25" s="141" t="n">
        <v>0</v>
      </c>
      <c r="G25" s="82" t="n">
        <v>0</v>
      </c>
      <c r="H25" s="145" t="n"/>
      <c r="I25" s="145" t="n"/>
      <c r="J25" s="84" t="n"/>
      <c r="K25" s="141" t="n">
        <v>0</v>
      </c>
      <c r="L25" s="141" t="n">
        <v>0</v>
      </c>
      <c r="M25" s="82" t="n">
        <v>0</v>
      </c>
      <c r="N25" s="82" t="n">
        <v>0</v>
      </c>
      <c r="O25" s="141" t="n">
        <v>0</v>
      </c>
      <c r="P25" s="141" t="n">
        <v>422.727</v>
      </c>
      <c r="Q25" s="82" t="n">
        <v>0</v>
      </c>
      <c r="R25" s="141" t="n">
        <v>0</v>
      </c>
      <c r="S25" s="141" t="n">
        <v>0</v>
      </c>
      <c r="T25" s="141" t="n">
        <v>422.73</v>
      </c>
      <c r="U25" s="82" t="n">
        <v>0</v>
      </c>
      <c r="V25" s="141" t="n">
        <v>0</v>
      </c>
      <c r="W25" s="141" t="n">
        <v>0</v>
      </c>
      <c r="X25" s="141" t="n">
        <v>0</v>
      </c>
      <c r="Y25" s="82" t="n">
        <v>0</v>
      </c>
      <c r="Z25" s="82" t="n">
        <v>0</v>
      </c>
      <c r="AA25" s="82" t="n">
        <v>0</v>
      </c>
      <c r="AB25" s="82" t="n">
        <v>0</v>
      </c>
      <c r="AC25" s="82" t="n">
        <v>0</v>
      </c>
      <c r="AD25" s="82" t="n">
        <v>0</v>
      </c>
      <c r="AE25" s="82" t="n">
        <v>0</v>
      </c>
      <c r="AF25" s="82" t="n">
        <v>0</v>
      </c>
      <c r="AG25" s="82" t="n">
        <v>0</v>
      </c>
      <c r="AH25" s="82" t="n">
        <v>0</v>
      </c>
      <c r="AI25" s="82" t="n">
        <v>0</v>
      </c>
      <c r="AJ25" s="141" t="n">
        <v>0</v>
      </c>
      <c r="AK25" s="82" t="n">
        <v>0</v>
      </c>
    </row>
    <row r="26" ht="14.25" customHeight="1" s="87">
      <c r="A26" s="75" t="inlineStr">
        <is>
          <t>05:30</t>
        </is>
      </c>
      <c r="B26" s="139" t="n">
        <v>0</v>
      </c>
      <c r="C26" s="139" t="n">
        <v>0</v>
      </c>
      <c r="D26" s="77" t="n">
        <v>0</v>
      </c>
      <c r="E26" s="139" t="n">
        <v>0</v>
      </c>
      <c r="F26" s="139" t="n">
        <v>0</v>
      </c>
      <c r="G26" s="77" t="n">
        <v>0</v>
      </c>
      <c r="H26" s="146" t="n"/>
      <c r="I26" s="146" t="n"/>
      <c r="J26" s="79" t="n"/>
      <c r="K26" s="139" t="n">
        <v>0</v>
      </c>
      <c r="L26" s="139" t="n">
        <v>0</v>
      </c>
      <c r="M26" s="77" t="n">
        <v>0</v>
      </c>
      <c r="N26" s="77" t="n">
        <v>0</v>
      </c>
      <c r="O26" s="139" t="n">
        <v>0</v>
      </c>
      <c r="P26" s="139" t="n">
        <v>400.8</v>
      </c>
      <c r="Q26" s="77" t="n">
        <v>0</v>
      </c>
      <c r="R26" s="139" t="n">
        <v>0</v>
      </c>
      <c r="S26" s="139" t="n">
        <v>0</v>
      </c>
      <c r="T26" s="139" t="n">
        <v>400.8</v>
      </c>
      <c r="U26" s="77" t="n">
        <v>0</v>
      </c>
      <c r="V26" s="139" t="n">
        <v>0</v>
      </c>
      <c r="W26" s="139" t="n">
        <v>0</v>
      </c>
      <c r="X26" s="139" t="n">
        <v>0</v>
      </c>
      <c r="Y26" s="77" t="n">
        <v>0</v>
      </c>
      <c r="Z26" s="77" t="n">
        <v>0</v>
      </c>
      <c r="AA26" s="77" t="n">
        <v>0</v>
      </c>
      <c r="AB26" s="77" t="n">
        <v>0</v>
      </c>
      <c r="AC26" s="77" t="n">
        <v>0</v>
      </c>
      <c r="AD26" s="77" t="n">
        <v>0</v>
      </c>
      <c r="AE26" s="77" t="n">
        <v>0</v>
      </c>
      <c r="AF26" s="77" t="n">
        <v>0</v>
      </c>
      <c r="AG26" s="77" t="n">
        <v>0</v>
      </c>
      <c r="AH26" s="77" t="n">
        <v>0</v>
      </c>
      <c r="AI26" s="77" t="n">
        <v>0</v>
      </c>
      <c r="AJ26" s="139" t="n">
        <v>0</v>
      </c>
      <c r="AK26" s="77" t="n">
        <v>0</v>
      </c>
    </row>
    <row r="27" ht="14.25" customHeight="1" s="87">
      <c r="A27" s="80" t="inlineStr">
        <is>
          <t>05:45</t>
        </is>
      </c>
      <c r="B27" s="141" t="n">
        <v>0</v>
      </c>
      <c r="C27" s="141" t="n">
        <v>0</v>
      </c>
      <c r="D27" s="82" t="n">
        <v>0</v>
      </c>
      <c r="E27" s="141" t="n">
        <v>0</v>
      </c>
      <c r="F27" s="141" t="n">
        <v>0</v>
      </c>
      <c r="G27" s="82" t="n">
        <v>0</v>
      </c>
      <c r="H27" s="145" t="n"/>
      <c r="I27" s="145" t="n"/>
      <c r="J27" s="84" t="n"/>
      <c r="K27" s="141" t="n">
        <v>0</v>
      </c>
      <c r="L27" s="141" t="n">
        <v>0</v>
      </c>
      <c r="M27" s="82" t="n">
        <v>0</v>
      </c>
      <c r="N27" s="82" t="n">
        <v>0</v>
      </c>
      <c r="O27" s="141" t="n">
        <v>0</v>
      </c>
      <c r="P27" s="141" t="n">
        <v>386.4</v>
      </c>
      <c r="Q27" s="82" t="n">
        <v>0</v>
      </c>
      <c r="R27" s="141" t="n">
        <v>0</v>
      </c>
      <c r="S27" s="141" t="n">
        <v>0</v>
      </c>
      <c r="T27" s="141" t="n">
        <v>387.847</v>
      </c>
      <c r="U27" s="82" t="n">
        <v>0</v>
      </c>
      <c r="V27" s="141" t="n">
        <v>0</v>
      </c>
      <c r="W27" s="141" t="n">
        <v>0</v>
      </c>
      <c r="X27" s="141" t="n">
        <v>0</v>
      </c>
      <c r="Y27" s="82" t="n">
        <v>0</v>
      </c>
      <c r="Z27" s="82" t="n">
        <v>0</v>
      </c>
      <c r="AA27" s="82" t="n">
        <v>0</v>
      </c>
      <c r="AB27" s="82" t="n">
        <v>0</v>
      </c>
      <c r="AC27" s="82" t="n">
        <v>0</v>
      </c>
      <c r="AD27" s="82" t="n">
        <v>0</v>
      </c>
      <c r="AE27" s="82" t="n">
        <v>0</v>
      </c>
      <c r="AF27" s="82" t="n">
        <v>0</v>
      </c>
      <c r="AG27" s="82" t="n">
        <v>0</v>
      </c>
      <c r="AH27" s="82" t="n">
        <v>0</v>
      </c>
      <c r="AI27" s="82" t="n">
        <v>0</v>
      </c>
      <c r="AJ27" s="141" t="n">
        <v>0</v>
      </c>
      <c r="AK27" s="82" t="n">
        <v>0</v>
      </c>
    </row>
    <row r="28" ht="14.25" customHeight="1" s="87">
      <c r="A28" s="75" t="inlineStr">
        <is>
          <t>06:00</t>
        </is>
      </c>
      <c r="B28" s="139" t="n">
        <v>0</v>
      </c>
      <c r="C28" s="139" t="n">
        <v>0</v>
      </c>
      <c r="D28" s="77" t="n">
        <v>0</v>
      </c>
      <c r="E28" s="139" t="n">
        <v>0</v>
      </c>
      <c r="F28" s="139" t="n">
        <v>0</v>
      </c>
      <c r="G28" s="77" t="n">
        <v>0</v>
      </c>
      <c r="H28" s="146" t="n"/>
      <c r="I28" s="146" t="n"/>
      <c r="J28" s="79" t="n"/>
      <c r="K28" s="139" t="n">
        <v>0</v>
      </c>
      <c r="L28" s="139" t="n">
        <v>0</v>
      </c>
      <c r="M28" s="77" t="n">
        <v>0</v>
      </c>
      <c r="N28" s="77" t="n">
        <v>0</v>
      </c>
      <c r="O28" s="139" t="n">
        <v>0</v>
      </c>
      <c r="P28" s="139" t="n">
        <v>356</v>
      </c>
      <c r="Q28" s="77" t="n">
        <v>0</v>
      </c>
      <c r="R28" s="139" t="n">
        <v>0</v>
      </c>
      <c r="S28" s="139" t="n">
        <v>0</v>
      </c>
      <c r="T28" s="139" t="n">
        <v>356.509</v>
      </c>
      <c r="U28" s="77" t="n">
        <v>0</v>
      </c>
      <c r="V28" s="139" t="n">
        <v>0</v>
      </c>
      <c r="W28" s="139" t="n">
        <v>0</v>
      </c>
      <c r="X28" s="139" t="n">
        <v>0</v>
      </c>
      <c r="Y28" s="77" t="n">
        <v>0</v>
      </c>
      <c r="Z28" s="77" t="n">
        <v>0</v>
      </c>
      <c r="AA28" s="77" t="n">
        <v>0</v>
      </c>
      <c r="AB28" s="77" t="n">
        <v>0</v>
      </c>
      <c r="AC28" s="77" t="n">
        <v>0</v>
      </c>
      <c r="AD28" s="77" t="n">
        <v>0</v>
      </c>
      <c r="AE28" s="77" t="n">
        <v>0</v>
      </c>
      <c r="AF28" s="77" t="n">
        <v>0</v>
      </c>
      <c r="AG28" s="77" t="n">
        <v>0</v>
      </c>
      <c r="AH28" s="77" t="n">
        <v>0</v>
      </c>
      <c r="AI28" s="77" t="n">
        <v>0</v>
      </c>
      <c r="AJ28" s="139" t="n">
        <v>0</v>
      </c>
      <c r="AK28" s="77" t="n">
        <v>0</v>
      </c>
    </row>
    <row r="29" ht="14.25" customHeight="1" s="87">
      <c r="A29" s="80" t="inlineStr">
        <is>
          <t>06:15</t>
        </is>
      </c>
      <c r="B29" s="141" t="n">
        <v>0</v>
      </c>
      <c r="C29" s="141" t="n">
        <v>0</v>
      </c>
      <c r="D29" s="82" t="n">
        <v>0</v>
      </c>
      <c r="E29" s="141" t="n">
        <v>0</v>
      </c>
      <c r="F29" s="141" t="n">
        <v>0</v>
      </c>
      <c r="G29" s="82" t="n">
        <v>0</v>
      </c>
      <c r="H29" s="145" t="n"/>
      <c r="I29" s="145" t="n"/>
      <c r="J29" s="84" t="n"/>
      <c r="K29" s="141" t="n">
        <v>0</v>
      </c>
      <c r="L29" s="141" t="n">
        <v>0</v>
      </c>
      <c r="M29" s="82" t="n">
        <v>0</v>
      </c>
      <c r="N29" s="82" t="n">
        <v>0</v>
      </c>
      <c r="O29" s="141" t="n">
        <v>0</v>
      </c>
      <c r="P29" s="141" t="n">
        <v>292</v>
      </c>
      <c r="Q29" s="82" t="n">
        <v>0</v>
      </c>
      <c r="R29" s="141" t="n">
        <v>0</v>
      </c>
      <c r="S29" s="141" t="n">
        <v>0</v>
      </c>
      <c r="T29" s="141" t="n">
        <v>308.671</v>
      </c>
      <c r="U29" s="82" t="n">
        <v>0</v>
      </c>
      <c r="V29" s="141" t="n">
        <v>0</v>
      </c>
      <c r="W29" s="141" t="n">
        <v>0</v>
      </c>
      <c r="X29" s="141" t="n">
        <v>0</v>
      </c>
      <c r="Y29" s="82" t="n">
        <v>0</v>
      </c>
      <c r="Z29" s="82" t="n">
        <v>0</v>
      </c>
      <c r="AA29" s="82" t="n">
        <v>0</v>
      </c>
      <c r="AB29" s="82" t="n">
        <v>0</v>
      </c>
      <c r="AC29" s="82" t="n">
        <v>0</v>
      </c>
      <c r="AD29" s="82" t="n">
        <v>0</v>
      </c>
      <c r="AE29" s="82" t="n">
        <v>0</v>
      </c>
      <c r="AF29" s="82" t="n">
        <v>0</v>
      </c>
      <c r="AG29" s="82" t="n">
        <v>0</v>
      </c>
      <c r="AH29" s="82" t="n">
        <v>0</v>
      </c>
      <c r="AI29" s="82" t="n">
        <v>0</v>
      </c>
      <c r="AJ29" s="141" t="n">
        <v>0</v>
      </c>
      <c r="AK29" s="82" t="n">
        <v>0</v>
      </c>
    </row>
    <row r="30" ht="14.25" customHeight="1" s="87">
      <c r="A30" s="75" t="inlineStr">
        <is>
          <t>06:30</t>
        </is>
      </c>
      <c r="B30" s="139" t="n">
        <v>0</v>
      </c>
      <c r="C30" s="139" t="n">
        <v>0</v>
      </c>
      <c r="D30" s="77" t="n">
        <v>0</v>
      </c>
      <c r="E30" s="139" t="n">
        <v>0</v>
      </c>
      <c r="F30" s="139" t="n">
        <v>0</v>
      </c>
      <c r="G30" s="77" t="n">
        <v>0</v>
      </c>
      <c r="H30" s="146" t="n"/>
      <c r="I30" s="146" t="n"/>
      <c r="J30" s="79" t="n"/>
      <c r="K30" s="139" t="n">
        <v>0</v>
      </c>
      <c r="L30" s="139" t="n">
        <v>0</v>
      </c>
      <c r="M30" s="77" t="n">
        <v>0</v>
      </c>
      <c r="N30" s="77" t="n">
        <v>0</v>
      </c>
      <c r="O30" s="139" t="n">
        <v>0</v>
      </c>
      <c r="P30" s="139" t="n">
        <v>-14</v>
      </c>
      <c r="Q30" s="77" t="n">
        <v>0</v>
      </c>
      <c r="R30" s="139" t="n">
        <v>0</v>
      </c>
      <c r="S30" s="139" t="n">
        <v>0</v>
      </c>
      <c r="T30" s="139" t="n">
        <v>-10.998</v>
      </c>
      <c r="U30" s="77" t="n">
        <v>0</v>
      </c>
      <c r="V30" s="139" t="n">
        <v>0</v>
      </c>
      <c r="W30" s="139" t="n">
        <v>0</v>
      </c>
      <c r="X30" s="139" t="n">
        <v>0</v>
      </c>
      <c r="Y30" s="77" t="n">
        <v>0</v>
      </c>
      <c r="Z30" s="77" t="n">
        <v>0</v>
      </c>
      <c r="AA30" s="77" t="n">
        <v>0</v>
      </c>
      <c r="AB30" s="77" t="n">
        <v>0</v>
      </c>
      <c r="AC30" s="77" t="n">
        <v>0</v>
      </c>
      <c r="AD30" s="77" t="n">
        <v>0</v>
      </c>
      <c r="AE30" s="77" t="n">
        <v>0</v>
      </c>
      <c r="AF30" s="77" t="n">
        <v>0</v>
      </c>
      <c r="AG30" s="77" t="n">
        <v>0</v>
      </c>
      <c r="AH30" s="77" t="n">
        <v>0</v>
      </c>
      <c r="AI30" s="77" t="n">
        <v>0</v>
      </c>
      <c r="AJ30" s="139" t="n">
        <v>0</v>
      </c>
      <c r="AK30" s="77" t="n">
        <v>0</v>
      </c>
    </row>
    <row r="31" ht="14.25" customHeight="1" s="87">
      <c r="A31" s="80" t="inlineStr">
        <is>
          <t>06:45</t>
        </is>
      </c>
      <c r="B31" s="141" t="n">
        <v>0</v>
      </c>
      <c r="C31" s="141" t="n">
        <v>0</v>
      </c>
      <c r="D31" s="82" t="n">
        <v>0</v>
      </c>
      <c r="E31" s="141" t="n">
        <v>0</v>
      </c>
      <c r="F31" s="141" t="n">
        <v>0</v>
      </c>
      <c r="G31" s="82" t="n">
        <v>0</v>
      </c>
      <c r="H31" s="145" t="n"/>
      <c r="I31" s="145" t="n"/>
      <c r="J31" s="84" t="n"/>
      <c r="K31" s="141" t="n">
        <v>0</v>
      </c>
      <c r="L31" s="141" t="n">
        <v>0</v>
      </c>
      <c r="M31" s="82" t="n">
        <v>0</v>
      </c>
      <c r="N31" s="82" t="n">
        <v>0</v>
      </c>
      <c r="O31" s="141" t="n">
        <v>0</v>
      </c>
      <c r="P31" s="141" t="n">
        <v>313.333</v>
      </c>
      <c r="Q31" s="82" t="n">
        <v>0</v>
      </c>
      <c r="R31" s="141" t="n">
        <v>0</v>
      </c>
      <c r="S31" s="141" t="n">
        <v>0</v>
      </c>
      <c r="T31" s="141" t="n">
        <v>313.33</v>
      </c>
      <c r="U31" s="82" t="n">
        <v>0</v>
      </c>
      <c r="V31" s="141" t="n">
        <v>0</v>
      </c>
      <c r="W31" s="141" t="n">
        <v>0</v>
      </c>
      <c r="X31" s="141" t="n">
        <v>0</v>
      </c>
      <c r="Y31" s="82" t="n">
        <v>0</v>
      </c>
      <c r="Z31" s="82" t="n">
        <v>0</v>
      </c>
      <c r="AA31" s="82" t="n">
        <v>0</v>
      </c>
      <c r="AB31" s="82" t="n">
        <v>0</v>
      </c>
      <c r="AC31" s="82" t="n">
        <v>0</v>
      </c>
      <c r="AD31" s="82" t="n">
        <v>0</v>
      </c>
      <c r="AE31" s="82" t="n">
        <v>0</v>
      </c>
      <c r="AF31" s="82" t="n">
        <v>0</v>
      </c>
      <c r="AG31" s="82" t="n">
        <v>0</v>
      </c>
      <c r="AH31" s="82" t="n">
        <v>0</v>
      </c>
      <c r="AI31" s="82" t="n">
        <v>0</v>
      </c>
      <c r="AJ31" s="141" t="n">
        <v>0</v>
      </c>
      <c r="AK31" s="82" t="n">
        <v>0</v>
      </c>
    </row>
    <row r="32" ht="14.25" customHeight="1" s="87">
      <c r="A32" s="75" t="inlineStr">
        <is>
          <t>07:00</t>
        </is>
      </c>
      <c r="B32" s="139" t="n">
        <v>0</v>
      </c>
      <c r="C32" s="139" t="n">
        <v>0</v>
      </c>
      <c r="D32" s="77" t="n">
        <v>0</v>
      </c>
      <c r="E32" s="139" t="n">
        <v>0</v>
      </c>
      <c r="F32" s="139" t="n">
        <v>0</v>
      </c>
      <c r="G32" s="77" t="n">
        <v>0</v>
      </c>
      <c r="H32" s="146" t="n"/>
      <c r="I32" s="146" t="n"/>
      <c r="J32" s="79" t="n"/>
      <c r="K32" s="139" t="n">
        <v>0</v>
      </c>
      <c r="L32" s="139" t="n">
        <v>0</v>
      </c>
      <c r="M32" s="77" t="n">
        <v>0</v>
      </c>
      <c r="N32" s="77" t="n">
        <v>0</v>
      </c>
      <c r="O32" s="139" t="n">
        <v>0</v>
      </c>
      <c r="P32" s="139" t="n">
        <v>0</v>
      </c>
      <c r="Q32" s="77" t="n">
        <v>0</v>
      </c>
      <c r="R32" s="139" t="n">
        <v>0</v>
      </c>
      <c r="S32" s="139" t="n">
        <v>0</v>
      </c>
      <c r="T32" s="139" t="n">
        <v>0</v>
      </c>
      <c r="U32" s="77" t="n">
        <v>0</v>
      </c>
      <c r="V32" s="139" t="n">
        <v>0</v>
      </c>
      <c r="W32" s="139" t="n">
        <v>0</v>
      </c>
      <c r="X32" s="139" t="n">
        <v>0</v>
      </c>
      <c r="Y32" s="77" t="n">
        <v>0</v>
      </c>
      <c r="Z32" s="77" t="n">
        <v>0</v>
      </c>
      <c r="AA32" s="77" t="n">
        <v>0</v>
      </c>
      <c r="AB32" s="77" t="n">
        <v>0</v>
      </c>
      <c r="AC32" s="77" t="n">
        <v>0</v>
      </c>
      <c r="AD32" s="77" t="n">
        <v>0</v>
      </c>
      <c r="AE32" s="77" t="n">
        <v>0</v>
      </c>
      <c r="AF32" s="77" t="n">
        <v>0</v>
      </c>
      <c r="AG32" s="77" t="n">
        <v>0</v>
      </c>
      <c r="AH32" s="77" t="n">
        <v>0</v>
      </c>
      <c r="AI32" s="77" t="n">
        <v>0</v>
      </c>
      <c r="AJ32" s="139" t="n">
        <v>0</v>
      </c>
      <c r="AK32" s="77" t="n">
        <v>0</v>
      </c>
    </row>
    <row r="33" ht="14.25" customHeight="1" s="87">
      <c r="A33" s="80" t="inlineStr">
        <is>
          <t>07:15</t>
        </is>
      </c>
      <c r="B33" s="141" t="n">
        <v>0</v>
      </c>
      <c r="C33" s="141" t="n">
        <v>0</v>
      </c>
      <c r="D33" s="82" t="n">
        <v>0</v>
      </c>
      <c r="E33" s="141" t="n">
        <v>0</v>
      </c>
      <c r="F33" s="141" t="n">
        <v>0</v>
      </c>
      <c r="G33" s="82" t="n">
        <v>0</v>
      </c>
      <c r="H33" s="145" t="n"/>
      <c r="I33" s="145" t="n"/>
      <c r="J33" s="84" t="n"/>
      <c r="K33" s="141" t="n">
        <v>0</v>
      </c>
      <c r="L33" s="141" t="n">
        <v>0</v>
      </c>
      <c r="M33" s="82" t="n">
        <v>0</v>
      </c>
      <c r="N33" s="82" t="n">
        <v>0</v>
      </c>
      <c r="O33" s="141" t="n">
        <v>0</v>
      </c>
      <c r="P33" s="141" t="n">
        <v>-80</v>
      </c>
      <c r="Q33" s="82" t="n">
        <v>0</v>
      </c>
      <c r="R33" s="141" t="n">
        <v>0</v>
      </c>
      <c r="S33" s="141" t="n">
        <v>0</v>
      </c>
      <c r="T33" s="141" t="n">
        <v>-80</v>
      </c>
      <c r="U33" s="82" t="n">
        <v>0</v>
      </c>
      <c r="V33" s="141" t="n">
        <v>0</v>
      </c>
      <c r="W33" s="141" t="n">
        <v>0</v>
      </c>
      <c r="X33" s="141" t="n">
        <v>0</v>
      </c>
      <c r="Y33" s="82" t="n">
        <v>0</v>
      </c>
      <c r="Z33" s="82" t="n">
        <v>0</v>
      </c>
      <c r="AA33" s="82" t="n">
        <v>0</v>
      </c>
      <c r="AB33" s="82" t="n">
        <v>0</v>
      </c>
      <c r="AC33" s="82" t="n">
        <v>0</v>
      </c>
      <c r="AD33" s="82" t="n">
        <v>0</v>
      </c>
      <c r="AE33" s="82" t="n">
        <v>0</v>
      </c>
      <c r="AF33" s="82" t="n">
        <v>0</v>
      </c>
      <c r="AG33" s="82" t="n">
        <v>0</v>
      </c>
      <c r="AH33" s="82" t="n">
        <v>0</v>
      </c>
      <c r="AI33" s="82" t="n">
        <v>0</v>
      </c>
      <c r="AJ33" s="141" t="n">
        <v>0</v>
      </c>
      <c r="AK33" s="82" t="n">
        <v>0</v>
      </c>
    </row>
    <row r="34" ht="14.25" customHeight="1" s="87">
      <c r="A34" s="75" t="inlineStr">
        <is>
          <t>07:30</t>
        </is>
      </c>
      <c r="B34" s="139" t="n">
        <v>0</v>
      </c>
      <c r="C34" s="139" t="n">
        <v>0</v>
      </c>
      <c r="D34" s="77" t="n">
        <v>0</v>
      </c>
      <c r="E34" s="139" t="n">
        <v>0</v>
      </c>
      <c r="F34" s="139" t="n">
        <v>0</v>
      </c>
      <c r="G34" s="77" t="n">
        <v>0</v>
      </c>
      <c r="H34" s="146" t="n"/>
      <c r="I34" s="146" t="n"/>
      <c r="J34" s="79" t="n"/>
      <c r="K34" s="139" t="n">
        <v>0</v>
      </c>
      <c r="L34" s="139" t="n">
        <v>0</v>
      </c>
      <c r="M34" s="77" t="n">
        <v>0</v>
      </c>
      <c r="N34" s="77" t="n">
        <v>0</v>
      </c>
      <c r="O34" s="139" t="n">
        <v>0</v>
      </c>
      <c r="P34" s="139" t="n">
        <v>-80</v>
      </c>
      <c r="Q34" s="77" t="n">
        <v>0</v>
      </c>
      <c r="R34" s="139" t="n">
        <v>0</v>
      </c>
      <c r="S34" s="139" t="n">
        <v>0</v>
      </c>
      <c r="T34" s="139" t="n">
        <v>-80</v>
      </c>
      <c r="U34" s="77" t="n">
        <v>0</v>
      </c>
      <c r="V34" s="139" t="n">
        <v>0</v>
      </c>
      <c r="W34" s="139" t="n">
        <v>0</v>
      </c>
      <c r="X34" s="139" t="n">
        <v>0</v>
      </c>
      <c r="Y34" s="77" t="n">
        <v>0</v>
      </c>
      <c r="Z34" s="77" t="n">
        <v>0</v>
      </c>
      <c r="AA34" s="77" t="n">
        <v>0</v>
      </c>
      <c r="AB34" s="77" t="n">
        <v>0</v>
      </c>
      <c r="AC34" s="77" t="n">
        <v>0</v>
      </c>
      <c r="AD34" s="77" t="n">
        <v>0</v>
      </c>
      <c r="AE34" s="77" t="n">
        <v>0</v>
      </c>
      <c r="AF34" s="77" t="n">
        <v>0</v>
      </c>
      <c r="AG34" s="77" t="n">
        <v>0</v>
      </c>
      <c r="AH34" s="77" t="n">
        <v>0</v>
      </c>
      <c r="AI34" s="77" t="n">
        <v>0</v>
      </c>
      <c r="AJ34" s="139" t="n">
        <v>0</v>
      </c>
      <c r="AK34" s="77" t="n">
        <v>0</v>
      </c>
    </row>
    <row r="35" ht="14.25" customHeight="1" s="87">
      <c r="A35" s="80" t="inlineStr">
        <is>
          <t>07:45</t>
        </is>
      </c>
      <c r="B35" s="141" t="n">
        <v>0</v>
      </c>
      <c r="C35" s="141" t="n">
        <v>0</v>
      </c>
      <c r="D35" s="82" t="n">
        <v>0</v>
      </c>
      <c r="E35" s="141" t="n">
        <v>0</v>
      </c>
      <c r="F35" s="141" t="n">
        <v>0</v>
      </c>
      <c r="G35" s="82" t="n">
        <v>0</v>
      </c>
      <c r="H35" s="145" t="n"/>
      <c r="I35" s="145" t="n"/>
      <c r="J35" s="84" t="n"/>
      <c r="K35" s="141" t="n">
        <v>0</v>
      </c>
      <c r="L35" s="141" t="n">
        <v>0</v>
      </c>
      <c r="M35" s="82" t="n">
        <v>0</v>
      </c>
      <c r="N35" s="82" t="n">
        <v>0</v>
      </c>
      <c r="O35" s="141" t="n">
        <v>0</v>
      </c>
      <c r="P35" s="141" t="n">
        <v>-80</v>
      </c>
      <c r="Q35" s="82" t="n">
        <v>0</v>
      </c>
      <c r="R35" s="141" t="n">
        <v>0</v>
      </c>
      <c r="S35" s="141" t="n">
        <v>0</v>
      </c>
      <c r="T35" s="141" t="n">
        <v>-80</v>
      </c>
      <c r="U35" s="82" t="n">
        <v>0</v>
      </c>
      <c r="V35" s="141" t="n">
        <v>0</v>
      </c>
      <c r="W35" s="141" t="n">
        <v>0</v>
      </c>
      <c r="X35" s="141" t="n">
        <v>0</v>
      </c>
      <c r="Y35" s="82" t="n">
        <v>0</v>
      </c>
      <c r="Z35" s="82" t="n">
        <v>0</v>
      </c>
      <c r="AA35" s="82" t="n">
        <v>0</v>
      </c>
      <c r="AB35" s="82" t="n">
        <v>0</v>
      </c>
      <c r="AC35" s="82" t="n">
        <v>0</v>
      </c>
      <c r="AD35" s="82" t="n">
        <v>0</v>
      </c>
      <c r="AE35" s="82" t="n">
        <v>0</v>
      </c>
      <c r="AF35" s="82" t="n">
        <v>0</v>
      </c>
      <c r="AG35" s="82" t="n">
        <v>0</v>
      </c>
      <c r="AH35" s="82" t="n">
        <v>0</v>
      </c>
      <c r="AI35" s="82" t="n">
        <v>0</v>
      </c>
      <c r="AJ35" s="141" t="n">
        <v>0</v>
      </c>
      <c r="AK35" s="82" t="n">
        <v>0</v>
      </c>
    </row>
    <row r="36" ht="14.25" customHeight="1" s="87">
      <c r="A36" s="75" t="inlineStr">
        <is>
          <t>08:00</t>
        </is>
      </c>
      <c r="B36" s="139" t="n">
        <v>0</v>
      </c>
      <c r="C36" s="139" t="n">
        <v>0</v>
      </c>
      <c r="D36" s="77" t="n">
        <v>0</v>
      </c>
      <c r="E36" s="139" t="n">
        <v>0</v>
      </c>
      <c r="F36" s="139" t="n">
        <v>0</v>
      </c>
      <c r="G36" s="77" t="n">
        <v>0</v>
      </c>
      <c r="H36" s="146" t="n"/>
      <c r="I36" s="146" t="n"/>
      <c r="J36" s="79" t="n"/>
      <c r="K36" s="139" t="n">
        <v>0</v>
      </c>
      <c r="L36" s="139" t="n">
        <v>0</v>
      </c>
      <c r="M36" s="77" t="n">
        <v>0</v>
      </c>
      <c r="N36" s="77" t="n">
        <v>0</v>
      </c>
      <c r="O36" s="139" t="n">
        <v>0</v>
      </c>
      <c r="P36" s="139" t="n">
        <v>-80</v>
      </c>
      <c r="Q36" s="77" t="n">
        <v>0</v>
      </c>
      <c r="R36" s="139" t="n">
        <v>0</v>
      </c>
      <c r="S36" s="139" t="n">
        <v>0</v>
      </c>
      <c r="T36" s="139" t="n">
        <v>-80</v>
      </c>
      <c r="U36" s="77" t="n">
        <v>0</v>
      </c>
      <c r="V36" s="139" t="n">
        <v>0</v>
      </c>
      <c r="W36" s="139" t="n">
        <v>0</v>
      </c>
      <c r="X36" s="139" t="n">
        <v>0</v>
      </c>
      <c r="Y36" s="77" t="n">
        <v>0</v>
      </c>
      <c r="Z36" s="77" t="n">
        <v>0</v>
      </c>
      <c r="AA36" s="77" t="n">
        <v>0</v>
      </c>
      <c r="AB36" s="77" t="n">
        <v>0</v>
      </c>
      <c r="AC36" s="77" t="n">
        <v>0</v>
      </c>
      <c r="AD36" s="77" t="n">
        <v>0</v>
      </c>
      <c r="AE36" s="77" t="n">
        <v>0</v>
      </c>
      <c r="AF36" s="77" t="n">
        <v>0</v>
      </c>
      <c r="AG36" s="77" t="n">
        <v>0</v>
      </c>
      <c r="AH36" s="77" t="n">
        <v>0</v>
      </c>
      <c r="AI36" s="77" t="n">
        <v>0</v>
      </c>
      <c r="AJ36" s="139" t="n">
        <v>0</v>
      </c>
      <c r="AK36" s="77" t="n">
        <v>0</v>
      </c>
    </row>
    <row r="37" ht="14.25" customHeight="1" s="87">
      <c r="A37" s="80" t="inlineStr">
        <is>
          <t>08:15</t>
        </is>
      </c>
      <c r="B37" s="141" t="n">
        <v>0</v>
      </c>
      <c r="C37" s="141" t="n">
        <v>0</v>
      </c>
      <c r="D37" s="82" t="n">
        <v>0</v>
      </c>
      <c r="E37" s="141" t="n">
        <v>0</v>
      </c>
      <c r="F37" s="141" t="n">
        <v>0</v>
      </c>
      <c r="G37" s="82" t="n">
        <v>0</v>
      </c>
      <c r="H37" s="145" t="n"/>
      <c r="I37" s="145" t="n"/>
      <c r="J37" s="84" t="n"/>
      <c r="K37" s="141" t="n">
        <v>0</v>
      </c>
      <c r="L37" s="141" t="n">
        <v>0</v>
      </c>
      <c r="M37" s="82" t="n">
        <v>0</v>
      </c>
      <c r="N37" s="82" t="n">
        <v>0</v>
      </c>
      <c r="O37" s="141" t="n">
        <v>0</v>
      </c>
      <c r="P37" s="141" t="n">
        <v>-80</v>
      </c>
      <c r="Q37" s="82" t="n">
        <v>0</v>
      </c>
      <c r="R37" s="141" t="n">
        <v>0</v>
      </c>
      <c r="S37" s="141" t="n">
        <v>0</v>
      </c>
      <c r="T37" s="141" t="n">
        <v>-80</v>
      </c>
      <c r="U37" s="82" t="n">
        <v>0</v>
      </c>
      <c r="V37" s="141" t="n">
        <v>0</v>
      </c>
      <c r="W37" s="141" t="n">
        <v>0</v>
      </c>
      <c r="X37" s="141" t="n">
        <v>0</v>
      </c>
      <c r="Y37" s="82" t="n">
        <v>0</v>
      </c>
      <c r="Z37" s="82" t="n">
        <v>0</v>
      </c>
      <c r="AA37" s="82" t="n">
        <v>0</v>
      </c>
      <c r="AB37" s="82" t="n">
        <v>0</v>
      </c>
      <c r="AC37" s="82" t="n">
        <v>0</v>
      </c>
      <c r="AD37" s="82" t="n">
        <v>0</v>
      </c>
      <c r="AE37" s="82" t="n">
        <v>0</v>
      </c>
      <c r="AF37" s="82" t="n">
        <v>0</v>
      </c>
      <c r="AG37" s="82" t="n">
        <v>0</v>
      </c>
      <c r="AH37" s="82" t="n">
        <v>0</v>
      </c>
      <c r="AI37" s="82" t="n">
        <v>0</v>
      </c>
      <c r="AJ37" s="141" t="n">
        <v>0</v>
      </c>
      <c r="AK37" s="82" t="n">
        <v>0</v>
      </c>
    </row>
    <row r="38" ht="14.25" customHeight="1" s="87">
      <c r="A38" s="75" t="inlineStr">
        <is>
          <t>08:30</t>
        </is>
      </c>
      <c r="B38" s="139" t="n">
        <v>0</v>
      </c>
      <c r="C38" s="139" t="n">
        <v>0</v>
      </c>
      <c r="D38" s="77" t="n">
        <v>0</v>
      </c>
      <c r="E38" s="139" t="n">
        <v>0</v>
      </c>
      <c r="F38" s="139" t="n">
        <v>0</v>
      </c>
      <c r="G38" s="77" t="n">
        <v>0</v>
      </c>
      <c r="H38" s="146" t="n"/>
      <c r="I38" s="146" t="n"/>
      <c r="J38" s="79" t="n"/>
      <c r="K38" s="139" t="n">
        <v>0</v>
      </c>
      <c r="L38" s="139" t="n">
        <v>0</v>
      </c>
      <c r="M38" s="77" t="n">
        <v>0</v>
      </c>
      <c r="N38" s="77" t="n">
        <v>0</v>
      </c>
      <c r="O38" s="139" t="n">
        <v>0</v>
      </c>
      <c r="P38" s="139" t="n">
        <v>-80</v>
      </c>
      <c r="Q38" s="77" t="n">
        <v>0</v>
      </c>
      <c r="R38" s="139" t="n">
        <v>0</v>
      </c>
      <c r="S38" s="139" t="n">
        <v>0</v>
      </c>
      <c r="T38" s="139" t="n">
        <v>-80</v>
      </c>
      <c r="U38" s="77" t="n">
        <v>0</v>
      </c>
      <c r="V38" s="139" t="n">
        <v>0</v>
      </c>
      <c r="W38" s="139" t="n">
        <v>0</v>
      </c>
      <c r="X38" s="139" t="n">
        <v>0</v>
      </c>
      <c r="Y38" s="77" t="n">
        <v>0</v>
      </c>
      <c r="Z38" s="77" t="n">
        <v>0</v>
      </c>
      <c r="AA38" s="77" t="n">
        <v>0</v>
      </c>
      <c r="AB38" s="77" t="n">
        <v>0</v>
      </c>
      <c r="AC38" s="77" t="n">
        <v>0</v>
      </c>
      <c r="AD38" s="77" t="n">
        <v>0</v>
      </c>
      <c r="AE38" s="77" t="n">
        <v>0</v>
      </c>
      <c r="AF38" s="77" t="n">
        <v>0</v>
      </c>
      <c r="AG38" s="77" t="n">
        <v>0</v>
      </c>
      <c r="AH38" s="77" t="n">
        <v>0</v>
      </c>
      <c r="AI38" s="77" t="n">
        <v>0</v>
      </c>
      <c r="AJ38" s="139" t="n">
        <v>0</v>
      </c>
      <c r="AK38" s="77" t="n">
        <v>0</v>
      </c>
    </row>
    <row r="39" ht="14.25" customHeight="1" s="87">
      <c r="A39" s="80" t="inlineStr">
        <is>
          <t>08:45</t>
        </is>
      </c>
      <c r="B39" s="141" t="n">
        <v>0</v>
      </c>
      <c r="C39" s="141" t="n">
        <v>0</v>
      </c>
      <c r="D39" s="82" t="n">
        <v>0</v>
      </c>
      <c r="E39" s="141" t="n">
        <v>0</v>
      </c>
      <c r="F39" s="141" t="n">
        <v>0</v>
      </c>
      <c r="G39" s="82" t="n">
        <v>0</v>
      </c>
      <c r="H39" s="145" t="n"/>
      <c r="I39" s="145" t="n"/>
      <c r="J39" s="84" t="n"/>
      <c r="K39" s="141" t="n">
        <v>0</v>
      </c>
      <c r="L39" s="141" t="n">
        <v>0</v>
      </c>
      <c r="M39" s="82" t="n">
        <v>0</v>
      </c>
      <c r="N39" s="82" t="n">
        <v>0</v>
      </c>
      <c r="O39" s="141" t="n">
        <v>0</v>
      </c>
      <c r="P39" s="141" t="n">
        <v>-80</v>
      </c>
      <c r="Q39" s="82" t="n">
        <v>0</v>
      </c>
      <c r="R39" s="141" t="n">
        <v>0</v>
      </c>
      <c r="S39" s="141" t="n">
        <v>0</v>
      </c>
      <c r="T39" s="141" t="n">
        <v>-80</v>
      </c>
      <c r="U39" s="82" t="n">
        <v>0</v>
      </c>
      <c r="V39" s="141" t="n">
        <v>0</v>
      </c>
      <c r="W39" s="141" t="n">
        <v>0</v>
      </c>
      <c r="X39" s="141" t="n">
        <v>0</v>
      </c>
      <c r="Y39" s="82" t="n">
        <v>0</v>
      </c>
      <c r="Z39" s="82" t="n">
        <v>0</v>
      </c>
      <c r="AA39" s="82" t="n">
        <v>0</v>
      </c>
      <c r="AB39" s="82" t="n">
        <v>0</v>
      </c>
      <c r="AC39" s="82" t="n">
        <v>0</v>
      </c>
      <c r="AD39" s="82" t="n">
        <v>0</v>
      </c>
      <c r="AE39" s="82" t="n">
        <v>0</v>
      </c>
      <c r="AF39" s="82" t="n">
        <v>0</v>
      </c>
      <c r="AG39" s="82" t="n">
        <v>0</v>
      </c>
      <c r="AH39" s="82" t="n">
        <v>0</v>
      </c>
      <c r="AI39" s="82" t="n">
        <v>0</v>
      </c>
      <c r="AJ39" s="141" t="n">
        <v>0</v>
      </c>
      <c r="AK39" s="82" t="n">
        <v>0</v>
      </c>
    </row>
    <row r="40" ht="14.25" customHeight="1" s="87">
      <c r="A40" s="75" t="inlineStr">
        <is>
          <t>09:00</t>
        </is>
      </c>
      <c r="B40" s="139" t="n">
        <v>0</v>
      </c>
      <c r="C40" s="139" t="n">
        <v>0</v>
      </c>
      <c r="D40" s="77" t="n">
        <v>0</v>
      </c>
      <c r="E40" s="139" t="n">
        <v>0</v>
      </c>
      <c r="F40" s="139" t="n">
        <v>0</v>
      </c>
      <c r="G40" s="77" t="n">
        <v>0</v>
      </c>
      <c r="H40" s="146" t="n"/>
      <c r="I40" s="146" t="n"/>
      <c r="J40" s="79" t="n"/>
      <c r="K40" s="139" t="n">
        <v>0</v>
      </c>
      <c r="L40" s="139" t="n">
        <v>0</v>
      </c>
      <c r="M40" s="77" t="n">
        <v>0</v>
      </c>
      <c r="N40" s="77" t="n">
        <v>0</v>
      </c>
      <c r="O40" s="139" t="n">
        <v>0</v>
      </c>
      <c r="P40" s="139" t="n">
        <v>-80</v>
      </c>
      <c r="Q40" s="77" t="n">
        <v>0</v>
      </c>
      <c r="R40" s="139" t="n">
        <v>0</v>
      </c>
      <c r="S40" s="139" t="n">
        <v>0</v>
      </c>
      <c r="T40" s="139" t="n">
        <v>-80</v>
      </c>
      <c r="U40" s="77" t="n">
        <v>0</v>
      </c>
      <c r="V40" s="139" t="n">
        <v>0</v>
      </c>
      <c r="W40" s="139" t="n">
        <v>0</v>
      </c>
      <c r="X40" s="139" t="n">
        <v>0</v>
      </c>
      <c r="Y40" s="77" t="n">
        <v>0</v>
      </c>
      <c r="Z40" s="77" t="n">
        <v>0</v>
      </c>
      <c r="AA40" s="77" t="n">
        <v>0</v>
      </c>
      <c r="AB40" s="77" t="n">
        <v>0</v>
      </c>
      <c r="AC40" s="77" t="n">
        <v>0</v>
      </c>
      <c r="AD40" s="77" t="n">
        <v>0</v>
      </c>
      <c r="AE40" s="77" t="n">
        <v>0</v>
      </c>
      <c r="AF40" s="77" t="n">
        <v>0</v>
      </c>
      <c r="AG40" s="77" t="n">
        <v>0</v>
      </c>
      <c r="AH40" s="77" t="n">
        <v>0</v>
      </c>
      <c r="AI40" s="77" t="n">
        <v>0</v>
      </c>
      <c r="AJ40" s="139" t="n">
        <v>0</v>
      </c>
      <c r="AK40" s="77" t="n">
        <v>0</v>
      </c>
    </row>
    <row r="41" ht="14.25" customHeight="1" s="87">
      <c r="A41" s="80" t="inlineStr">
        <is>
          <t>09:15</t>
        </is>
      </c>
      <c r="B41" s="141" t="n">
        <v>0</v>
      </c>
      <c r="C41" s="141" t="n">
        <v>0</v>
      </c>
      <c r="D41" s="82" t="n">
        <v>0</v>
      </c>
      <c r="E41" s="141" t="n">
        <v>0</v>
      </c>
      <c r="F41" s="141" t="n">
        <v>0</v>
      </c>
      <c r="G41" s="82" t="n">
        <v>0</v>
      </c>
      <c r="H41" s="145" t="n"/>
      <c r="I41" s="145" t="n"/>
      <c r="J41" s="84" t="n"/>
      <c r="K41" s="141" t="n">
        <v>0</v>
      </c>
      <c r="L41" s="141" t="n">
        <v>0</v>
      </c>
      <c r="M41" s="82" t="n">
        <v>0</v>
      </c>
      <c r="N41" s="82" t="n">
        <v>0</v>
      </c>
      <c r="O41" s="141" t="n">
        <v>0</v>
      </c>
      <c r="P41" s="141" t="n">
        <v>-80</v>
      </c>
      <c r="Q41" s="82" t="n">
        <v>0</v>
      </c>
      <c r="R41" s="141" t="n">
        <v>0</v>
      </c>
      <c r="S41" s="141" t="n">
        <v>0</v>
      </c>
      <c r="T41" s="141" t="n">
        <v>-80</v>
      </c>
      <c r="U41" s="82" t="n">
        <v>0</v>
      </c>
      <c r="V41" s="141" t="n">
        <v>0</v>
      </c>
      <c r="W41" s="141" t="n">
        <v>0</v>
      </c>
      <c r="X41" s="141" t="n">
        <v>0</v>
      </c>
      <c r="Y41" s="82" t="n">
        <v>0</v>
      </c>
      <c r="Z41" s="82" t="n">
        <v>0</v>
      </c>
      <c r="AA41" s="82" t="n">
        <v>0</v>
      </c>
      <c r="AB41" s="82" t="n">
        <v>0</v>
      </c>
      <c r="AC41" s="82" t="n">
        <v>0</v>
      </c>
      <c r="AD41" s="82" t="n">
        <v>0</v>
      </c>
      <c r="AE41" s="82" t="n">
        <v>0</v>
      </c>
      <c r="AF41" s="82" t="n">
        <v>0</v>
      </c>
      <c r="AG41" s="82" t="n">
        <v>0</v>
      </c>
      <c r="AH41" s="82" t="n">
        <v>0</v>
      </c>
      <c r="AI41" s="82" t="n">
        <v>0</v>
      </c>
      <c r="AJ41" s="141" t="n">
        <v>0</v>
      </c>
      <c r="AK41" s="82" t="n">
        <v>0</v>
      </c>
    </row>
    <row r="42" ht="14.25" customHeight="1" s="87">
      <c r="A42" s="75" t="inlineStr">
        <is>
          <t>09:30</t>
        </is>
      </c>
      <c r="B42" s="139" t="n">
        <v>0</v>
      </c>
      <c r="C42" s="139" t="n">
        <v>0</v>
      </c>
      <c r="D42" s="77" t="n">
        <v>0</v>
      </c>
      <c r="E42" s="139" t="n">
        <v>0</v>
      </c>
      <c r="F42" s="139" t="n">
        <v>0</v>
      </c>
      <c r="G42" s="77" t="n">
        <v>0</v>
      </c>
      <c r="H42" s="146" t="n"/>
      <c r="I42" s="146" t="n"/>
      <c r="J42" s="79" t="n"/>
      <c r="K42" s="139" t="n">
        <v>0</v>
      </c>
      <c r="L42" s="139" t="n">
        <v>0</v>
      </c>
      <c r="M42" s="77" t="n">
        <v>0</v>
      </c>
      <c r="N42" s="77" t="n">
        <v>0</v>
      </c>
      <c r="O42" s="139" t="n">
        <v>0</v>
      </c>
      <c r="P42" s="139" t="n">
        <v>-80</v>
      </c>
      <c r="Q42" s="77" t="n">
        <v>0</v>
      </c>
      <c r="R42" s="139" t="n">
        <v>0</v>
      </c>
      <c r="S42" s="139" t="n">
        <v>0</v>
      </c>
      <c r="T42" s="139" t="n">
        <v>-80</v>
      </c>
      <c r="U42" s="77" t="n">
        <v>0</v>
      </c>
      <c r="V42" s="139" t="n">
        <v>0</v>
      </c>
      <c r="W42" s="139" t="n">
        <v>0</v>
      </c>
      <c r="X42" s="139" t="n">
        <v>0</v>
      </c>
      <c r="Y42" s="77" t="n">
        <v>0</v>
      </c>
      <c r="Z42" s="77" t="n">
        <v>0</v>
      </c>
      <c r="AA42" s="77" t="n">
        <v>0</v>
      </c>
      <c r="AB42" s="77" t="n">
        <v>0</v>
      </c>
      <c r="AC42" s="77" t="n">
        <v>0</v>
      </c>
      <c r="AD42" s="77" t="n">
        <v>0</v>
      </c>
      <c r="AE42" s="77" t="n">
        <v>0</v>
      </c>
      <c r="AF42" s="77" t="n">
        <v>0</v>
      </c>
      <c r="AG42" s="77" t="n">
        <v>0</v>
      </c>
      <c r="AH42" s="77" t="n">
        <v>0</v>
      </c>
      <c r="AI42" s="77" t="n">
        <v>0</v>
      </c>
      <c r="AJ42" s="139" t="n">
        <v>0</v>
      </c>
      <c r="AK42" s="77" t="n">
        <v>0</v>
      </c>
    </row>
    <row r="43" ht="14.25" customHeight="1" s="87">
      <c r="A43" s="80" t="inlineStr">
        <is>
          <t>09:45</t>
        </is>
      </c>
      <c r="B43" s="141" t="n">
        <v>0</v>
      </c>
      <c r="C43" s="141" t="n">
        <v>0</v>
      </c>
      <c r="D43" s="82" t="n">
        <v>0</v>
      </c>
      <c r="E43" s="141" t="n">
        <v>0</v>
      </c>
      <c r="F43" s="141" t="n">
        <v>0</v>
      </c>
      <c r="G43" s="82" t="n">
        <v>0</v>
      </c>
      <c r="H43" s="145" t="n"/>
      <c r="I43" s="145" t="n"/>
      <c r="J43" s="84" t="n"/>
      <c r="K43" s="141" t="n">
        <v>0</v>
      </c>
      <c r="L43" s="141" t="n">
        <v>0</v>
      </c>
      <c r="M43" s="82" t="n">
        <v>0</v>
      </c>
      <c r="N43" s="82" t="n">
        <v>0</v>
      </c>
      <c r="O43" s="141" t="n">
        <v>0</v>
      </c>
      <c r="P43" s="141" t="n">
        <v>-80</v>
      </c>
      <c r="Q43" s="82" t="n">
        <v>0</v>
      </c>
      <c r="R43" s="141" t="n">
        <v>0</v>
      </c>
      <c r="S43" s="141" t="n">
        <v>0</v>
      </c>
      <c r="T43" s="141" t="n">
        <v>-80</v>
      </c>
      <c r="U43" s="82" t="n">
        <v>0</v>
      </c>
      <c r="V43" s="141" t="n">
        <v>0</v>
      </c>
      <c r="W43" s="141" t="n">
        <v>0</v>
      </c>
      <c r="X43" s="141" t="n">
        <v>0</v>
      </c>
      <c r="Y43" s="82" t="n">
        <v>0</v>
      </c>
      <c r="Z43" s="82" t="n">
        <v>0</v>
      </c>
      <c r="AA43" s="82" t="n">
        <v>0</v>
      </c>
      <c r="AB43" s="82" t="n">
        <v>0</v>
      </c>
      <c r="AC43" s="82" t="n">
        <v>0</v>
      </c>
      <c r="AD43" s="82" t="n">
        <v>0</v>
      </c>
      <c r="AE43" s="82" t="n">
        <v>0</v>
      </c>
      <c r="AF43" s="82" t="n">
        <v>0</v>
      </c>
      <c r="AG43" s="82" t="n">
        <v>0</v>
      </c>
      <c r="AH43" s="82" t="n">
        <v>0</v>
      </c>
      <c r="AI43" s="82" t="n">
        <v>0</v>
      </c>
      <c r="AJ43" s="141" t="n">
        <v>0</v>
      </c>
      <c r="AK43" s="82" t="n">
        <v>0</v>
      </c>
    </row>
    <row r="44" ht="14.25" customHeight="1" s="87">
      <c r="A44" s="75" t="inlineStr">
        <is>
          <t>10:00</t>
        </is>
      </c>
      <c r="B44" s="139" t="n">
        <v>0</v>
      </c>
      <c r="C44" s="139" t="n">
        <v>0</v>
      </c>
      <c r="D44" s="77" t="n">
        <v>0</v>
      </c>
      <c r="E44" s="139" t="n">
        <v>0</v>
      </c>
      <c r="F44" s="139" t="n">
        <v>0</v>
      </c>
      <c r="G44" s="77" t="n">
        <v>0</v>
      </c>
      <c r="H44" s="146" t="n"/>
      <c r="I44" s="146" t="n"/>
      <c r="J44" s="79" t="n"/>
      <c r="K44" s="139" t="n">
        <v>0</v>
      </c>
      <c r="L44" s="139" t="n">
        <v>0</v>
      </c>
      <c r="M44" s="77" t="n">
        <v>0</v>
      </c>
      <c r="N44" s="77" t="n">
        <v>0</v>
      </c>
      <c r="O44" s="139" t="n">
        <v>0</v>
      </c>
      <c r="P44" s="139" t="n">
        <v>-80</v>
      </c>
      <c r="Q44" s="77" t="n">
        <v>0</v>
      </c>
      <c r="R44" s="139" t="n">
        <v>0</v>
      </c>
      <c r="S44" s="139" t="n">
        <v>0</v>
      </c>
      <c r="T44" s="139" t="n">
        <v>-80</v>
      </c>
      <c r="U44" s="77" t="n">
        <v>0</v>
      </c>
      <c r="V44" s="139" t="n">
        <v>0</v>
      </c>
      <c r="W44" s="139" t="n">
        <v>0</v>
      </c>
      <c r="X44" s="139" t="n">
        <v>0</v>
      </c>
      <c r="Y44" s="77" t="n">
        <v>0</v>
      </c>
      <c r="Z44" s="77" t="n">
        <v>0</v>
      </c>
      <c r="AA44" s="77" t="n">
        <v>0</v>
      </c>
      <c r="AB44" s="77" t="n">
        <v>0</v>
      </c>
      <c r="AC44" s="77" t="n">
        <v>0</v>
      </c>
      <c r="AD44" s="77" t="n">
        <v>0</v>
      </c>
      <c r="AE44" s="77" t="n">
        <v>0</v>
      </c>
      <c r="AF44" s="77" t="n">
        <v>0</v>
      </c>
      <c r="AG44" s="77" t="n">
        <v>0</v>
      </c>
      <c r="AH44" s="77" t="n">
        <v>0</v>
      </c>
      <c r="AI44" s="77" t="n">
        <v>0</v>
      </c>
      <c r="AJ44" s="139" t="n">
        <v>0</v>
      </c>
      <c r="AK44" s="77" t="n">
        <v>0</v>
      </c>
    </row>
    <row r="45" ht="14.25" customHeight="1" s="87">
      <c r="A45" s="80" t="inlineStr">
        <is>
          <t>10:15</t>
        </is>
      </c>
      <c r="B45" s="141" t="n">
        <v>0</v>
      </c>
      <c r="C45" s="141" t="n">
        <v>0</v>
      </c>
      <c r="D45" s="82" t="n">
        <v>0</v>
      </c>
      <c r="E45" s="141" t="n">
        <v>0</v>
      </c>
      <c r="F45" s="141" t="n">
        <v>0</v>
      </c>
      <c r="G45" s="82" t="n">
        <v>0</v>
      </c>
      <c r="H45" s="145" t="n"/>
      <c r="I45" s="145" t="n"/>
      <c r="J45" s="84" t="n"/>
      <c r="K45" s="141" t="n">
        <v>0</v>
      </c>
      <c r="L45" s="141" t="n">
        <v>0</v>
      </c>
      <c r="M45" s="82" t="n">
        <v>0</v>
      </c>
      <c r="N45" s="82" t="n">
        <v>0</v>
      </c>
      <c r="O45" s="141" t="n">
        <v>0</v>
      </c>
      <c r="P45" s="141" t="n">
        <v>-80</v>
      </c>
      <c r="Q45" s="82" t="n">
        <v>0</v>
      </c>
      <c r="R45" s="141" t="n">
        <v>0</v>
      </c>
      <c r="S45" s="141" t="n">
        <v>0</v>
      </c>
      <c r="T45" s="141" t="n">
        <v>-80</v>
      </c>
      <c r="U45" s="82" t="n">
        <v>0</v>
      </c>
      <c r="V45" s="141" t="n">
        <v>0</v>
      </c>
      <c r="W45" s="141" t="n">
        <v>0</v>
      </c>
      <c r="X45" s="141" t="n">
        <v>0</v>
      </c>
      <c r="Y45" s="82" t="n">
        <v>0</v>
      </c>
      <c r="Z45" s="82" t="n">
        <v>0</v>
      </c>
      <c r="AA45" s="82" t="n">
        <v>0</v>
      </c>
      <c r="AB45" s="82" t="n">
        <v>0</v>
      </c>
      <c r="AC45" s="82" t="n">
        <v>0</v>
      </c>
      <c r="AD45" s="82" t="n">
        <v>0</v>
      </c>
      <c r="AE45" s="82" t="n">
        <v>0</v>
      </c>
      <c r="AF45" s="82" t="n">
        <v>0</v>
      </c>
      <c r="AG45" s="82" t="n">
        <v>0</v>
      </c>
      <c r="AH45" s="82" t="n">
        <v>0</v>
      </c>
      <c r="AI45" s="82" t="n">
        <v>0</v>
      </c>
      <c r="AJ45" s="141" t="n">
        <v>0</v>
      </c>
      <c r="AK45" s="82" t="n">
        <v>0</v>
      </c>
    </row>
    <row r="46" ht="14.25" customHeight="1" s="87">
      <c r="A46" s="75" t="inlineStr">
        <is>
          <t>10:30</t>
        </is>
      </c>
      <c r="B46" s="139" t="n">
        <v>0</v>
      </c>
      <c r="C46" s="139" t="n">
        <v>0</v>
      </c>
      <c r="D46" s="77" t="n">
        <v>0</v>
      </c>
      <c r="E46" s="139" t="n">
        <v>0</v>
      </c>
      <c r="F46" s="139" t="n">
        <v>0</v>
      </c>
      <c r="G46" s="77" t="n">
        <v>0</v>
      </c>
      <c r="H46" s="146" t="n"/>
      <c r="I46" s="146" t="n"/>
      <c r="J46" s="79" t="n"/>
      <c r="K46" s="139" t="n">
        <v>0</v>
      </c>
      <c r="L46" s="139" t="n">
        <v>0</v>
      </c>
      <c r="M46" s="77" t="n">
        <v>0</v>
      </c>
      <c r="N46" s="77" t="n">
        <v>0</v>
      </c>
      <c r="O46" s="139" t="n">
        <v>0</v>
      </c>
      <c r="P46" s="139" t="n">
        <v>-80</v>
      </c>
      <c r="Q46" s="77" t="n">
        <v>0</v>
      </c>
      <c r="R46" s="139" t="n">
        <v>0</v>
      </c>
      <c r="S46" s="139" t="n">
        <v>0</v>
      </c>
      <c r="T46" s="139" t="n">
        <v>-80</v>
      </c>
      <c r="U46" s="77" t="n">
        <v>0</v>
      </c>
      <c r="V46" s="139" t="n">
        <v>0</v>
      </c>
      <c r="W46" s="139" t="n">
        <v>0</v>
      </c>
      <c r="X46" s="139" t="n">
        <v>0</v>
      </c>
      <c r="Y46" s="77" t="n">
        <v>0</v>
      </c>
      <c r="Z46" s="77" t="n">
        <v>0</v>
      </c>
      <c r="AA46" s="77" t="n">
        <v>0</v>
      </c>
      <c r="AB46" s="77" t="n">
        <v>0</v>
      </c>
      <c r="AC46" s="77" t="n">
        <v>0</v>
      </c>
      <c r="AD46" s="77" t="n">
        <v>0</v>
      </c>
      <c r="AE46" s="77" t="n">
        <v>0</v>
      </c>
      <c r="AF46" s="77" t="n">
        <v>0</v>
      </c>
      <c r="AG46" s="77" t="n">
        <v>0</v>
      </c>
      <c r="AH46" s="77" t="n">
        <v>0</v>
      </c>
      <c r="AI46" s="77" t="n">
        <v>0</v>
      </c>
      <c r="AJ46" s="139" t="n">
        <v>0</v>
      </c>
      <c r="AK46" s="77" t="n">
        <v>0</v>
      </c>
    </row>
    <row r="47" ht="14.25" customHeight="1" s="87">
      <c r="A47" s="80" t="inlineStr">
        <is>
          <t>10:45</t>
        </is>
      </c>
      <c r="B47" s="141" t="n">
        <v>0</v>
      </c>
      <c r="C47" s="141" t="n">
        <v>0</v>
      </c>
      <c r="D47" s="82" t="n">
        <v>0</v>
      </c>
      <c r="E47" s="141" t="n">
        <v>0</v>
      </c>
      <c r="F47" s="141" t="n">
        <v>0</v>
      </c>
      <c r="G47" s="82" t="n">
        <v>0</v>
      </c>
      <c r="H47" s="145" t="n"/>
      <c r="I47" s="145" t="n"/>
      <c r="J47" s="84" t="n"/>
      <c r="K47" s="141" t="n">
        <v>0</v>
      </c>
      <c r="L47" s="141" t="n">
        <v>0</v>
      </c>
      <c r="M47" s="82" t="n">
        <v>0</v>
      </c>
      <c r="N47" s="82" t="n">
        <v>0</v>
      </c>
      <c r="O47" s="141" t="n">
        <v>0</v>
      </c>
      <c r="P47" s="141" t="n">
        <v>-80</v>
      </c>
      <c r="Q47" s="82" t="n">
        <v>0</v>
      </c>
      <c r="R47" s="141" t="n">
        <v>0</v>
      </c>
      <c r="S47" s="141" t="n">
        <v>0</v>
      </c>
      <c r="T47" s="141" t="n">
        <v>-80</v>
      </c>
      <c r="U47" s="82" t="n">
        <v>0</v>
      </c>
      <c r="V47" s="141" t="n">
        <v>0</v>
      </c>
      <c r="W47" s="141" t="n">
        <v>0</v>
      </c>
      <c r="X47" s="141" t="n">
        <v>0</v>
      </c>
      <c r="Y47" s="82" t="n">
        <v>0</v>
      </c>
      <c r="Z47" s="82" t="n">
        <v>0</v>
      </c>
      <c r="AA47" s="82" t="n">
        <v>0</v>
      </c>
      <c r="AB47" s="82" t="n">
        <v>0</v>
      </c>
      <c r="AC47" s="82" t="n">
        <v>0</v>
      </c>
      <c r="AD47" s="82" t="n">
        <v>0</v>
      </c>
      <c r="AE47" s="82" t="n">
        <v>0</v>
      </c>
      <c r="AF47" s="82" t="n">
        <v>0</v>
      </c>
      <c r="AG47" s="82" t="n">
        <v>0</v>
      </c>
      <c r="AH47" s="82" t="n">
        <v>0</v>
      </c>
      <c r="AI47" s="82" t="n">
        <v>0</v>
      </c>
      <c r="AJ47" s="141" t="n">
        <v>0</v>
      </c>
      <c r="AK47" s="82" t="n">
        <v>0</v>
      </c>
    </row>
    <row r="48" ht="14.25" customHeight="1" s="87">
      <c r="A48" s="75" t="inlineStr">
        <is>
          <t>11:00</t>
        </is>
      </c>
      <c r="B48" s="139" t="n">
        <v>0</v>
      </c>
      <c r="C48" s="139" t="n">
        <v>0</v>
      </c>
      <c r="D48" s="77" t="n">
        <v>0</v>
      </c>
      <c r="E48" s="139" t="n">
        <v>0</v>
      </c>
      <c r="F48" s="139" t="n">
        <v>0</v>
      </c>
      <c r="G48" s="77" t="n">
        <v>0</v>
      </c>
      <c r="H48" s="146" t="n"/>
      <c r="I48" s="146" t="n"/>
      <c r="J48" s="79" t="n"/>
      <c r="K48" s="139" t="n">
        <v>0</v>
      </c>
      <c r="L48" s="139" t="n">
        <v>0</v>
      </c>
      <c r="M48" s="77" t="n">
        <v>0</v>
      </c>
      <c r="N48" s="77" t="n">
        <v>0</v>
      </c>
      <c r="O48" s="139" t="n">
        <v>0</v>
      </c>
      <c r="P48" s="139" t="n">
        <v>-80</v>
      </c>
      <c r="Q48" s="77" t="n">
        <v>0</v>
      </c>
      <c r="R48" s="139" t="n">
        <v>0</v>
      </c>
      <c r="S48" s="139" t="n">
        <v>0</v>
      </c>
      <c r="T48" s="139" t="n">
        <v>-80</v>
      </c>
      <c r="U48" s="77" t="n">
        <v>0</v>
      </c>
      <c r="V48" s="139" t="n">
        <v>0</v>
      </c>
      <c r="W48" s="139" t="n">
        <v>0</v>
      </c>
      <c r="X48" s="139" t="n">
        <v>0</v>
      </c>
      <c r="Y48" s="77" t="n">
        <v>0</v>
      </c>
      <c r="Z48" s="77" t="n">
        <v>0</v>
      </c>
      <c r="AA48" s="77" t="n">
        <v>0</v>
      </c>
      <c r="AB48" s="77" t="n">
        <v>0</v>
      </c>
      <c r="AC48" s="77" t="n">
        <v>0</v>
      </c>
      <c r="AD48" s="77" t="n">
        <v>0</v>
      </c>
      <c r="AE48" s="77" t="n">
        <v>0</v>
      </c>
      <c r="AF48" s="77" t="n">
        <v>0</v>
      </c>
      <c r="AG48" s="77" t="n">
        <v>0</v>
      </c>
      <c r="AH48" s="77" t="n">
        <v>0</v>
      </c>
      <c r="AI48" s="77" t="n">
        <v>0</v>
      </c>
      <c r="AJ48" s="139" t="n">
        <v>0</v>
      </c>
      <c r="AK48" s="77" t="n">
        <v>0</v>
      </c>
    </row>
    <row r="49" ht="14.25" customHeight="1" s="87">
      <c r="A49" s="80" t="inlineStr">
        <is>
          <t>11:15</t>
        </is>
      </c>
      <c r="B49" s="141" t="n">
        <v>0</v>
      </c>
      <c r="C49" s="141" t="n">
        <v>0</v>
      </c>
      <c r="D49" s="82" t="n">
        <v>0</v>
      </c>
      <c r="E49" s="141" t="n">
        <v>0</v>
      </c>
      <c r="F49" s="141" t="n">
        <v>0</v>
      </c>
      <c r="G49" s="82" t="n">
        <v>0</v>
      </c>
      <c r="H49" s="145" t="n"/>
      <c r="I49" s="145" t="n"/>
      <c r="J49" s="84" t="n"/>
      <c r="K49" s="141" t="n">
        <v>0</v>
      </c>
      <c r="L49" s="141" t="n">
        <v>0</v>
      </c>
      <c r="M49" s="82" t="n">
        <v>0</v>
      </c>
      <c r="N49" s="82" t="n">
        <v>0</v>
      </c>
      <c r="O49" s="141" t="n">
        <v>0</v>
      </c>
      <c r="P49" s="141" t="n">
        <v>-80</v>
      </c>
      <c r="Q49" s="82" t="n">
        <v>0</v>
      </c>
      <c r="R49" s="141" t="n">
        <v>0</v>
      </c>
      <c r="S49" s="141" t="n">
        <v>0</v>
      </c>
      <c r="T49" s="141" t="n">
        <v>-80</v>
      </c>
      <c r="U49" s="82" t="n">
        <v>0</v>
      </c>
      <c r="V49" s="141" t="n">
        <v>0</v>
      </c>
      <c r="W49" s="141" t="n">
        <v>0</v>
      </c>
      <c r="X49" s="141" t="n">
        <v>0</v>
      </c>
      <c r="Y49" s="82" t="n">
        <v>0</v>
      </c>
      <c r="Z49" s="82" t="n">
        <v>0</v>
      </c>
      <c r="AA49" s="82" t="n">
        <v>0</v>
      </c>
      <c r="AB49" s="82" t="n">
        <v>0</v>
      </c>
      <c r="AC49" s="82" t="n">
        <v>0</v>
      </c>
      <c r="AD49" s="82" t="n">
        <v>0</v>
      </c>
      <c r="AE49" s="82" t="n">
        <v>0</v>
      </c>
      <c r="AF49" s="82" t="n">
        <v>0</v>
      </c>
      <c r="AG49" s="82" t="n">
        <v>0</v>
      </c>
      <c r="AH49" s="82" t="n">
        <v>0</v>
      </c>
      <c r="AI49" s="82" t="n">
        <v>0</v>
      </c>
      <c r="AJ49" s="141" t="n">
        <v>0</v>
      </c>
      <c r="AK49" s="82" t="n">
        <v>0</v>
      </c>
    </row>
    <row r="50" ht="14.25" customHeight="1" s="87">
      <c r="A50" s="75" t="inlineStr">
        <is>
          <t>11:30</t>
        </is>
      </c>
      <c r="B50" s="139" t="n">
        <v>0</v>
      </c>
      <c r="C50" s="139" t="n">
        <v>0</v>
      </c>
      <c r="D50" s="77" t="n">
        <v>0</v>
      </c>
      <c r="E50" s="139" t="n">
        <v>0</v>
      </c>
      <c r="F50" s="139" t="n">
        <v>0</v>
      </c>
      <c r="G50" s="77" t="n">
        <v>0</v>
      </c>
      <c r="H50" s="146" t="n"/>
      <c r="I50" s="146" t="n"/>
      <c r="J50" s="79" t="n"/>
      <c r="K50" s="139" t="n">
        <v>0</v>
      </c>
      <c r="L50" s="139" t="n">
        <v>0</v>
      </c>
      <c r="M50" s="77" t="n">
        <v>0</v>
      </c>
      <c r="N50" s="77" t="n">
        <v>0</v>
      </c>
      <c r="O50" s="139" t="n">
        <v>0</v>
      </c>
      <c r="P50" s="139" t="n">
        <v>-80</v>
      </c>
      <c r="Q50" s="77" t="n">
        <v>0</v>
      </c>
      <c r="R50" s="139" t="n">
        <v>0</v>
      </c>
      <c r="S50" s="139" t="n">
        <v>0</v>
      </c>
      <c r="T50" s="139" t="n">
        <v>-80</v>
      </c>
      <c r="U50" s="77" t="n">
        <v>0</v>
      </c>
      <c r="V50" s="139" t="n">
        <v>0</v>
      </c>
      <c r="W50" s="139" t="n">
        <v>0</v>
      </c>
      <c r="X50" s="139" t="n">
        <v>0</v>
      </c>
      <c r="Y50" s="77" t="n">
        <v>0</v>
      </c>
      <c r="Z50" s="77" t="n">
        <v>0</v>
      </c>
      <c r="AA50" s="77" t="n">
        <v>0</v>
      </c>
      <c r="AB50" s="77" t="n">
        <v>0</v>
      </c>
      <c r="AC50" s="77" t="n">
        <v>0</v>
      </c>
      <c r="AD50" s="77" t="n">
        <v>0</v>
      </c>
      <c r="AE50" s="77" t="n">
        <v>0</v>
      </c>
      <c r="AF50" s="77" t="n">
        <v>0</v>
      </c>
      <c r="AG50" s="77" t="n">
        <v>0</v>
      </c>
      <c r="AH50" s="77" t="n">
        <v>0</v>
      </c>
      <c r="AI50" s="77" t="n">
        <v>0</v>
      </c>
      <c r="AJ50" s="139" t="n">
        <v>0</v>
      </c>
      <c r="AK50" s="77" t="n">
        <v>0</v>
      </c>
    </row>
    <row r="51" ht="14.25" customHeight="1" s="87">
      <c r="A51" s="80" t="inlineStr">
        <is>
          <t>11:45</t>
        </is>
      </c>
      <c r="B51" s="141" t="n">
        <v>0</v>
      </c>
      <c r="C51" s="141" t="n">
        <v>0</v>
      </c>
      <c r="D51" s="82" t="n">
        <v>0</v>
      </c>
      <c r="E51" s="141" t="n">
        <v>0</v>
      </c>
      <c r="F51" s="141" t="n">
        <v>0</v>
      </c>
      <c r="G51" s="82" t="n">
        <v>0</v>
      </c>
      <c r="H51" s="145" t="n"/>
      <c r="I51" s="145" t="n"/>
      <c r="J51" s="84" t="n"/>
      <c r="K51" s="141" t="n">
        <v>0</v>
      </c>
      <c r="L51" s="141" t="n">
        <v>0</v>
      </c>
      <c r="M51" s="82" t="n">
        <v>0</v>
      </c>
      <c r="N51" s="82" t="n">
        <v>0</v>
      </c>
      <c r="O51" s="141" t="n">
        <v>0</v>
      </c>
      <c r="P51" s="141" t="n">
        <v>-80</v>
      </c>
      <c r="Q51" s="82" t="n">
        <v>0</v>
      </c>
      <c r="R51" s="141" t="n">
        <v>0</v>
      </c>
      <c r="S51" s="141" t="n">
        <v>0</v>
      </c>
      <c r="T51" s="141" t="n">
        <v>-80</v>
      </c>
      <c r="U51" s="82" t="n">
        <v>0</v>
      </c>
      <c r="V51" s="141" t="n">
        <v>0</v>
      </c>
      <c r="W51" s="141" t="n">
        <v>0</v>
      </c>
      <c r="X51" s="141" t="n">
        <v>0</v>
      </c>
      <c r="Y51" s="82" t="n">
        <v>0</v>
      </c>
      <c r="Z51" s="82" t="n">
        <v>0</v>
      </c>
      <c r="AA51" s="82" t="n">
        <v>0</v>
      </c>
      <c r="AB51" s="82" t="n">
        <v>0</v>
      </c>
      <c r="AC51" s="82" t="n">
        <v>0</v>
      </c>
      <c r="AD51" s="82" t="n">
        <v>0</v>
      </c>
      <c r="AE51" s="82" t="n">
        <v>0</v>
      </c>
      <c r="AF51" s="82" t="n">
        <v>0</v>
      </c>
      <c r="AG51" s="82" t="n">
        <v>0</v>
      </c>
      <c r="AH51" s="82" t="n">
        <v>0</v>
      </c>
      <c r="AI51" s="82" t="n">
        <v>0</v>
      </c>
      <c r="AJ51" s="141" t="n">
        <v>0</v>
      </c>
      <c r="AK51" s="82" t="n">
        <v>0</v>
      </c>
    </row>
    <row r="52" ht="14.25" customHeight="1" s="87">
      <c r="A52" s="75" t="inlineStr">
        <is>
          <t>12:00</t>
        </is>
      </c>
      <c r="B52" s="139" t="n">
        <v>0</v>
      </c>
      <c r="C52" s="139" t="n">
        <v>0</v>
      </c>
      <c r="D52" s="77" t="n">
        <v>0</v>
      </c>
      <c r="E52" s="139" t="n">
        <v>0</v>
      </c>
      <c r="F52" s="139" t="n">
        <v>0</v>
      </c>
      <c r="G52" s="77" t="n">
        <v>0</v>
      </c>
      <c r="H52" s="146" t="n"/>
      <c r="I52" s="146" t="n"/>
      <c r="J52" s="79" t="n"/>
      <c r="K52" s="139" t="n">
        <v>0</v>
      </c>
      <c r="L52" s="139" t="n">
        <v>0</v>
      </c>
      <c r="M52" s="77" t="n">
        <v>0</v>
      </c>
      <c r="N52" s="77" t="n">
        <v>0</v>
      </c>
      <c r="O52" s="139" t="n">
        <v>0</v>
      </c>
      <c r="P52" s="139" t="n">
        <v>-80</v>
      </c>
      <c r="Q52" s="77" t="n">
        <v>0</v>
      </c>
      <c r="R52" s="139" t="n">
        <v>0</v>
      </c>
      <c r="S52" s="139" t="n">
        <v>0</v>
      </c>
      <c r="T52" s="139" t="n">
        <v>-80</v>
      </c>
      <c r="U52" s="77" t="n">
        <v>0</v>
      </c>
      <c r="V52" s="139" t="n">
        <v>0</v>
      </c>
      <c r="W52" s="139" t="n">
        <v>0</v>
      </c>
      <c r="X52" s="139" t="n">
        <v>0</v>
      </c>
      <c r="Y52" s="77" t="n">
        <v>0</v>
      </c>
      <c r="Z52" s="77" t="n">
        <v>0</v>
      </c>
      <c r="AA52" s="77" t="n">
        <v>0</v>
      </c>
      <c r="AB52" s="77" t="n">
        <v>0</v>
      </c>
      <c r="AC52" s="77" t="n">
        <v>0</v>
      </c>
      <c r="AD52" s="77" t="n">
        <v>0</v>
      </c>
      <c r="AE52" s="77" t="n">
        <v>0</v>
      </c>
      <c r="AF52" s="77" t="n">
        <v>0</v>
      </c>
      <c r="AG52" s="77" t="n">
        <v>0</v>
      </c>
      <c r="AH52" s="77" t="n">
        <v>0</v>
      </c>
      <c r="AI52" s="77" t="n">
        <v>0</v>
      </c>
      <c r="AJ52" s="139" t="n">
        <v>0</v>
      </c>
      <c r="AK52" s="77" t="n">
        <v>0</v>
      </c>
    </row>
    <row r="53" ht="14.25" customHeight="1" s="87">
      <c r="A53" s="80" t="inlineStr">
        <is>
          <t>12:15</t>
        </is>
      </c>
      <c r="B53" s="141" t="n">
        <v>0</v>
      </c>
      <c r="C53" s="141" t="n">
        <v>0</v>
      </c>
      <c r="D53" s="82" t="n">
        <v>0</v>
      </c>
      <c r="E53" s="141" t="n">
        <v>0</v>
      </c>
      <c r="F53" s="141" t="n">
        <v>0</v>
      </c>
      <c r="G53" s="82" t="n">
        <v>0</v>
      </c>
      <c r="H53" s="145" t="n"/>
      <c r="I53" s="145" t="n"/>
      <c r="J53" s="84" t="n"/>
      <c r="K53" s="141" t="n">
        <v>0</v>
      </c>
      <c r="L53" s="141" t="n">
        <v>0</v>
      </c>
      <c r="M53" s="82" t="n">
        <v>0</v>
      </c>
      <c r="N53" s="82" t="n">
        <v>0</v>
      </c>
      <c r="O53" s="141" t="n">
        <v>0</v>
      </c>
      <c r="P53" s="141" t="n">
        <v>-80</v>
      </c>
      <c r="Q53" s="82" t="n">
        <v>0</v>
      </c>
      <c r="R53" s="141" t="n">
        <v>0</v>
      </c>
      <c r="S53" s="141" t="n">
        <v>0</v>
      </c>
      <c r="T53" s="141" t="n">
        <v>-80</v>
      </c>
      <c r="U53" s="82" t="n">
        <v>0</v>
      </c>
      <c r="V53" s="141" t="n">
        <v>0</v>
      </c>
      <c r="W53" s="141" t="n">
        <v>0</v>
      </c>
      <c r="X53" s="141" t="n">
        <v>0</v>
      </c>
      <c r="Y53" s="82" t="n">
        <v>0</v>
      </c>
      <c r="Z53" s="82" t="n">
        <v>0</v>
      </c>
      <c r="AA53" s="82" t="n">
        <v>0</v>
      </c>
      <c r="AB53" s="82" t="n">
        <v>0</v>
      </c>
      <c r="AC53" s="82" t="n">
        <v>0</v>
      </c>
      <c r="AD53" s="82" t="n">
        <v>0</v>
      </c>
      <c r="AE53" s="82" t="n">
        <v>0</v>
      </c>
      <c r="AF53" s="82" t="n">
        <v>0</v>
      </c>
      <c r="AG53" s="82" t="n">
        <v>0</v>
      </c>
      <c r="AH53" s="82" t="n">
        <v>0</v>
      </c>
      <c r="AI53" s="82" t="n">
        <v>0</v>
      </c>
      <c r="AJ53" s="141" t="n">
        <v>0</v>
      </c>
      <c r="AK53" s="82" t="n">
        <v>0</v>
      </c>
    </row>
    <row r="54" ht="14.25" customHeight="1" s="87">
      <c r="A54" s="75" t="inlineStr">
        <is>
          <t>12:30</t>
        </is>
      </c>
      <c r="B54" s="139" t="n">
        <v>0</v>
      </c>
      <c r="C54" s="139" t="n">
        <v>0</v>
      </c>
      <c r="D54" s="77" t="n">
        <v>0</v>
      </c>
      <c r="E54" s="139" t="n">
        <v>0</v>
      </c>
      <c r="F54" s="139" t="n">
        <v>0</v>
      </c>
      <c r="G54" s="77" t="n">
        <v>0</v>
      </c>
      <c r="H54" s="146" t="n"/>
      <c r="I54" s="146" t="n"/>
      <c r="J54" s="79" t="n"/>
      <c r="K54" s="139" t="n">
        <v>0</v>
      </c>
      <c r="L54" s="139" t="n">
        <v>0</v>
      </c>
      <c r="M54" s="77" t="n">
        <v>0</v>
      </c>
      <c r="N54" s="77" t="n">
        <v>0</v>
      </c>
      <c r="O54" s="139" t="n">
        <v>0</v>
      </c>
      <c r="P54" s="139" t="n">
        <v>-80</v>
      </c>
      <c r="Q54" s="77" t="n">
        <v>0</v>
      </c>
      <c r="R54" s="139" t="n">
        <v>0</v>
      </c>
      <c r="S54" s="139" t="n">
        <v>0</v>
      </c>
      <c r="T54" s="139" t="n">
        <v>-80</v>
      </c>
      <c r="U54" s="77" t="n">
        <v>0</v>
      </c>
      <c r="V54" s="139" t="n">
        <v>0</v>
      </c>
      <c r="W54" s="139" t="n">
        <v>0</v>
      </c>
      <c r="X54" s="139" t="n">
        <v>0</v>
      </c>
      <c r="Y54" s="77" t="n">
        <v>0</v>
      </c>
      <c r="Z54" s="77" t="n">
        <v>0</v>
      </c>
      <c r="AA54" s="77" t="n">
        <v>0</v>
      </c>
      <c r="AB54" s="77" t="n">
        <v>0</v>
      </c>
      <c r="AC54" s="77" t="n">
        <v>0</v>
      </c>
      <c r="AD54" s="77" t="n">
        <v>0</v>
      </c>
      <c r="AE54" s="77" t="n">
        <v>0</v>
      </c>
      <c r="AF54" s="77" t="n">
        <v>0</v>
      </c>
      <c r="AG54" s="77" t="n">
        <v>0</v>
      </c>
      <c r="AH54" s="77" t="n">
        <v>0</v>
      </c>
      <c r="AI54" s="77" t="n">
        <v>0</v>
      </c>
      <c r="AJ54" s="139" t="n">
        <v>0</v>
      </c>
      <c r="AK54" s="77" t="n">
        <v>0</v>
      </c>
    </row>
    <row r="55" ht="14.25" customHeight="1" s="87">
      <c r="A55" s="80" t="inlineStr">
        <is>
          <t>12:45</t>
        </is>
      </c>
      <c r="B55" s="141" t="n">
        <v>0</v>
      </c>
      <c r="C55" s="141" t="n">
        <v>0</v>
      </c>
      <c r="D55" s="82" t="n">
        <v>0</v>
      </c>
      <c r="E55" s="141" t="n">
        <v>0</v>
      </c>
      <c r="F55" s="141" t="n">
        <v>0</v>
      </c>
      <c r="G55" s="82" t="n">
        <v>0</v>
      </c>
      <c r="H55" s="145" t="n"/>
      <c r="I55" s="145" t="n"/>
      <c r="J55" s="84" t="n"/>
      <c r="K55" s="141" t="n">
        <v>0</v>
      </c>
      <c r="L55" s="141" t="n">
        <v>0</v>
      </c>
      <c r="M55" s="82" t="n">
        <v>0</v>
      </c>
      <c r="N55" s="82" t="n">
        <v>0</v>
      </c>
      <c r="O55" s="141" t="n">
        <v>0</v>
      </c>
      <c r="P55" s="141" t="n">
        <v>-80</v>
      </c>
      <c r="Q55" s="82" t="n">
        <v>0</v>
      </c>
      <c r="R55" s="141" t="n">
        <v>0</v>
      </c>
      <c r="S55" s="141" t="n">
        <v>0</v>
      </c>
      <c r="T55" s="141" t="n">
        <v>-80</v>
      </c>
      <c r="U55" s="82" t="n">
        <v>0</v>
      </c>
      <c r="V55" s="141" t="n">
        <v>0</v>
      </c>
      <c r="W55" s="141" t="n">
        <v>0</v>
      </c>
      <c r="X55" s="141" t="n">
        <v>0</v>
      </c>
      <c r="Y55" s="82" t="n">
        <v>0</v>
      </c>
      <c r="Z55" s="82" t="n">
        <v>0</v>
      </c>
      <c r="AA55" s="82" t="n">
        <v>0</v>
      </c>
      <c r="AB55" s="82" t="n">
        <v>0</v>
      </c>
      <c r="AC55" s="82" t="n">
        <v>0</v>
      </c>
      <c r="AD55" s="82" t="n">
        <v>0</v>
      </c>
      <c r="AE55" s="82" t="n">
        <v>0</v>
      </c>
      <c r="AF55" s="82" t="n">
        <v>0</v>
      </c>
      <c r="AG55" s="82" t="n">
        <v>0</v>
      </c>
      <c r="AH55" s="82" t="n">
        <v>0</v>
      </c>
      <c r="AI55" s="82" t="n">
        <v>0</v>
      </c>
      <c r="AJ55" s="141" t="n">
        <v>0</v>
      </c>
      <c r="AK55" s="82" t="n">
        <v>0</v>
      </c>
    </row>
    <row r="56" ht="14.25" customHeight="1" s="87">
      <c r="A56" s="75" t="inlineStr">
        <is>
          <t>13:00</t>
        </is>
      </c>
      <c r="B56" s="139" t="n">
        <v>0</v>
      </c>
      <c r="C56" s="139" t="n">
        <v>0</v>
      </c>
      <c r="D56" s="77" t="n">
        <v>0</v>
      </c>
      <c r="E56" s="139" t="n">
        <v>0</v>
      </c>
      <c r="F56" s="139" t="n">
        <v>0</v>
      </c>
      <c r="G56" s="77" t="n">
        <v>0</v>
      </c>
      <c r="H56" s="146" t="n"/>
      <c r="I56" s="146" t="n"/>
      <c r="J56" s="79" t="n"/>
      <c r="K56" s="139" t="n">
        <v>0</v>
      </c>
      <c r="L56" s="139" t="n">
        <v>0</v>
      </c>
      <c r="M56" s="77" t="n">
        <v>0</v>
      </c>
      <c r="N56" s="77" t="n">
        <v>0</v>
      </c>
      <c r="O56" s="139" t="n">
        <v>0</v>
      </c>
      <c r="P56" s="139" t="n">
        <v>-80</v>
      </c>
      <c r="Q56" s="77" t="n">
        <v>0</v>
      </c>
      <c r="R56" s="139" t="n">
        <v>0</v>
      </c>
      <c r="S56" s="139" t="n">
        <v>0</v>
      </c>
      <c r="T56" s="139" t="n">
        <v>-80</v>
      </c>
      <c r="U56" s="77" t="n">
        <v>0</v>
      </c>
      <c r="V56" s="139" t="n">
        <v>0</v>
      </c>
      <c r="W56" s="139" t="n">
        <v>0</v>
      </c>
      <c r="X56" s="139" t="n">
        <v>0</v>
      </c>
      <c r="Y56" s="77" t="n">
        <v>0</v>
      </c>
      <c r="Z56" s="77" t="n">
        <v>0</v>
      </c>
      <c r="AA56" s="77" t="n">
        <v>0</v>
      </c>
      <c r="AB56" s="77" t="n">
        <v>0</v>
      </c>
      <c r="AC56" s="77" t="n">
        <v>0</v>
      </c>
      <c r="AD56" s="77" t="n">
        <v>0</v>
      </c>
      <c r="AE56" s="77" t="n">
        <v>0</v>
      </c>
      <c r="AF56" s="77" t="n">
        <v>0</v>
      </c>
      <c r="AG56" s="77" t="n">
        <v>0</v>
      </c>
      <c r="AH56" s="77" t="n">
        <v>0</v>
      </c>
      <c r="AI56" s="77" t="n">
        <v>0</v>
      </c>
      <c r="AJ56" s="139" t="n">
        <v>0</v>
      </c>
      <c r="AK56" s="77" t="n">
        <v>0</v>
      </c>
    </row>
    <row r="57" ht="14.25" customHeight="1" s="87">
      <c r="A57" s="80" t="inlineStr">
        <is>
          <t>13:15</t>
        </is>
      </c>
      <c r="B57" s="141" t="n">
        <v>0</v>
      </c>
      <c r="C57" s="141" t="n">
        <v>0</v>
      </c>
      <c r="D57" s="82" t="n">
        <v>0</v>
      </c>
      <c r="E57" s="141" t="n">
        <v>0</v>
      </c>
      <c r="F57" s="141" t="n">
        <v>0</v>
      </c>
      <c r="G57" s="82" t="n">
        <v>0</v>
      </c>
      <c r="H57" s="145" t="n"/>
      <c r="I57" s="145" t="n"/>
      <c r="J57" s="84" t="n"/>
      <c r="K57" s="141" t="n">
        <v>0</v>
      </c>
      <c r="L57" s="141" t="n">
        <v>0</v>
      </c>
      <c r="M57" s="82" t="n">
        <v>0</v>
      </c>
      <c r="N57" s="82" t="n">
        <v>0</v>
      </c>
      <c r="O57" s="141" t="n">
        <v>0</v>
      </c>
      <c r="P57" s="141" t="n">
        <v>-80</v>
      </c>
      <c r="Q57" s="82" t="n">
        <v>0</v>
      </c>
      <c r="R57" s="141" t="n">
        <v>0</v>
      </c>
      <c r="S57" s="141" t="n">
        <v>0</v>
      </c>
      <c r="T57" s="141" t="n">
        <v>-80</v>
      </c>
      <c r="U57" s="82" t="n">
        <v>0</v>
      </c>
      <c r="V57" s="141" t="n">
        <v>0</v>
      </c>
      <c r="W57" s="141" t="n">
        <v>0</v>
      </c>
      <c r="X57" s="141" t="n">
        <v>0</v>
      </c>
      <c r="Y57" s="82" t="n">
        <v>0</v>
      </c>
      <c r="Z57" s="82" t="n">
        <v>0</v>
      </c>
      <c r="AA57" s="82" t="n">
        <v>0</v>
      </c>
      <c r="AB57" s="82" t="n">
        <v>0</v>
      </c>
      <c r="AC57" s="82" t="n">
        <v>0</v>
      </c>
      <c r="AD57" s="82" t="n">
        <v>0</v>
      </c>
      <c r="AE57" s="82" t="n">
        <v>0</v>
      </c>
      <c r="AF57" s="82" t="n">
        <v>0</v>
      </c>
      <c r="AG57" s="82" t="n">
        <v>0</v>
      </c>
      <c r="AH57" s="82" t="n">
        <v>0</v>
      </c>
      <c r="AI57" s="82" t="n">
        <v>0</v>
      </c>
      <c r="AJ57" s="141" t="n">
        <v>0</v>
      </c>
      <c r="AK57" s="82" t="n">
        <v>0</v>
      </c>
    </row>
    <row r="58" ht="14.25" customHeight="1" s="87">
      <c r="A58" s="75" t="inlineStr">
        <is>
          <t>13:30</t>
        </is>
      </c>
      <c r="B58" s="139" t="n">
        <v>0</v>
      </c>
      <c r="C58" s="139" t="n">
        <v>0</v>
      </c>
      <c r="D58" s="77" t="n">
        <v>0</v>
      </c>
      <c r="E58" s="139" t="n">
        <v>0</v>
      </c>
      <c r="F58" s="139" t="n">
        <v>0</v>
      </c>
      <c r="G58" s="77" t="n">
        <v>0</v>
      </c>
      <c r="H58" s="146" t="n"/>
      <c r="I58" s="146" t="n"/>
      <c r="J58" s="79" t="n"/>
      <c r="K58" s="139" t="n">
        <v>0</v>
      </c>
      <c r="L58" s="139" t="n">
        <v>0</v>
      </c>
      <c r="M58" s="77" t="n">
        <v>0</v>
      </c>
      <c r="N58" s="77" t="n">
        <v>0</v>
      </c>
      <c r="O58" s="139" t="n">
        <v>0</v>
      </c>
      <c r="P58" s="139" t="n">
        <v>-80</v>
      </c>
      <c r="Q58" s="77" t="n">
        <v>0</v>
      </c>
      <c r="R58" s="139" t="n">
        <v>0</v>
      </c>
      <c r="S58" s="139" t="n">
        <v>0</v>
      </c>
      <c r="T58" s="139" t="n">
        <v>-80</v>
      </c>
      <c r="U58" s="77" t="n">
        <v>0</v>
      </c>
      <c r="V58" s="139" t="n">
        <v>0</v>
      </c>
      <c r="W58" s="139" t="n">
        <v>0</v>
      </c>
      <c r="X58" s="139" t="n">
        <v>0</v>
      </c>
      <c r="Y58" s="77" t="n">
        <v>0</v>
      </c>
      <c r="Z58" s="77" t="n">
        <v>0</v>
      </c>
      <c r="AA58" s="77" t="n">
        <v>0</v>
      </c>
      <c r="AB58" s="77" t="n">
        <v>0</v>
      </c>
      <c r="AC58" s="77" t="n">
        <v>0</v>
      </c>
      <c r="AD58" s="77" t="n">
        <v>0</v>
      </c>
      <c r="AE58" s="77" t="n">
        <v>0</v>
      </c>
      <c r="AF58" s="77" t="n">
        <v>0</v>
      </c>
      <c r="AG58" s="77" t="n">
        <v>0</v>
      </c>
      <c r="AH58" s="77" t="n">
        <v>0</v>
      </c>
      <c r="AI58" s="77" t="n">
        <v>0</v>
      </c>
      <c r="AJ58" s="139" t="n">
        <v>0</v>
      </c>
      <c r="AK58" s="77" t="n">
        <v>0</v>
      </c>
    </row>
    <row r="59" ht="14.25" customHeight="1" s="87">
      <c r="A59" s="80" t="inlineStr">
        <is>
          <t>13:45</t>
        </is>
      </c>
      <c r="B59" s="141" t="n">
        <v>0</v>
      </c>
      <c r="C59" s="141" t="n">
        <v>0</v>
      </c>
      <c r="D59" s="82" t="n">
        <v>0</v>
      </c>
      <c r="E59" s="141" t="n">
        <v>0</v>
      </c>
      <c r="F59" s="141" t="n">
        <v>0</v>
      </c>
      <c r="G59" s="82" t="n">
        <v>0</v>
      </c>
      <c r="H59" s="145" t="n"/>
      <c r="I59" s="145" t="n"/>
      <c r="J59" s="84" t="n"/>
      <c r="K59" s="141" t="n">
        <v>0</v>
      </c>
      <c r="L59" s="141" t="n">
        <v>0</v>
      </c>
      <c r="M59" s="82" t="n">
        <v>0</v>
      </c>
      <c r="N59" s="82" t="n">
        <v>0</v>
      </c>
      <c r="O59" s="141" t="n">
        <v>0</v>
      </c>
      <c r="P59" s="141" t="n">
        <v>-80</v>
      </c>
      <c r="Q59" s="82" t="n">
        <v>0</v>
      </c>
      <c r="R59" s="141" t="n">
        <v>0</v>
      </c>
      <c r="S59" s="141" t="n">
        <v>0</v>
      </c>
      <c r="T59" s="141" t="n">
        <v>-80</v>
      </c>
      <c r="U59" s="82" t="n">
        <v>0</v>
      </c>
      <c r="V59" s="141" t="n">
        <v>0</v>
      </c>
      <c r="W59" s="141" t="n">
        <v>0</v>
      </c>
      <c r="X59" s="141" t="n">
        <v>0</v>
      </c>
      <c r="Y59" s="82" t="n">
        <v>0</v>
      </c>
      <c r="Z59" s="82" t="n">
        <v>0</v>
      </c>
      <c r="AA59" s="82" t="n">
        <v>0</v>
      </c>
      <c r="AB59" s="82" t="n">
        <v>0</v>
      </c>
      <c r="AC59" s="82" t="n">
        <v>0</v>
      </c>
      <c r="AD59" s="82" t="n">
        <v>0</v>
      </c>
      <c r="AE59" s="82" t="n">
        <v>0</v>
      </c>
      <c r="AF59" s="82" t="n">
        <v>0</v>
      </c>
      <c r="AG59" s="82" t="n">
        <v>0</v>
      </c>
      <c r="AH59" s="82" t="n">
        <v>0</v>
      </c>
      <c r="AI59" s="82" t="n">
        <v>0</v>
      </c>
      <c r="AJ59" s="141" t="n">
        <v>0</v>
      </c>
      <c r="AK59" s="82" t="n">
        <v>0</v>
      </c>
    </row>
    <row r="60" ht="14.25" customHeight="1" s="87">
      <c r="A60" s="75" t="inlineStr">
        <is>
          <t>14:00</t>
        </is>
      </c>
      <c r="B60" s="139" t="n">
        <v>0</v>
      </c>
      <c r="C60" s="139" t="n">
        <v>0</v>
      </c>
      <c r="D60" s="77" t="n">
        <v>0</v>
      </c>
      <c r="E60" s="139" t="n">
        <v>0</v>
      </c>
      <c r="F60" s="139" t="n">
        <v>0</v>
      </c>
      <c r="G60" s="77" t="n">
        <v>0</v>
      </c>
      <c r="H60" s="146" t="n"/>
      <c r="I60" s="146" t="n"/>
      <c r="J60" s="79" t="n"/>
      <c r="K60" s="139" t="n">
        <v>0</v>
      </c>
      <c r="L60" s="139" t="n">
        <v>0</v>
      </c>
      <c r="M60" s="77" t="n">
        <v>0</v>
      </c>
      <c r="N60" s="77" t="n">
        <v>0</v>
      </c>
      <c r="O60" s="139" t="n">
        <v>0</v>
      </c>
      <c r="P60" s="139" t="n">
        <v>-80</v>
      </c>
      <c r="Q60" s="77" t="n">
        <v>0</v>
      </c>
      <c r="R60" s="139" t="n">
        <v>0</v>
      </c>
      <c r="S60" s="139" t="n">
        <v>0</v>
      </c>
      <c r="T60" s="139" t="n">
        <v>-80</v>
      </c>
      <c r="U60" s="77" t="n">
        <v>0</v>
      </c>
      <c r="V60" s="139" t="n">
        <v>0</v>
      </c>
      <c r="W60" s="139" t="n">
        <v>0</v>
      </c>
      <c r="X60" s="139" t="n">
        <v>0</v>
      </c>
      <c r="Y60" s="77" t="n">
        <v>0</v>
      </c>
      <c r="Z60" s="77" t="n">
        <v>0</v>
      </c>
      <c r="AA60" s="77" t="n">
        <v>0</v>
      </c>
      <c r="AB60" s="77" t="n">
        <v>0</v>
      </c>
      <c r="AC60" s="77" t="n">
        <v>0</v>
      </c>
      <c r="AD60" s="77" t="n">
        <v>0</v>
      </c>
      <c r="AE60" s="77" t="n">
        <v>0</v>
      </c>
      <c r="AF60" s="77" t="n">
        <v>0</v>
      </c>
      <c r="AG60" s="77" t="n">
        <v>0</v>
      </c>
      <c r="AH60" s="77" t="n">
        <v>0</v>
      </c>
      <c r="AI60" s="77" t="n">
        <v>0</v>
      </c>
      <c r="AJ60" s="139" t="n">
        <v>0</v>
      </c>
      <c r="AK60" s="77" t="n">
        <v>0</v>
      </c>
    </row>
    <row r="61" ht="14.25" customHeight="1" s="87">
      <c r="A61" s="80" t="inlineStr">
        <is>
          <t>14:15</t>
        </is>
      </c>
      <c r="B61" s="141" t="n">
        <v>0</v>
      </c>
      <c r="C61" s="141" t="n">
        <v>0</v>
      </c>
      <c r="D61" s="82" t="n">
        <v>0</v>
      </c>
      <c r="E61" s="141" t="n">
        <v>0</v>
      </c>
      <c r="F61" s="141" t="n">
        <v>0</v>
      </c>
      <c r="G61" s="82" t="n">
        <v>0</v>
      </c>
      <c r="H61" s="145" t="n"/>
      <c r="I61" s="145" t="n"/>
      <c r="J61" s="84" t="n"/>
      <c r="K61" s="141" t="n">
        <v>0</v>
      </c>
      <c r="L61" s="141" t="n">
        <v>0</v>
      </c>
      <c r="M61" s="82" t="n">
        <v>0</v>
      </c>
      <c r="N61" s="82" t="n">
        <v>0</v>
      </c>
      <c r="O61" s="141" t="n">
        <v>0</v>
      </c>
      <c r="P61" s="141" t="n">
        <v>-80</v>
      </c>
      <c r="Q61" s="82" t="n">
        <v>0</v>
      </c>
      <c r="R61" s="141" t="n">
        <v>0</v>
      </c>
      <c r="S61" s="141" t="n">
        <v>0</v>
      </c>
      <c r="T61" s="141" t="n">
        <v>-80</v>
      </c>
      <c r="U61" s="82" t="n">
        <v>0</v>
      </c>
      <c r="V61" s="141" t="n">
        <v>0</v>
      </c>
      <c r="W61" s="141" t="n">
        <v>0</v>
      </c>
      <c r="X61" s="141" t="n">
        <v>0</v>
      </c>
      <c r="Y61" s="82" t="n">
        <v>0</v>
      </c>
      <c r="Z61" s="82" t="n">
        <v>0</v>
      </c>
      <c r="AA61" s="82" t="n">
        <v>0</v>
      </c>
      <c r="AB61" s="82" t="n">
        <v>0</v>
      </c>
      <c r="AC61" s="82" t="n">
        <v>0</v>
      </c>
      <c r="AD61" s="82" t="n">
        <v>0</v>
      </c>
      <c r="AE61" s="82" t="n">
        <v>0</v>
      </c>
      <c r="AF61" s="82" t="n">
        <v>0</v>
      </c>
      <c r="AG61" s="82" t="n">
        <v>0</v>
      </c>
      <c r="AH61" s="82" t="n">
        <v>0</v>
      </c>
      <c r="AI61" s="82" t="n">
        <v>0</v>
      </c>
      <c r="AJ61" s="141" t="n">
        <v>0</v>
      </c>
      <c r="AK61" s="82" t="n">
        <v>0</v>
      </c>
    </row>
    <row r="62" ht="14.25" customHeight="1" s="87">
      <c r="A62" s="75" t="inlineStr">
        <is>
          <t>14:30</t>
        </is>
      </c>
      <c r="B62" s="139" t="n">
        <v>0</v>
      </c>
      <c r="C62" s="139" t="n">
        <v>0</v>
      </c>
      <c r="D62" s="77" t="n">
        <v>0</v>
      </c>
      <c r="E62" s="139" t="n">
        <v>0</v>
      </c>
      <c r="F62" s="139" t="n">
        <v>0</v>
      </c>
      <c r="G62" s="77" t="n">
        <v>0</v>
      </c>
      <c r="H62" s="146" t="n"/>
      <c r="I62" s="146" t="n"/>
      <c r="J62" s="79" t="n"/>
      <c r="K62" s="139" t="n">
        <v>0</v>
      </c>
      <c r="L62" s="139" t="n">
        <v>0</v>
      </c>
      <c r="M62" s="77" t="n">
        <v>0</v>
      </c>
      <c r="N62" s="77" t="n">
        <v>0</v>
      </c>
      <c r="O62" s="139" t="n">
        <v>0</v>
      </c>
      <c r="P62" s="139" t="n">
        <v>-80</v>
      </c>
      <c r="Q62" s="77" t="n">
        <v>0</v>
      </c>
      <c r="R62" s="139" t="n">
        <v>0</v>
      </c>
      <c r="S62" s="139" t="n">
        <v>0</v>
      </c>
      <c r="T62" s="139" t="n">
        <v>-80</v>
      </c>
      <c r="U62" s="77" t="n">
        <v>0</v>
      </c>
      <c r="V62" s="139" t="n">
        <v>0</v>
      </c>
      <c r="W62" s="139" t="n">
        <v>0</v>
      </c>
      <c r="X62" s="139" t="n">
        <v>0</v>
      </c>
      <c r="Y62" s="77" t="n">
        <v>0</v>
      </c>
      <c r="Z62" s="77" t="n">
        <v>0</v>
      </c>
      <c r="AA62" s="77" t="n">
        <v>0</v>
      </c>
      <c r="AB62" s="77" t="n">
        <v>0</v>
      </c>
      <c r="AC62" s="77" t="n">
        <v>0</v>
      </c>
      <c r="AD62" s="77" t="n">
        <v>0</v>
      </c>
      <c r="AE62" s="77" t="n">
        <v>0</v>
      </c>
      <c r="AF62" s="77" t="n">
        <v>0</v>
      </c>
      <c r="AG62" s="77" t="n">
        <v>0</v>
      </c>
      <c r="AH62" s="77" t="n">
        <v>0</v>
      </c>
      <c r="AI62" s="77" t="n">
        <v>0</v>
      </c>
      <c r="AJ62" s="139" t="n">
        <v>0</v>
      </c>
      <c r="AK62" s="77" t="n">
        <v>0</v>
      </c>
    </row>
    <row r="63" ht="14.25" customHeight="1" s="87">
      <c r="A63" s="80" t="inlineStr">
        <is>
          <t>14:45</t>
        </is>
      </c>
      <c r="B63" s="141" t="n">
        <v>0</v>
      </c>
      <c r="C63" s="141" t="n">
        <v>0</v>
      </c>
      <c r="D63" s="82" t="n">
        <v>0</v>
      </c>
      <c r="E63" s="141" t="n">
        <v>0</v>
      </c>
      <c r="F63" s="141" t="n">
        <v>0</v>
      </c>
      <c r="G63" s="82" t="n">
        <v>0</v>
      </c>
      <c r="H63" s="145" t="n"/>
      <c r="I63" s="145" t="n"/>
      <c r="J63" s="84" t="n"/>
      <c r="K63" s="141" t="n">
        <v>0</v>
      </c>
      <c r="L63" s="141" t="n">
        <v>0</v>
      </c>
      <c r="M63" s="82" t="n">
        <v>0</v>
      </c>
      <c r="N63" s="82" t="n">
        <v>0</v>
      </c>
      <c r="O63" s="141" t="n">
        <v>0</v>
      </c>
      <c r="P63" s="141" t="n">
        <v>-80</v>
      </c>
      <c r="Q63" s="82" t="n">
        <v>0</v>
      </c>
      <c r="R63" s="141" t="n">
        <v>0</v>
      </c>
      <c r="S63" s="141" t="n">
        <v>0</v>
      </c>
      <c r="T63" s="141" t="n">
        <v>-80</v>
      </c>
      <c r="U63" s="82" t="n">
        <v>0</v>
      </c>
      <c r="V63" s="141" t="n">
        <v>0</v>
      </c>
      <c r="W63" s="141" t="n">
        <v>0</v>
      </c>
      <c r="X63" s="141" t="n">
        <v>0</v>
      </c>
      <c r="Y63" s="82" t="n">
        <v>0</v>
      </c>
      <c r="Z63" s="82" t="n">
        <v>0</v>
      </c>
      <c r="AA63" s="82" t="n">
        <v>0</v>
      </c>
      <c r="AB63" s="82" t="n">
        <v>0</v>
      </c>
      <c r="AC63" s="82" t="n">
        <v>0</v>
      </c>
      <c r="AD63" s="82" t="n">
        <v>0</v>
      </c>
      <c r="AE63" s="82" t="n">
        <v>0</v>
      </c>
      <c r="AF63" s="82" t="n">
        <v>0</v>
      </c>
      <c r="AG63" s="82" t="n">
        <v>0</v>
      </c>
      <c r="AH63" s="82" t="n">
        <v>0</v>
      </c>
      <c r="AI63" s="82" t="n">
        <v>0</v>
      </c>
      <c r="AJ63" s="141" t="n">
        <v>0</v>
      </c>
      <c r="AK63" s="82" t="n">
        <v>0</v>
      </c>
    </row>
    <row r="64" ht="14.25" customHeight="1" s="87">
      <c r="A64" s="75" t="inlineStr">
        <is>
          <t>15:00</t>
        </is>
      </c>
      <c r="B64" s="139" t="n">
        <v>0</v>
      </c>
      <c r="C64" s="139" t="n">
        <v>0</v>
      </c>
      <c r="D64" s="77" t="n">
        <v>0</v>
      </c>
      <c r="E64" s="139" t="n">
        <v>0</v>
      </c>
      <c r="F64" s="139" t="n">
        <v>0</v>
      </c>
      <c r="G64" s="77" t="n">
        <v>0</v>
      </c>
      <c r="H64" s="146" t="n"/>
      <c r="I64" s="146" t="n"/>
      <c r="J64" s="79" t="n"/>
      <c r="K64" s="139" t="n">
        <v>0</v>
      </c>
      <c r="L64" s="139" t="n">
        <v>0</v>
      </c>
      <c r="M64" s="77" t="n">
        <v>0</v>
      </c>
      <c r="N64" s="77" t="n">
        <v>0</v>
      </c>
      <c r="O64" s="139" t="n">
        <v>0</v>
      </c>
      <c r="P64" s="139" t="n">
        <v>-80</v>
      </c>
      <c r="Q64" s="77" t="n">
        <v>0</v>
      </c>
      <c r="R64" s="139" t="n">
        <v>0</v>
      </c>
      <c r="S64" s="139" t="n">
        <v>0</v>
      </c>
      <c r="T64" s="139" t="n">
        <v>-80</v>
      </c>
      <c r="U64" s="77" t="n">
        <v>0</v>
      </c>
      <c r="V64" s="139" t="n">
        <v>0</v>
      </c>
      <c r="W64" s="139" t="n">
        <v>0</v>
      </c>
      <c r="X64" s="139" t="n">
        <v>0</v>
      </c>
      <c r="Y64" s="77" t="n">
        <v>0</v>
      </c>
      <c r="Z64" s="77" t="n">
        <v>0</v>
      </c>
      <c r="AA64" s="77" t="n">
        <v>0</v>
      </c>
      <c r="AB64" s="77" t="n">
        <v>0</v>
      </c>
      <c r="AC64" s="77" t="n">
        <v>0</v>
      </c>
      <c r="AD64" s="77" t="n">
        <v>0</v>
      </c>
      <c r="AE64" s="77" t="n">
        <v>0</v>
      </c>
      <c r="AF64" s="77" t="n">
        <v>0</v>
      </c>
      <c r="AG64" s="77" t="n">
        <v>0</v>
      </c>
      <c r="AH64" s="77" t="n">
        <v>0</v>
      </c>
      <c r="AI64" s="77" t="n">
        <v>0</v>
      </c>
      <c r="AJ64" s="139" t="n">
        <v>0</v>
      </c>
      <c r="AK64" s="77" t="n">
        <v>0</v>
      </c>
    </row>
    <row r="65" ht="14.25" customHeight="1" s="87">
      <c r="A65" s="80" t="inlineStr">
        <is>
          <t>15:15</t>
        </is>
      </c>
      <c r="B65" s="141" t="n">
        <v>0</v>
      </c>
      <c r="C65" s="141" t="n">
        <v>0</v>
      </c>
      <c r="D65" s="82" t="n">
        <v>0</v>
      </c>
      <c r="E65" s="141" t="n">
        <v>0</v>
      </c>
      <c r="F65" s="141" t="n">
        <v>0</v>
      </c>
      <c r="G65" s="82" t="n">
        <v>0</v>
      </c>
      <c r="H65" s="145" t="n"/>
      <c r="I65" s="145" t="n"/>
      <c r="J65" s="84" t="n"/>
      <c r="K65" s="141" t="n">
        <v>0</v>
      </c>
      <c r="L65" s="141" t="n">
        <v>0</v>
      </c>
      <c r="M65" s="82" t="n">
        <v>0</v>
      </c>
      <c r="N65" s="82" t="n">
        <v>0</v>
      </c>
      <c r="O65" s="141" t="n">
        <v>0</v>
      </c>
      <c r="P65" s="141" t="n">
        <v>-76.24299999999999</v>
      </c>
      <c r="Q65" s="82" t="n">
        <v>0</v>
      </c>
      <c r="R65" s="141" t="n">
        <v>0</v>
      </c>
      <c r="S65" s="141" t="n">
        <v>0</v>
      </c>
      <c r="T65" s="141" t="n">
        <v>-40.175</v>
      </c>
      <c r="U65" s="82" t="n">
        <v>0</v>
      </c>
      <c r="V65" s="141" t="n">
        <v>0</v>
      </c>
      <c r="W65" s="141" t="n">
        <v>0</v>
      </c>
      <c r="X65" s="141" t="n">
        <v>0</v>
      </c>
      <c r="Y65" s="82" t="n">
        <v>0</v>
      </c>
      <c r="Z65" s="82" t="n">
        <v>0</v>
      </c>
      <c r="AA65" s="82" t="n">
        <v>0</v>
      </c>
      <c r="AB65" s="82" t="n">
        <v>0</v>
      </c>
      <c r="AC65" s="82" t="n">
        <v>0</v>
      </c>
      <c r="AD65" s="82" t="n">
        <v>0</v>
      </c>
      <c r="AE65" s="82" t="n">
        <v>0</v>
      </c>
      <c r="AF65" s="82" t="n">
        <v>0</v>
      </c>
      <c r="AG65" s="82" t="n">
        <v>0</v>
      </c>
      <c r="AH65" s="82" t="n">
        <v>0</v>
      </c>
      <c r="AI65" s="82" t="n">
        <v>0</v>
      </c>
      <c r="AJ65" s="141" t="n">
        <v>0</v>
      </c>
      <c r="AK65" s="82" t="n">
        <v>0</v>
      </c>
    </row>
    <row r="66" ht="14.25" customHeight="1" s="87">
      <c r="A66" s="75" t="inlineStr">
        <is>
          <t>15:30</t>
        </is>
      </c>
      <c r="B66" s="139" t="n">
        <v>0</v>
      </c>
      <c r="C66" s="139" t="n">
        <v>0</v>
      </c>
      <c r="D66" s="77" t="n">
        <v>0</v>
      </c>
      <c r="E66" s="139" t="n">
        <v>0</v>
      </c>
      <c r="F66" s="139" t="n">
        <v>0</v>
      </c>
      <c r="G66" s="77" t="n">
        <v>0</v>
      </c>
      <c r="H66" s="146" t="n"/>
      <c r="I66" s="146" t="n"/>
      <c r="J66" s="79" t="n"/>
      <c r="K66" s="139" t="n">
        <v>0</v>
      </c>
      <c r="L66" s="139" t="n">
        <v>0</v>
      </c>
      <c r="M66" s="77" t="n">
        <v>0</v>
      </c>
      <c r="N66" s="77" t="n">
        <v>0</v>
      </c>
      <c r="O66" s="139" t="n">
        <v>0</v>
      </c>
      <c r="P66" s="139" t="n">
        <v>105.587</v>
      </c>
      <c r="Q66" s="77" t="n">
        <v>0</v>
      </c>
      <c r="R66" s="139" t="n">
        <v>0</v>
      </c>
      <c r="S66" s="139" t="n">
        <v>0</v>
      </c>
      <c r="T66" s="139" t="n">
        <v>180.066</v>
      </c>
      <c r="U66" s="77" t="n">
        <v>0</v>
      </c>
      <c r="V66" s="139" t="n">
        <v>0</v>
      </c>
      <c r="W66" s="139" t="n">
        <v>0</v>
      </c>
      <c r="X66" s="139" t="n">
        <v>0</v>
      </c>
      <c r="Y66" s="77" t="n">
        <v>0</v>
      </c>
      <c r="Z66" s="77" t="n">
        <v>0</v>
      </c>
      <c r="AA66" s="77" t="n">
        <v>0</v>
      </c>
      <c r="AB66" s="77" t="n">
        <v>0</v>
      </c>
      <c r="AC66" s="77" t="n">
        <v>0</v>
      </c>
      <c r="AD66" s="77" t="n">
        <v>0</v>
      </c>
      <c r="AE66" s="77" t="n">
        <v>0</v>
      </c>
      <c r="AF66" s="77" t="n">
        <v>0</v>
      </c>
      <c r="AG66" s="77" t="n">
        <v>0</v>
      </c>
      <c r="AH66" s="77" t="n">
        <v>0</v>
      </c>
      <c r="AI66" s="77" t="n">
        <v>0</v>
      </c>
      <c r="AJ66" s="139" t="n">
        <v>0</v>
      </c>
      <c r="AK66" s="77" t="n">
        <v>0</v>
      </c>
    </row>
    <row r="67" ht="14.25" customHeight="1" s="87">
      <c r="A67" s="80" t="inlineStr">
        <is>
          <t>15:45</t>
        </is>
      </c>
      <c r="B67" s="141" t="n">
        <v>0</v>
      </c>
      <c r="C67" s="141" t="n">
        <v>0</v>
      </c>
      <c r="D67" s="82" t="n">
        <v>0</v>
      </c>
      <c r="E67" s="141" t="n">
        <v>0</v>
      </c>
      <c r="F67" s="141" t="n">
        <v>0</v>
      </c>
      <c r="G67" s="82" t="n">
        <v>0</v>
      </c>
      <c r="H67" s="145" t="n"/>
      <c r="I67" s="145" t="n"/>
      <c r="J67" s="84" t="n"/>
      <c r="K67" s="141" t="n">
        <v>0</v>
      </c>
      <c r="L67" s="141" t="n">
        <v>0</v>
      </c>
      <c r="M67" s="82" t="n">
        <v>0</v>
      </c>
      <c r="N67" s="82" t="n">
        <v>0</v>
      </c>
      <c r="O67" s="141" t="n">
        <v>0</v>
      </c>
      <c r="P67" s="141" t="n">
        <v>279.79</v>
      </c>
      <c r="Q67" s="82" t="n">
        <v>0</v>
      </c>
      <c r="R67" s="141" t="n">
        <v>0</v>
      </c>
      <c r="S67" s="141" t="n">
        <v>0</v>
      </c>
      <c r="T67" s="141" t="n">
        <v>345.039</v>
      </c>
      <c r="U67" s="82" t="n">
        <v>0</v>
      </c>
      <c r="V67" s="141" t="n">
        <v>0</v>
      </c>
      <c r="W67" s="141" t="n">
        <v>0</v>
      </c>
      <c r="X67" s="141" t="n">
        <v>0</v>
      </c>
      <c r="Y67" s="82" t="n">
        <v>0</v>
      </c>
      <c r="Z67" s="82" t="n">
        <v>0</v>
      </c>
      <c r="AA67" s="82" t="n">
        <v>0</v>
      </c>
      <c r="AB67" s="82" t="n">
        <v>0</v>
      </c>
      <c r="AC67" s="82" t="n">
        <v>0</v>
      </c>
      <c r="AD67" s="82" t="n">
        <v>0</v>
      </c>
      <c r="AE67" s="82" t="n">
        <v>0</v>
      </c>
      <c r="AF67" s="82" t="n">
        <v>0</v>
      </c>
      <c r="AG67" s="82" t="n">
        <v>0</v>
      </c>
      <c r="AH67" s="82" t="n">
        <v>0</v>
      </c>
      <c r="AI67" s="82" t="n">
        <v>0</v>
      </c>
      <c r="AJ67" s="141" t="n">
        <v>0</v>
      </c>
      <c r="AK67" s="82" t="n">
        <v>0</v>
      </c>
    </row>
    <row r="68" ht="14.25" customHeight="1" s="87">
      <c r="A68" s="75" t="inlineStr">
        <is>
          <t>16:00</t>
        </is>
      </c>
      <c r="B68" s="139" t="n">
        <v>0</v>
      </c>
      <c r="C68" s="139" t="n">
        <v>0</v>
      </c>
      <c r="D68" s="77" t="n">
        <v>0</v>
      </c>
      <c r="E68" s="139" t="n">
        <v>0</v>
      </c>
      <c r="F68" s="139" t="n">
        <v>0</v>
      </c>
      <c r="G68" s="77" t="n">
        <v>0</v>
      </c>
      <c r="H68" s="146" t="n"/>
      <c r="I68" s="146" t="n"/>
      <c r="J68" s="79" t="n"/>
      <c r="K68" s="139" t="n">
        <v>0</v>
      </c>
      <c r="L68" s="139" t="n">
        <v>0</v>
      </c>
      <c r="M68" s="77" t="n">
        <v>0</v>
      </c>
      <c r="N68" s="77" t="n">
        <v>0</v>
      </c>
      <c r="O68" s="139" t="n">
        <v>0</v>
      </c>
      <c r="P68" s="139" t="n">
        <v>343.288</v>
      </c>
      <c r="Q68" s="77" t="n">
        <v>0</v>
      </c>
      <c r="R68" s="139" t="n">
        <v>0</v>
      </c>
      <c r="S68" s="139" t="n">
        <v>0</v>
      </c>
      <c r="T68" s="139" t="n">
        <v>368.628</v>
      </c>
      <c r="U68" s="77" t="n">
        <v>0</v>
      </c>
      <c r="V68" s="139" t="n">
        <v>0</v>
      </c>
      <c r="W68" s="139" t="n">
        <v>0</v>
      </c>
      <c r="X68" s="139" t="n">
        <v>0</v>
      </c>
      <c r="Y68" s="77" t="n">
        <v>0</v>
      </c>
      <c r="Z68" s="77" t="n">
        <v>0</v>
      </c>
      <c r="AA68" s="77" t="n">
        <v>0</v>
      </c>
      <c r="AB68" s="77" t="n">
        <v>0</v>
      </c>
      <c r="AC68" s="77" t="n">
        <v>0</v>
      </c>
      <c r="AD68" s="77" t="n">
        <v>0</v>
      </c>
      <c r="AE68" s="77" t="n">
        <v>0</v>
      </c>
      <c r="AF68" s="77" t="n">
        <v>0</v>
      </c>
      <c r="AG68" s="77" t="n">
        <v>0</v>
      </c>
      <c r="AH68" s="77" t="n">
        <v>0</v>
      </c>
      <c r="AI68" s="77" t="n">
        <v>0</v>
      </c>
      <c r="AJ68" s="139" t="n">
        <v>0</v>
      </c>
      <c r="AK68" s="77" t="n">
        <v>0</v>
      </c>
    </row>
    <row r="69" ht="14.25" customHeight="1" s="87">
      <c r="A69" s="80" t="inlineStr">
        <is>
          <t>16:15</t>
        </is>
      </c>
      <c r="B69" s="141" t="n">
        <v>0</v>
      </c>
      <c r="C69" s="141" t="n">
        <v>0</v>
      </c>
      <c r="D69" s="82" t="n">
        <v>0</v>
      </c>
      <c r="E69" s="141" t="n">
        <v>0</v>
      </c>
      <c r="F69" s="141" t="n">
        <v>0</v>
      </c>
      <c r="G69" s="82" t="n">
        <v>0</v>
      </c>
      <c r="H69" s="145" t="n"/>
      <c r="I69" s="145" t="n"/>
      <c r="J69" s="84" t="n"/>
      <c r="K69" s="141" t="n">
        <v>0</v>
      </c>
      <c r="L69" s="141" t="n">
        <v>0</v>
      </c>
      <c r="M69" s="82" t="n">
        <v>0</v>
      </c>
      <c r="N69" s="82" t="n">
        <v>0</v>
      </c>
      <c r="O69" s="141" t="n">
        <v>0</v>
      </c>
      <c r="P69" s="141" t="n">
        <v>475.026</v>
      </c>
      <c r="Q69" s="82" t="n">
        <v>0</v>
      </c>
      <c r="R69" s="141" t="n">
        <v>0</v>
      </c>
      <c r="S69" s="141" t="n">
        <v>0</v>
      </c>
      <c r="T69" s="141" t="n">
        <v>516.9880000000001</v>
      </c>
      <c r="U69" s="82" t="n">
        <v>0</v>
      </c>
      <c r="V69" s="141" t="n">
        <v>0</v>
      </c>
      <c r="W69" s="141" t="n">
        <v>0</v>
      </c>
      <c r="X69" s="141" t="n">
        <v>0</v>
      </c>
      <c r="Y69" s="82" t="n">
        <v>0</v>
      </c>
      <c r="Z69" s="82" t="n">
        <v>0</v>
      </c>
      <c r="AA69" s="82" t="n">
        <v>0</v>
      </c>
      <c r="AB69" s="82" t="n">
        <v>0</v>
      </c>
      <c r="AC69" s="82" t="n">
        <v>0</v>
      </c>
      <c r="AD69" s="82" t="n">
        <v>0</v>
      </c>
      <c r="AE69" s="82" t="n">
        <v>0</v>
      </c>
      <c r="AF69" s="82" t="n">
        <v>0</v>
      </c>
      <c r="AG69" s="82" t="n">
        <v>0</v>
      </c>
      <c r="AH69" s="82" t="n">
        <v>0</v>
      </c>
      <c r="AI69" s="82" t="n">
        <v>0</v>
      </c>
      <c r="AJ69" s="141" t="n">
        <v>0</v>
      </c>
      <c r="AK69" s="82" t="n">
        <v>0</v>
      </c>
    </row>
    <row r="70" ht="14.25" customHeight="1" s="87">
      <c r="A70" s="75" t="inlineStr">
        <is>
          <t>16:30</t>
        </is>
      </c>
      <c r="B70" s="139" t="n">
        <v>0</v>
      </c>
      <c r="C70" s="139" t="n">
        <v>0</v>
      </c>
      <c r="D70" s="77" t="n">
        <v>0</v>
      </c>
      <c r="E70" s="139" t="n">
        <v>0</v>
      </c>
      <c r="F70" s="139" t="n">
        <v>0</v>
      </c>
      <c r="G70" s="77" t="n">
        <v>0</v>
      </c>
      <c r="H70" s="146" t="n"/>
      <c r="I70" s="146" t="n"/>
      <c r="J70" s="79" t="n"/>
      <c r="K70" s="139" t="n">
        <v>0</v>
      </c>
      <c r="L70" s="139" t="n">
        <v>0</v>
      </c>
      <c r="M70" s="77" t="n">
        <v>0</v>
      </c>
      <c r="N70" s="77" t="n">
        <v>0</v>
      </c>
      <c r="O70" s="139" t="n">
        <v>0</v>
      </c>
      <c r="P70" s="139" t="n">
        <v>569.816</v>
      </c>
      <c r="Q70" s="77" t="n">
        <v>0</v>
      </c>
      <c r="R70" s="139" t="n">
        <v>0</v>
      </c>
      <c r="S70" s="139" t="n">
        <v>0</v>
      </c>
      <c r="T70" s="139" t="n">
        <v>605.5599999999999</v>
      </c>
      <c r="U70" s="77" t="n">
        <v>0</v>
      </c>
      <c r="V70" s="139" t="n">
        <v>0</v>
      </c>
      <c r="W70" s="139" t="n">
        <v>0</v>
      </c>
      <c r="X70" s="139" t="n">
        <v>0</v>
      </c>
      <c r="Y70" s="77" t="n">
        <v>0</v>
      </c>
      <c r="Z70" s="77" t="n">
        <v>0</v>
      </c>
      <c r="AA70" s="77" t="n">
        <v>0</v>
      </c>
      <c r="AB70" s="77" t="n">
        <v>0</v>
      </c>
      <c r="AC70" s="77" t="n">
        <v>0</v>
      </c>
      <c r="AD70" s="77" t="n">
        <v>0</v>
      </c>
      <c r="AE70" s="77" t="n">
        <v>0</v>
      </c>
      <c r="AF70" s="77" t="n">
        <v>0</v>
      </c>
      <c r="AG70" s="77" t="n">
        <v>0</v>
      </c>
      <c r="AH70" s="77" t="n">
        <v>0</v>
      </c>
      <c r="AI70" s="77" t="n">
        <v>0</v>
      </c>
      <c r="AJ70" s="139" t="n">
        <v>0</v>
      </c>
      <c r="AK70" s="77" t="n">
        <v>0</v>
      </c>
    </row>
    <row r="71" ht="14.25" customHeight="1" s="87">
      <c r="A71" s="80" t="inlineStr">
        <is>
          <t>16:45</t>
        </is>
      </c>
      <c r="B71" s="141" t="n">
        <v>0</v>
      </c>
      <c r="C71" s="141" t="n">
        <v>0</v>
      </c>
      <c r="D71" s="82" t="n">
        <v>0</v>
      </c>
      <c r="E71" s="141" t="n">
        <v>0</v>
      </c>
      <c r="F71" s="141" t="n">
        <v>0</v>
      </c>
      <c r="G71" s="82" t="n">
        <v>0</v>
      </c>
      <c r="H71" s="145" t="n"/>
      <c r="I71" s="145" t="n"/>
      <c r="J71" s="84" t="n"/>
      <c r="K71" s="141" t="n">
        <v>0</v>
      </c>
      <c r="L71" s="141" t="n">
        <v>0</v>
      </c>
      <c r="M71" s="82" t="n">
        <v>0</v>
      </c>
      <c r="N71" s="82" t="n">
        <v>0</v>
      </c>
      <c r="O71" s="141" t="n">
        <v>0</v>
      </c>
      <c r="P71" s="141" t="n">
        <v>601.0119999999999</v>
      </c>
      <c r="Q71" s="82" t="n">
        <v>0</v>
      </c>
      <c r="R71" s="141" t="n">
        <v>0</v>
      </c>
      <c r="S71" s="141" t="n">
        <v>0</v>
      </c>
      <c r="T71" s="141" t="n">
        <v>638.0700000000001</v>
      </c>
      <c r="U71" s="82" t="n">
        <v>0</v>
      </c>
      <c r="V71" s="141" t="n">
        <v>0</v>
      </c>
      <c r="W71" s="141" t="n">
        <v>0</v>
      </c>
      <c r="X71" s="141" t="n">
        <v>0</v>
      </c>
      <c r="Y71" s="82" t="n">
        <v>0</v>
      </c>
      <c r="Z71" s="82" t="n">
        <v>0</v>
      </c>
      <c r="AA71" s="82" t="n">
        <v>0</v>
      </c>
      <c r="AB71" s="82" t="n">
        <v>0</v>
      </c>
      <c r="AC71" s="82" t="n">
        <v>0</v>
      </c>
      <c r="AD71" s="82" t="n">
        <v>0</v>
      </c>
      <c r="AE71" s="82" t="n">
        <v>0</v>
      </c>
      <c r="AF71" s="82" t="n">
        <v>0</v>
      </c>
      <c r="AG71" s="82" t="n">
        <v>0</v>
      </c>
      <c r="AH71" s="82" t="n">
        <v>0</v>
      </c>
      <c r="AI71" s="82" t="n">
        <v>0</v>
      </c>
      <c r="AJ71" s="141" t="n">
        <v>0</v>
      </c>
      <c r="AK71" s="82" t="n">
        <v>0</v>
      </c>
    </row>
    <row r="72" ht="14.25" customHeight="1" s="87">
      <c r="A72" s="75" t="inlineStr">
        <is>
          <t>17:00</t>
        </is>
      </c>
      <c r="B72" s="139" t="n">
        <v>0</v>
      </c>
      <c r="C72" s="139" t="n">
        <v>0</v>
      </c>
      <c r="D72" s="77" t="n">
        <v>0</v>
      </c>
      <c r="E72" s="139" t="n">
        <v>0</v>
      </c>
      <c r="F72" s="139" t="n">
        <v>0</v>
      </c>
      <c r="G72" s="77" t="n">
        <v>0</v>
      </c>
      <c r="H72" s="146" t="n"/>
      <c r="I72" s="146" t="n"/>
      <c r="J72" s="79" t="n"/>
      <c r="K72" s="139" t="n">
        <v>0</v>
      </c>
      <c r="L72" s="139" t="n">
        <v>0</v>
      </c>
      <c r="M72" s="77" t="n">
        <v>0</v>
      </c>
      <c r="N72" s="77" t="n">
        <v>0</v>
      </c>
      <c r="O72" s="139" t="n">
        <v>0</v>
      </c>
      <c r="P72" s="139" t="n">
        <v>582.157</v>
      </c>
      <c r="Q72" s="77" t="n">
        <v>0</v>
      </c>
      <c r="R72" s="139" t="n">
        <v>0</v>
      </c>
      <c r="S72" s="139" t="n">
        <v>0</v>
      </c>
      <c r="T72" s="139" t="n">
        <v>612.269</v>
      </c>
      <c r="U72" s="77" t="n">
        <v>0</v>
      </c>
      <c r="V72" s="139" t="n">
        <v>0</v>
      </c>
      <c r="W72" s="139" t="n">
        <v>0</v>
      </c>
      <c r="X72" s="139" t="n">
        <v>0</v>
      </c>
      <c r="Y72" s="77" t="n">
        <v>0</v>
      </c>
      <c r="Z72" s="77" t="n">
        <v>0</v>
      </c>
      <c r="AA72" s="77" t="n">
        <v>0</v>
      </c>
      <c r="AB72" s="77" t="n">
        <v>0</v>
      </c>
      <c r="AC72" s="77" t="n">
        <v>0</v>
      </c>
      <c r="AD72" s="77" t="n">
        <v>0</v>
      </c>
      <c r="AE72" s="77" t="n">
        <v>0</v>
      </c>
      <c r="AF72" s="77" t="n">
        <v>0</v>
      </c>
      <c r="AG72" s="77" t="n">
        <v>0</v>
      </c>
      <c r="AH72" s="77" t="n">
        <v>0</v>
      </c>
      <c r="AI72" s="77" t="n">
        <v>0</v>
      </c>
      <c r="AJ72" s="139" t="n">
        <v>0</v>
      </c>
      <c r="AK72" s="77" t="n">
        <v>0</v>
      </c>
    </row>
    <row r="73" ht="14.25" customHeight="1" s="87">
      <c r="A73" s="80" t="inlineStr">
        <is>
          <t>17:15</t>
        </is>
      </c>
      <c r="B73" s="141" t="n">
        <v>0</v>
      </c>
      <c r="C73" s="141" t="n">
        <v>0</v>
      </c>
      <c r="D73" s="82" t="n">
        <v>0</v>
      </c>
      <c r="E73" s="141" t="n">
        <v>0</v>
      </c>
      <c r="F73" s="141" t="n">
        <v>0</v>
      </c>
      <c r="G73" s="82" t="n">
        <v>0</v>
      </c>
      <c r="H73" s="145" t="n"/>
      <c r="I73" s="145" t="n"/>
      <c r="J73" s="84" t="n"/>
      <c r="K73" s="141" t="n">
        <v>0</v>
      </c>
      <c r="L73" s="141" t="n">
        <v>0</v>
      </c>
      <c r="M73" s="82" t="n">
        <v>0</v>
      </c>
      <c r="N73" s="82" t="n">
        <v>0</v>
      </c>
      <c r="O73" s="141" t="n">
        <v>0</v>
      </c>
      <c r="P73" s="141" t="n">
        <v>600.145</v>
      </c>
      <c r="Q73" s="82" t="n">
        <v>0</v>
      </c>
      <c r="R73" s="141" t="n">
        <v>0</v>
      </c>
      <c r="S73" s="141" t="n">
        <v>0</v>
      </c>
      <c r="T73" s="141" t="n">
        <v>632.024</v>
      </c>
      <c r="U73" s="82" t="n">
        <v>0</v>
      </c>
      <c r="V73" s="141" t="n">
        <v>0</v>
      </c>
      <c r="W73" s="141" t="n">
        <v>0</v>
      </c>
      <c r="X73" s="141" t="n">
        <v>0</v>
      </c>
      <c r="Y73" s="82" t="n">
        <v>0</v>
      </c>
      <c r="Z73" s="82" t="n">
        <v>0</v>
      </c>
      <c r="AA73" s="82" t="n">
        <v>0</v>
      </c>
      <c r="AB73" s="82" t="n">
        <v>0</v>
      </c>
      <c r="AC73" s="82" t="n">
        <v>0</v>
      </c>
      <c r="AD73" s="82" t="n">
        <v>0</v>
      </c>
      <c r="AE73" s="82" t="n">
        <v>0</v>
      </c>
      <c r="AF73" s="82" t="n">
        <v>0</v>
      </c>
      <c r="AG73" s="82" t="n">
        <v>0</v>
      </c>
      <c r="AH73" s="82" t="n">
        <v>0</v>
      </c>
      <c r="AI73" s="82" t="n">
        <v>0</v>
      </c>
      <c r="AJ73" s="141" t="n">
        <v>0</v>
      </c>
      <c r="AK73" s="82" t="n">
        <v>0</v>
      </c>
    </row>
    <row r="74" ht="14.25" customHeight="1" s="87">
      <c r="A74" s="75" t="inlineStr">
        <is>
          <t>17:30</t>
        </is>
      </c>
      <c r="B74" s="139" t="n">
        <v>0</v>
      </c>
      <c r="C74" s="139" t="n">
        <v>0</v>
      </c>
      <c r="D74" s="77" t="n">
        <v>0</v>
      </c>
      <c r="E74" s="139" t="n">
        <v>0</v>
      </c>
      <c r="F74" s="139" t="n">
        <v>0</v>
      </c>
      <c r="G74" s="77" t="n">
        <v>0</v>
      </c>
      <c r="H74" s="146" t="n"/>
      <c r="I74" s="146" t="n"/>
      <c r="J74" s="79" t="n"/>
      <c r="K74" s="139" t="n">
        <v>0</v>
      </c>
      <c r="L74" s="139" t="n">
        <v>0</v>
      </c>
      <c r="M74" s="77" t="n">
        <v>0</v>
      </c>
      <c r="N74" s="77" t="n">
        <v>0</v>
      </c>
      <c r="O74" s="139" t="n">
        <v>0</v>
      </c>
      <c r="P74" s="139" t="n">
        <v>601.914</v>
      </c>
      <c r="Q74" s="77" t="n">
        <v>0</v>
      </c>
      <c r="R74" s="139" t="n">
        <v>0</v>
      </c>
      <c r="S74" s="139" t="n">
        <v>0</v>
      </c>
      <c r="T74" s="139" t="n">
        <v>641.3339999999999</v>
      </c>
      <c r="U74" s="77" t="n">
        <v>0</v>
      </c>
      <c r="V74" s="139" t="n">
        <v>0</v>
      </c>
      <c r="W74" s="139" t="n">
        <v>0</v>
      </c>
      <c r="X74" s="139" t="n">
        <v>0</v>
      </c>
      <c r="Y74" s="77" t="n">
        <v>0</v>
      </c>
      <c r="Z74" s="77" t="n">
        <v>0</v>
      </c>
      <c r="AA74" s="77" t="n">
        <v>0</v>
      </c>
      <c r="AB74" s="77" t="n">
        <v>0</v>
      </c>
      <c r="AC74" s="77" t="n">
        <v>0</v>
      </c>
      <c r="AD74" s="77" t="n">
        <v>0</v>
      </c>
      <c r="AE74" s="77" t="n">
        <v>0</v>
      </c>
      <c r="AF74" s="77" t="n">
        <v>0</v>
      </c>
      <c r="AG74" s="77" t="n">
        <v>0</v>
      </c>
      <c r="AH74" s="77" t="n">
        <v>0</v>
      </c>
      <c r="AI74" s="77" t="n">
        <v>0</v>
      </c>
      <c r="AJ74" s="139" t="n">
        <v>0</v>
      </c>
      <c r="AK74" s="77" t="n">
        <v>0</v>
      </c>
    </row>
    <row r="75" ht="14.25" customHeight="1" s="87">
      <c r="A75" s="80" t="inlineStr">
        <is>
          <t>17:45</t>
        </is>
      </c>
      <c r="B75" s="141" t="n">
        <v>0</v>
      </c>
      <c r="C75" s="141" t="n">
        <v>0</v>
      </c>
      <c r="D75" s="82" t="n">
        <v>0</v>
      </c>
      <c r="E75" s="141" t="n">
        <v>0</v>
      </c>
      <c r="F75" s="141" t="n">
        <v>0</v>
      </c>
      <c r="G75" s="82" t="n">
        <v>0</v>
      </c>
      <c r="H75" s="145" t="n"/>
      <c r="I75" s="145" t="n"/>
      <c r="J75" s="84" t="n"/>
      <c r="K75" s="141" t="n">
        <v>0</v>
      </c>
      <c r="L75" s="141" t="n">
        <v>0</v>
      </c>
      <c r="M75" s="82" t="n">
        <v>0</v>
      </c>
      <c r="N75" s="82" t="n">
        <v>0</v>
      </c>
      <c r="O75" s="141" t="n">
        <v>0</v>
      </c>
      <c r="P75" s="141" t="n">
        <v>613.593</v>
      </c>
      <c r="Q75" s="82" t="n">
        <v>0</v>
      </c>
      <c r="R75" s="141" t="n">
        <v>0</v>
      </c>
      <c r="S75" s="141" t="n">
        <v>0</v>
      </c>
      <c r="T75" s="141" t="n">
        <v>644.38</v>
      </c>
      <c r="U75" s="82" t="n">
        <v>0</v>
      </c>
      <c r="V75" s="141" t="n">
        <v>0</v>
      </c>
      <c r="W75" s="141" t="n">
        <v>0</v>
      </c>
      <c r="X75" s="141" t="n">
        <v>0</v>
      </c>
      <c r="Y75" s="82" t="n">
        <v>0</v>
      </c>
      <c r="Z75" s="82" t="n">
        <v>0</v>
      </c>
      <c r="AA75" s="82" t="n">
        <v>0</v>
      </c>
      <c r="AB75" s="82" t="n">
        <v>0</v>
      </c>
      <c r="AC75" s="82" t="n">
        <v>0</v>
      </c>
      <c r="AD75" s="82" t="n">
        <v>0</v>
      </c>
      <c r="AE75" s="82" t="n">
        <v>0</v>
      </c>
      <c r="AF75" s="82" t="n">
        <v>0</v>
      </c>
      <c r="AG75" s="82" t="n">
        <v>0</v>
      </c>
      <c r="AH75" s="82" t="n">
        <v>0</v>
      </c>
      <c r="AI75" s="82" t="n">
        <v>0</v>
      </c>
      <c r="AJ75" s="141" t="n">
        <v>0</v>
      </c>
      <c r="AK75" s="82" t="n">
        <v>0</v>
      </c>
    </row>
    <row r="76" ht="14.25" customHeight="1" s="87">
      <c r="A76" s="75" t="inlineStr">
        <is>
          <t>18:00</t>
        </is>
      </c>
      <c r="B76" s="139" t="n">
        <v>0</v>
      </c>
      <c r="C76" s="139" t="n">
        <v>0</v>
      </c>
      <c r="D76" s="77" t="n">
        <v>0</v>
      </c>
      <c r="E76" s="139" t="n">
        <v>0</v>
      </c>
      <c r="F76" s="139" t="n">
        <v>0</v>
      </c>
      <c r="G76" s="77" t="n">
        <v>0</v>
      </c>
      <c r="H76" s="146" t="n"/>
      <c r="I76" s="146" t="n"/>
      <c r="J76" s="79" t="n"/>
      <c r="K76" s="139" t="n">
        <v>0</v>
      </c>
      <c r="L76" s="139" t="n">
        <v>0</v>
      </c>
      <c r="M76" s="77" t="n">
        <v>0</v>
      </c>
      <c r="N76" s="77" t="n">
        <v>0</v>
      </c>
      <c r="O76" s="139" t="n">
        <v>0</v>
      </c>
      <c r="P76" s="139" t="n">
        <v>617.644</v>
      </c>
      <c r="Q76" s="77" t="n">
        <v>0</v>
      </c>
      <c r="R76" s="139" t="n">
        <v>0</v>
      </c>
      <c r="S76" s="139" t="n">
        <v>0</v>
      </c>
      <c r="T76" s="139" t="n">
        <v>644.873</v>
      </c>
      <c r="U76" s="77" t="n">
        <v>0</v>
      </c>
      <c r="V76" s="139" t="n">
        <v>0</v>
      </c>
      <c r="W76" s="139" t="n">
        <v>0</v>
      </c>
      <c r="X76" s="139" t="n">
        <v>0</v>
      </c>
      <c r="Y76" s="77" t="n">
        <v>0</v>
      </c>
      <c r="Z76" s="77" t="n">
        <v>0</v>
      </c>
      <c r="AA76" s="77" t="n">
        <v>0</v>
      </c>
      <c r="AB76" s="77" t="n">
        <v>0</v>
      </c>
      <c r="AC76" s="77" t="n">
        <v>0</v>
      </c>
      <c r="AD76" s="77" t="n">
        <v>0</v>
      </c>
      <c r="AE76" s="77" t="n">
        <v>0</v>
      </c>
      <c r="AF76" s="77" t="n">
        <v>0</v>
      </c>
      <c r="AG76" s="77" t="n">
        <v>0</v>
      </c>
      <c r="AH76" s="77" t="n">
        <v>0</v>
      </c>
      <c r="AI76" s="77" t="n">
        <v>0</v>
      </c>
      <c r="AJ76" s="139" t="n">
        <v>0</v>
      </c>
      <c r="AK76" s="77" t="n">
        <v>0</v>
      </c>
    </row>
    <row r="77" ht="14.25" customHeight="1" s="87">
      <c r="A77" s="80" t="inlineStr">
        <is>
          <t>18:15</t>
        </is>
      </c>
      <c r="B77" s="141" t="n">
        <v>0</v>
      </c>
      <c r="C77" s="141" t="n">
        <v>0</v>
      </c>
      <c r="D77" s="82" t="n">
        <v>0</v>
      </c>
      <c r="E77" s="141" t="n">
        <v>0</v>
      </c>
      <c r="F77" s="141" t="n">
        <v>0</v>
      </c>
      <c r="G77" s="82" t="n">
        <v>0</v>
      </c>
      <c r="H77" s="145" t="n"/>
      <c r="I77" s="145" t="n"/>
      <c r="J77" s="84" t="n"/>
      <c r="K77" s="141" t="n">
        <v>0</v>
      </c>
      <c r="L77" s="141" t="n">
        <v>0</v>
      </c>
      <c r="M77" s="82" t="n">
        <v>0</v>
      </c>
      <c r="N77" s="82" t="n">
        <v>0</v>
      </c>
      <c r="O77" s="141" t="n">
        <v>10.55</v>
      </c>
      <c r="P77" s="141" t="n">
        <v>610.611</v>
      </c>
      <c r="Q77" s="82" t="n">
        <v>6441.94605</v>
      </c>
      <c r="R77" s="141" t="n">
        <v>0</v>
      </c>
      <c r="S77" s="141" t="n">
        <v>0</v>
      </c>
      <c r="T77" s="141" t="n">
        <v>636.509</v>
      </c>
      <c r="U77" s="82" t="n">
        <v>0</v>
      </c>
      <c r="V77" s="141" t="n">
        <v>0</v>
      </c>
      <c r="W77" s="141" t="n">
        <v>0</v>
      </c>
      <c r="X77" s="141" t="n">
        <v>0</v>
      </c>
      <c r="Y77" s="82" t="n">
        <v>0</v>
      </c>
      <c r="Z77" s="82" t="n">
        <v>0</v>
      </c>
      <c r="AA77" s="82" t="n">
        <v>0</v>
      </c>
      <c r="AB77" s="82" t="n">
        <v>0</v>
      </c>
      <c r="AC77" s="82" t="n">
        <v>0</v>
      </c>
      <c r="AD77" s="82" t="n">
        <v>0</v>
      </c>
      <c r="AE77" s="82" t="n">
        <v>0</v>
      </c>
      <c r="AF77" s="82" t="n">
        <v>0</v>
      </c>
      <c r="AG77" s="82" t="n">
        <v>0</v>
      </c>
      <c r="AH77" s="82" t="n">
        <v>0</v>
      </c>
      <c r="AI77" s="82" t="n">
        <v>0</v>
      </c>
      <c r="AJ77" s="141" t="n">
        <v>10.55</v>
      </c>
      <c r="AK77" s="82" t="n">
        <v>6441.94605</v>
      </c>
    </row>
    <row r="78" ht="14.25" customHeight="1" s="87">
      <c r="A78" s="75" t="inlineStr">
        <is>
          <t>18:30</t>
        </is>
      </c>
      <c r="B78" s="139" t="n">
        <v>0</v>
      </c>
      <c r="C78" s="139" t="n">
        <v>0</v>
      </c>
      <c r="D78" s="77" t="n">
        <v>0</v>
      </c>
      <c r="E78" s="139" t="n">
        <v>0</v>
      </c>
      <c r="F78" s="139" t="n">
        <v>0</v>
      </c>
      <c r="G78" s="77" t="n">
        <v>0</v>
      </c>
      <c r="H78" s="146" t="n"/>
      <c r="I78" s="146" t="n"/>
      <c r="J78" s="79" t="n"/>
      <c r="K78" s="139" t="n">
        <v>0</v>
      </c>
      <c r="L78" s="139" t="n">
        <v>0</v>
      </c>
      <c r="M78" s="77" t="n">
        <v>0</v>
      </c>
      <c r="N78" s="77" t="n">
        <v>0</v>
      </c>
      <c r="O78" s="139" t="n">
        <v>22.861</v>
      </c>
      <c r="P78" s="139" t="n">
        <v>604.967</v>
      </c>
      <c r="Q78" s="77" t="n">
        <v>13830.150587</v>
      </c>
      <c r="R78" s="139" t="n">
        <v>0</v>
      </c>
      <c r="S78" s="139" t="n">
        <v>0</v>
      </c>
      <c r="T78" s="139" t="n">
        <v>630.768</v>
      </c>
      <c r="U78" s="77" t="n">
        <v>0</v>
      </c>
      <c r="V78" s="139" t="n">
        <v>0</v>
      </c>
      <c r="W78" s="139" t="n">
        <v>0</v>
      </c>
      <c r="X78" s="139" t="n">
        <v>0</v>
      </c>
      <c r="Y78" s="77" t="n">
        <v>0</v>
      </c>
      <c r="Z78" s="77" t="n">
        <v>0</v>
      </c>
      <c r="AA78" s="77" t="n">
        <v>0</v>
      </c>
      <c r="AB78" s="77" t="n">
        <v>0</v>
      </c>
      <c r="AC78" s="77" t="n">
        <v>0</v>
      </c>
      <c r="AD78" s="77" t="n">
        <v>0</v>
      </c>
      <c r="AE78" s="77" t="n">
        <v>0</v>
      </c>
      <c r="AF78" s="77" t="n">
        <v>0</v>
      </c>
      <c r="AG78" s="77" t="n">
        <v>0</v>
      </c>
      <c r="AH78" s="77" t="n">
        <v>0</v>
      </c>
      <c r="AI78" s="77" t="n">
        <v>0</v>
      </c>
      <c r="AJ78" s="139" t="n">
        <v>22.861</v>
      </c>
      <c r="AK78" s="77" t="n">
        <v>13830.150587</v>
      </c>
    </row>
    <row r="79" ht="14.25" customHeight="1" s="87">
      <c r="A79" s="80" t="inlineStr">
        <is>
          <t>18:45</t>
        </is>
      </c>
      <c r="B79" s="141" t="n">
        <v>0</v>
      </c>
      <c r="C79" s="141" t="n">
        <v>0</v>
      </c>
      <c r="D79" s="82" t="n">
        <v>0</v>
      </c>
      <c r="E79" s="141" t="n">
        <v>0</v>
      </c>
      <c r="F79" s="141" t="n">
        <v>0</v>
      </c>
      <c r="G79" s="82" t="n">
        <v>0</v>
      </c>
      <c r="H79" s="145" t="n"/>
      <c r="I79" s="145" t="n"/>
      <c r="J79" s="84" t="n"/>
      <c r="K79" s="141" t="n">
        <v>0</v>
      </c>
      <c r="L79" s="141" t="n">
        <v>0</v>
      </c>
      <c r="M79" s="82" t="n">
        <v>0</v>
      </c>
      <c r="N79" s="82" t="n">
        <v>0</v>
      </c>
      <c r="O79" s="141" t="n">
        <v>22.771</v>
      </c>
      <c r="P79" s="141" t="n">
        <v>600.5309999999999</v>
      </c>
      <c r="Q79" s="82" t="n">
        <v>13674.691401</v>
      </c>
      <c r="R79" s="141" t="n">
        <v>0</v>
      </c>
      <c r="S79" s="141" t="n">
        <v>0</v>
      </c>
      <c r="T79" s="141" t="n">
        <v>626.182</v>
      </c>
      <c r="U79" s="82" t="n">
        <v>0</v>
      </c>
      <c r="V79" s="141" t="n">
        <v>0</v>
      </c>
      <c r="W79" s="141" t="n">
        <v>0</v>
      </c>
      <c r="X79" s="141" t="n">
        <v>0</v>
      </c>
      <c r="Y79" s="82" t="n">
        <v>0</v>
      </c>
      <c r="Z79" s="82" t="n">
        <v>0</v>
      </c>
      <c r="AA79" s="82" t="n">
        <v>0</v>
      </c>
      <c r="AB79" s="82" t="n">
        <v>0</v>
      </c>
      <c r="AC79" s="82" t="n">
        <v>0</v>
      </c>
      <c r="AD79" s="82" t="n">
        <v>0</v>
      </c>
      <c r="AE79" s="82" t="n">
        <v>0</v>
      </c>
      <c r="AF79" s="82" t="n">
        <v>0</v>
      </c>
      <c r="AG79" s="82" t="n">
        <v>0</v>
      </c>
      <c r="AH79" s="82" t="n">
        <v>0</v>
      </c>
      <c r="AI79" s="82" t="n">
        <v>0</v>
      </c>
      <c r="AJ79" s="141" t="n">
        <v>22.771</v>
      </c>
      <c r="AK79" s="82" t="n">
        <v>13674.691401</v>
      </c>
    </row>
    <row r="80" ht="14.25" customHeight="1" s="87">
      <c r="A80" s="75" t="inlineStr">
        <is>
          <t>19:00</t>
        </is>
      </c>
      <c r="B80" s="139" t="n">
        <v>0</v>
      </c>
      <c r="C80" s="139" t="n">
        <v>0</v>
      </c>
      <c r="D80" s="77" t="n">
        <v>0</v>
      </c>
      <c r="E80" s="139" t="n">
        <v>0</v>
      </c>
      <c r="F80" s="139" t="n">
        <v>0</v>
      </c>
      <c r="G80" s="77" t="n">
        <v>0</v>
      </c>
      <c r="H80" s="146" t="n"/>
      <c r="I80" s="146" t="n"/>
      <c r="J80" s="79" t="n"/>
      <c r="K80" s="139" t="n">
        <v>0</v>
      </c>
      <c r="L80" s="139" t="n">
        <v>0</v>
      </c>
      <c r="M80" s="77" t="n">
        <v>0</v>
      </c>
      <c r="N80" s="77" t="n">
        <v>0</v>
      </c>
      <c r="O80" s="139" t="n">
        <v>22.771</v>
      </c>
      <c r="P80" s="139" t="n">
        <v>599.6559999999999</v>
      </c>
      <c r="Q80" s="77" t="n">
        <v>13654.766776</v>
      </c>
      <c r="R80" s="139" t="n">
        <v>0</v>
      </c>
      <c r="S80" s="139" t="n">
        <v>0</v>
      </c>
      <c r="T80" s="139" t="n">
        <v>625.759</v>
      </c>
      <c r="U80" s="77" t="n">
        <v>0</v>
      </c>
      <c r="V80" s="139" t="n">
        <v>0</v>
      </c>
      <c r="W80" s="139" t="n">
        <v>0</v>
      </c>
      <c r="X80" s="139" t="n">
        <v>0</v>
      </c>
      <c r="Y80" s="77" t="n">
        <v>0</v>
      </c>
      <c r="Z80" s="77" t="n">
        <v>0</v>
      </c>
      <c r="AA80" s="77" t="n">
        <v>0</v>
      </c>
      <c r="AB80" s="77" t="n">
        <v>0</v>
      </c>
      <c r="AC80" s="77" t="n">
        <v>0</v>
      </c>
      <c r="AD80" s="77" t="n">
        <v>0</v>
      </c>
      <c r="AE80" s="77" t="n">
        <v>0</v>
      </c>
      <c r="AF80" s="77" t="n">
        <v>0</v>
      </c>
      <c r="AG80" s="77" t="n">
        <v>0</v>
      </c>
      <c r="AH80" s="77" t="n">
        <v>0</v>
      </c>
      <c r="AI80" s="77" t="n">
        <v>0</v>
      </c>
      <c r="AJ80" s="139" t="n">
        <v>22.771</v>
      </c>
      <c r="AK80" s="77" t="n">
        <v>13654.766776</v>
      </c>
    </row>
    <row r="81" ht="14.25" customHeight="1" s="87">
      <c r="A81" s="80" t="inlineStr">
        <is>
          <t>19:15</t>
        </is>
      </c>
      <c r="B81" s="141" t="n">
        <v>0</v>
      </c>
      <c r="C81" s="141" t="n">
        <v>0</v>
      </c>
      <c r="D81" s="82" t="n">
        <v>0</v>
      </c>
      <c r="E81" s="141" t="n">
        <v>0</v>
      </c>
      <c r="F81" s="141" t="n">
        <v>0</v>
      </c>
      <c r="G81" s="82" t="n">
        <v>0</v>
      </c>
      <c r="H81" s="145" t="n"/>
      <c r="I81" s="145" t="n"/>
      <c r="J81" s="84" t="n"/>
      <c r="K81" s="141" t="n">
        <v>0</v>
      </c>
      <c r="L81" s="141" t="n">
        <v>0</v>
      </c>
      <c r="M81" s="82" t="n">
        <v>0</v>
      </c>
      <c r="N81" s="82" t="n">
        <v>0</v>
      </c>
      <c r="O81" s="141" t="n">
        <v>22.859</v>
      </c>
      <c r="P81" s="141" t="n">
        <v>598.516</v>
      </c>
      <c r="Q81" s="82" t="n">
        <v>13681.477244</v>
      </c>
      <c r="R81" s="141" t="n">
        <v>0</v>
      </c>
      <c r="S81" s="141" t="n">
        <v>0</v>
      </c>
      <c r="T81" s="141" t="n">
        <v>626.102</v>
      </c>
      <c r="U81" s="82" t="n">
        <v>0</v>
      </c>
      <c r="V81" s="141" t="n">
        <v>0</v>
      </c>
      <c r="W81" s="141" t="n">
        <v>0</v>
      </c>
      <c r="X81" s="141" t="n">
        <v>0</v>
      </c>
      <c r="Y81" s="82" t="n">
        <v>0</v>
      </c>
      <c r="Z81" s="82" t="n">
        <v>0</v>
      </c>
      <c r="AA81" s="82" t="n">
        <v>0</v>
      </c>
      <c r="AB81" s="82" t="n">
        <v>0</v>
      </c>
      <c r="AC81" s="82" t="n">
        <v>0</v>
      </c>
      <c r="AD81" s="82" t="n">
        <v>0</v>
      </c>
      <c r="AE81" s="82" t="n">
        <v>0</v>
      </c>
      <c r="AF81" s="82" t="n">
        <v>0</v>
      </c>
      <c r="AG81" s="82" t="n">
        <v>0</v>
      </c>
      <c r="AH81" s="82" t="n">
        <v>0</v>
      </c>
      <c r="AI81" s="82" t="n">
        <v>0</v>
      </c>
      <c r="AJ81" s="141" t="n">
        <v>22.859</v>
      </c>
      <c r="AK81" s="82" t="n">
        <v>13681.477244</v>
      </c>
    </row>
    <row r="82" ht="14.25" customHeight="1" s="87">
      <c r="A82" s="75" t="inlineStr">
        <is>
          <t>19:30</t>
        </is>
      </c>
      <c r="B82" s="139" t="n">
        <v>0</v>
      </c>
      <c r="C82" s="139" t="n">
        <v>0</v>
      </c>
      <c r="D82" s="77" t="n">
        <v>0</v>
      </c>
      <c r="E82" s="139" t="n">
        <v>0</v>
      </c>
      <c r="F82" s="139" t="n">
        <v>0</v>
      </c>
      <c r="G82" s="77" t="n">
        <v>0</v>
      </c>
      <c r="H82" s="146" t="n"/>
      <c r="I82" s="146" t="n"/>
      <c r="J82" s="79" t="n"/>
      <c r="K82" s="139" t="n">
        <v>0</v>
      </c>
      <c r="L82" s="139" t="n">
        <v>0</v>
      </c>
      <c r="M82" s="77" t="n">
        <v>0</v>
      </c>
      <c r="N82" s="77" t="n">
        <v>0</v>
      </c>
      <c r="O82" s="139" t="n">
        <v>22.771</v>
      </c>
      <c r="P82" s="139" t="n">
        <v>584.095</v>
      </c>
      <c r="Q82" s="77" t="n">
        <v>13300.427245</v>
      </c>
      <c r="R82" s="139" t="n">
        <v>0</v>
      </c>
      <c r="S82" s="139" t="n">
        <v>0</v>
      </c>
      <c r="T82" s="139" t="n">
        <v>614.91</v>
      </c>
      <c r="U82" s="77" t="n">
        <v>0</v>
      </c>
      <c r="V82" s="139" t="n">
        <v>0</v>
      </c>
      <c r="W82" s="139" t="n">
        <v>0</v>
      </c>
      <c r="X82" s="139" t="n">
        <v>0</v>
      </c>
      <c r="Y82" s="77" t="n">
        <v>0</v>
      </c>
      <c r="Z82" s="77" t="n">
        <v>0</v>
      </c>
      <c r="AA82" s="77" t="n">
        <v>0</v>
      </c>
      <c r="AB82" s="77" t="n">
        <v>0</v>
      </c>
      <c r="AC82" s="77" t="n">
        <v>0</v>
      </c>
      <c r="AD82" s="77" t="n">
        <v>0</v>
      </c>
      <c r="AE82" s="77" t="n">
        <v>0</v>
      </c>
      <c r="AF82" s="77" t="n">
        <v>0</v>
      </c>
      <c r="AG82" s="77" t="n">
        <v>0</v>
      </c>
      <c r="AH82" s="77" t="n">
        <v>0</v>
      </c>
      <c r="AI82" s="77" t="n">
        <v>0</v>
      </c>
      <c r="AJ82" s="139" t="n">
        <v>22.771</v>
      </c>
      <c r="AK82" s="77" t="n">
        <v>13300.427245</v>
      </c>
    </row>
    <row r="83" ht="14.25" customHeight="1" s="87">
      <c r="A83" s="80" t="inlineStr">
        <is>
          <t>19:45</t>
        </is>
      </c>
      <c r="B83" s="141" t="n">
        <v>0</v>
      </c>
      <c r="C83" s="141" t="n">
        <v>0</v>
      </c>
      <c r="D83" s="82" t="n">
        <v>0</v>
      </c>
      <c r="E83" s="141" t="n">
        <v>0</v>
      </c>
      <c r="F83" s="141" t="n">
        <v>0</v>
      </c>
      <c r="G83" s="82" t="n">
        <v>0</v>
      </c>
      <c r="H83" s="145" t="n"/>
      <c r="I83" s="145" t="n"/>
      <c r="J83" s="84" t="n"/>
      <c r="K83" s="141" t="n">
        <v>0</v>
      </c>
      <c r="L83" s="141" t="n">
        <v>0</v>
      </c>
      <c r="M83" s="82" t="n">
        <v>0</v>
      </c>
      <c r="N83" s="82" t="n">
        <v>0</v>
      </c>
      <c r="O83" s="141" t="n">
        <v>13.628</v>
      </c>
      <c r="P83" s="141" t="n">
        <v>575.7</v>
      </c>
      <c r="Q83" s="82" t="n">
        <v>7845.6396</v>
      </c>
      <c r="R83" s="141" t="n">
        <v>0</v>
      </c>
      <c r="S83" s="141" t="n">
        <v>0</v>
      </c>
      <c r="T83" s="141" t="n">
        <v>613.059</v>
      </c>
      <c r="U83" s="82" t="n">
        <v>0</v>
      </c>
      <c r="V83" s="141" t="n">
        <v>0</v>
      </c>
      <c r="W83" s="141" t="n">
        <v>0</v>
      </c>
      <c r="X83" s="141" t="n">
        <v>0</v>
      </c>
      <c r="Y83" s="82" t="n">
        <v>0</v>
      </c>
      <c r="Z83" s="82" t="n">
        <v>0</v>
      </c>
      <c r="AA83" s="82" t="n">
        <v>0</v>
      </c>
      <c r="AB83" s="82" t="n">
        <v>0</v>
      </c>
      <c r="AC83" s="82" t="n">
        <v>0</v>
      </c>
      <c r="AD83" s="82" t="n">
        <v>0</v>
      </c>
      <c r="AE83" s="82" t="n">
        <v>0</v>
      </c>
      <c r="AF83" s="82" t="n">
        <v>0</v>
      </c>
      <c r="AG83" s="82" t="n">
        <v>0</v>
      </c>
      <c r="AH83" s="82" t="n">
        <v>0</v>
      </c>
      <c r="AI83" s="82" t="n">
        <v>0</v>
      </c>
      <c r="AJ83" s="141" t="n">
        <v>13.628</v>
      </c>
      <c r="AK83" s="82" t="n">
        <v>7845.6396</v>
      </c>
    </row>
    <row r="84" ht="14.25" customHeight="1" s="87">
      <c r="A84" s="75" t="inlineStr">
        <is>
          <t>20:00</t>
        </is>
      </c>
      <c r="B84" s="139" t="n">
        <v>0</v>
      </c>
      <c r="C84" s="139" t="n">
        <v>0</v>
      </c>
      <c r="D84" s="77" t="n">
        <v>0</v>
      </c>
      <c r="E84" s="139" t="n">
        <v>0</v>
      </c>
      <c r="F84" s="139" t="n">
        <v>0</v>
      </c>
      <c r="G84" s="77" t="n">
        <v>0</v>
      </c>
      <c r="H84" s="146" t="n"/>
      <c r="I84" s="146" t="n"/>
      <c r="J84" s="79" t="n"/>
      <c r="K84" s="139" t="n">
        <v>0</v>
      </c>
      <c r="L84" s="139" t="n">
        <v>0</v>
      </c>
      <c r="M84" s="77" t="n">
        <v>0</v>
      </c>
      <c r="N84" s="77" t="n">
        <v>0</v>
      </c>
      <c r="O84" s="139" t="n">
        <v>3.429</v>
      </c>
      <c r="P84" s="139" t="n">
        <v>591.2430000000001</v>
      </c>
      <c r="Q84" s="77" t="n">
        <v>2027.372247</v>
      </c>
      <c r="R84" s="139" t="n">
        <v>0</v>
      </c>
      <c r="S84" s="139" t="n">
        <v>0</v>
      </c>
      <c r="T84" s="139" t="n">
        <v>617.466</v>
      </c>
      <c r="U84" s="77" t="n">
        <v>0</v>
      </c>
      <c r="V84" s="139" t="n">
        <v>0</v>
      </c>
      <c r="W84" s="139" t="n">
        <v>0</v>
      </c>
      <c r="X84" s="139" t="n">
        <v>0</v>
      </c>
      <c r="Y84" s="77" t="n">
        <v>0</v>
      </c>
      <c r="Z84" s="77" t="n">
        <v>0</v>
      </c>
      <c r="AA84" s="77" t="n">
        <v>0</v>
      </c>
      <c r="AB84" s="77" t="n">
        <v>0</v>
      </c>
      <c r="AC84" s="77" t="n">
        <v>0</v>
      </c>
      <c r="AD84" s="77" t="n">
        <v>0</v>
      </c>
      <c r="AE84" s="77" t="n">
        <v>0</v>
      </c>
      <c r="AF84" s="77" t="n">
        <v>0</v>
      </c>
      <c r="AG84" s="77" t="n">
        <v>0</v>
      </c>
      <c r="AH84" s="77" t="n">
        <v>0</v>
      </c>
      <c r="AI84" s="77" t="n">
        <v>0</v>
      </c>
      <c r="AJ84" s="139" t="n">
        <v>3.429</v>
      </c>
      <c r="AK84" s="77" t="n">
        <v>2027.372247</v>
      </c>
    </row>
    <row r="85" ht="14.25" customHeight="1" s="87">
      <c r="A85" s="80" t="inlineStr">
        <is>
          <t>20:15</t>
        </is>
      </c>
      <c r="B85" s="141" t="n">
        <v>0</v>
      </c>
      <c r="C85" s="141" t="n">
        <v>0</v>
      </c>
      <c r="D85" s="82" t="n">
        <v>0</v>
      </c>
      <c r="E85" s="141" t="n">
        <v>0</v>
      </c>
      <c r="F85" s="141" t="n">
        <v>0</v>
      </c>
      <c r="G85" s="82" t="n">
        <v>0</v>
      </c>
      <c r="H85" s="145" t="n"/>
      <c r="I85" s="145" t="n"/>
      <c r="J85" s="84" t="n"/>
      <c r="K85" s="141" t="n">
        <v>0</v>
      </c>
      <c r="L85" s="141" t="n">
        <v>0</v>
      </c>
      <c r="M85" s="82" t="n">
        <v>0</v>
      </c>
      <c r="N85" s="82" t="n">
        <v>0</v>
      </c>
      <c r="O85" s="141" t="n">
        <v>3.517</v>
      </c>
      <c r="P85" s="141" t="n">
        <v>587.112</v>
      </c>
      <c r="Q85" s="82" t="n">
        <v>2064.872904</v>
      </c>
      <c r="R85" s="141" t="n">
        <v>0</v>
      </c>
      <c r="S85" s="141" t="n">
        <v>0</v>
      </c>
      <c r="T85" s="141" t="n">
        <v>613.59</v>
      </c>
      <c r="U85" s="82" t="n">
        <v>0</v>
      </c>
      <c r="V85" s="141" t="n">
        <v>0</v>
      </c>
      <c r="W85" s="141" t="n">
        <v>0</v>
      </c>
      <c r="X85" s="141" t="n">
        <v>0</v>
      </c>
      <c r="Y85" s="82" t="n">
        <v>0</v>
      </c>
      <c r="Z85" s="82" t="n">
        <v>0</v>
      </c>
      <c r="AA85" s="82" t="n">
        <v>0</v>
      </c>
      <c r="AB85" s="82" t="n">
        <v>0</v>
      </c>
      <c r="AC85" s="82" t="n">
        <v>0</v>
      </c>
      <c r="AD85" s="82" t="n">
        <v>0</v>
      </c>
      <c r="AE85" s="82" t="n">
        <v>0</v>
      </c>
      <c r="AF85" s="82" t="n">
        <v>0</v>
      </c>
      <c r="AG85" s="82" t="n">
        <v>0</v>
      </c>
      <c r="AH85" s="82" t="n">
        <v>0</v>
      </c>
      <c r="AI85" s="82" t="n">
        <v>0</v>
      </c>
      <c r="AJ85" s="141" t="n">
        <v>3.517</v>
      </c>
      <c r="AK85" s="82" t="n">
        <v>2064.872904</v>
      </c>
    </row>
    <row r="86" ht="14.25" customHeight="1" s="87">
      <c r="A86" s="75" t="inlineStr">
        <is>
          <t>20:30</t>
        </is>
      </c>
      <c r="B86" s="139" t="n">
        <v>0</v>
      </c>
      <c r="C86" s="139" t="n">
        <v>0</v>
      </c>
      <c r="D86" s="77" t="n">
        <v>0</v>
      </c>
      <c r="E86" s="139" t="n">
        <v>0</v>
      </c>
      <c r="F86" s="139" t="n">
        <v>0</v>
      </c>
      <c r="G86" s="77" t="n">
        <v>0</v>
      </c>
      <c r="H86" s="146" t="n"/>
      <c r="I86" s="146" t="n"/>
      <c r="J86" s="79" t="n"/>
      <c r="K86" s="139" t="n">
        <v>0</v>
      </c>
      <c r="L86" s="139" t="n">
        <v>0</v>
      </c>
      <c r="M86" s="77" t="n">
        <v>0</v>
      </c>
      <c r="N86" s="77" t="n">
        <v>0</v>
      </c>
      <c r="O86" s="139" t="n">
        <v>3.517</v>
      </c>
      <c r="P86" s="139" t="n">
        <v>582.3339999999999</v>
      </c>
      <c r="Q86" s="77" t="n">
        <v>2048.068678</v>
      </c>
      <c r="R86" s="139" t="n">
        <v>0</v>
      </c>
      <c r="S86" s="139" t="n">
        <v>0</v>
      </c>
      <c r="T86" s="139" t="n">
        <v>608.747</v>
      </c>
      <c r="U86" s="77" t="n">
        <v>0</v>
      </c>
      <c r="V86" s="139" t="n">
        <v>0</v>
      </c>
      <c r="W86" s="139" t="n">
        <v>0</v>
      </c>
      <c r="X86" s="139" t="n">
        <v>0</v>
      </c>
      <c r="Y86" s="77" t="n">
        <v>0</v>
      </c>
      <c r="Z86" s="77" t="n">
        <v>0</v>
      </c>
      <c r="AA86" s="77" t="n">
        <v>0</v>
      </c>
      <c r="AB86" s="77" t="n">
        <v>0</v>
      </c>
      <c r="AC86" s="77" t="n">
        <v>0</v>
      </c>
      <c r="AD86" s="77" t="n">
        <v>0</v>
      </c>
      <c r="AE86" s="77" t="n">
        <v>0</v>
      </c>
      <c r="AF86" s="77" t="n">
        <v>0</v>
      </c>
      <c r="AG86" s="77" t="n">
        <v>0</v>
      </c>
      <c r="AH86" s="77" t="n">
        <v>0</v>
      </c>
      <c r="AI86" s="77" t="n">
        <v>0</v>
      </c>
      <c r="AJ86" s="139" t="n">
        <v>3.517</v>
      </c>
      <c r="AK86" s="77" t="n">
        <v>2048.068678</v>
      </c>
    </row>
    <row r="87" ht="14.25" customHeight="1" s="87">
      <c r="A87" s="80" t="inlineStr">
        <is>
          <t>20:45</t>
        </is>
      </c>
      <c r="B87" s="141" t="n">
        <v>0</v>
      </c>
      <c r="C87" s="141" t="n">
        <v>0</v>
      </c>
      <c r="D87" s="82" t="n">
        <v>0</v>
      </c>
      <c r="E87" s="141" t="n">
        <v>0</v>
      </c>
      <c r="F87" s="141" t="n">
        <v>0</v>
      </c>
      <c r="G87" s="82" t="n">
        <v>0</v>
      </c>
      <c r="H87" s="145" t="n"/>
      <c r="I87" s="145" t="n"/>
      <c r="J87" s="84" t="n"/>
      <c r="K87" s="141" t="n">
        <v>0</v>
      </c>
      <c r="L87" s="141" t="n">
        <v>0</v>
      </c>
      <c r="M87" s="82" t="n">
        <v>0</v>
      </c>
      <c r="N87" s="82" t="n">
        <v>0</v>
      </c>
      <c r="O87" s="141" t="n">
        <v>3.517</v>
      </c>
      <c r="P87" s="141" t="n">
        <v>586.062</v>
      </c>
      <c r="Q87" s="82" t="n">
        <v>2061.180054</v>
      </c>
      <c r="R87" s="141" t="n">
        <v>0</v>
      </c>
      <c r="S87" s="141" t="n">
        <v>0</v>
      </c>
      <c r="T87" s="141" t="n">
        <v>610.674</v>
      </c>
      <c r="U87" s="82" t="n">
        <v>0</v>
      </c>
      <c r="V87" s="141" t="n">
        <v>0</v>
      </c>
      <c r="W87" s="141" t="n">
        <v>0</v>
      </c>
      <c r="X87" s="141" t="n">
        <v>0</v>
      </c>
      <c r="Y87" s="82" t="n">
        <v>0</v>
      </c>
      <c r="Z87" s="82" t="n">
        <v>0</v>
      </c>
      <c r="AA87" s="82" t="n">
        <v>0</v>
      </c>
      <c r="AB87" s="82" t="n">
        <v>0</v>
      </c>
      <c r="AC87" s="82" t="n">
        <v>0</v>
      </c>
      <c r="AD87" s="82" t="n">
        <v>0</v>
      </c>
      <c r="AE87" s="82" t="n">
        <v>0</v>
      </c>
      <c r="AF87" s="82" t="n">
        <v>0</v>
      </c>
      <c r="AG87" s="82" t="n">
        <v>0</v>
      </c>
      <c r="AH87" s="82" t="n">
        <v>0</v>
      </c>
      <c r="AI87" s="82" t="n">
        <v>0</v>
      </c>
      <c r="AJ87" s="141" t="n">
        <v>3.517</v>
      </c>
      <c r="AK87" s="82" t="n">
        <v>2061.180054</v>
      </c>
    </row>
    <row r="88" ht="14.25" customHeight="1" s="87">
      <c r="A88" s="75" t="inlineStr">
        <is>
          <t>21:00</t>
        </is>
      </c>
      <c r="B88" s="139" t="n">
        <v>0</v>
      </c>
      <c r="C88" s="139" t="n">
        <v>0</v>
      </c>
      <c r="D88" s="77" t="n">
        <v>0</v>
      </c>
      <c r="E88" s="139" t="n">
        <v>0</v>
      </c>
      <c r="F88" s="139" t="n">
        <v>0</v>
      </c>
      <c r="G88" s="77" t="n">
        <v>0</v>
      </c>
      <c r="H88" s="146" t="n"/>
      <c r="I88" s="146" t="n"/>
      <c r="J88" s="79" t="n"/>
      <c r="K88" s="139" t="n">
        <v>0</v>
      </c>
      <c r="L88" s="139" t="n">
        <v>0</v>
      </c>
      <c r="M88" s="77" t="n">
        <v>0</v>
      </c>
      <c r="N88" s="77" t="n">
        <v>0</v>
      </c>
      <c r="O88" s="139" t="n">
        <v>3.517</v>
      </c>
      <c r="P88" s="139" t="n">
        <v>585.759</v>
      </c>
      <c r="Q88" s="77" t="n">
        <v>2060.114403</v>
      </c>
      <c r="R88" s="139" t="n">
        <v>0</v>
      </c>
      <c r="S88" s="139" t="n">
        <v>0</v>
      </c>
      <c r="T88" s="139" t="n">
        <v>609.698</v>
      </c>
      <c r="U88" s="77" t="n">
        <v>0</v>
      </c>
      <c r="V88" s="139" t="n">
        <v>0</v>
      </c>
      <c r="W88" s="139" t="n">
        <v>0</v>
      </c>
      <c r="X88" s="139" t="n">
        <v>0</v>
      </c>
      <c r="Y88" s="77" t="n">
        <v>0</v>
      </c>
      <c r="Z88" s="77" t="n">
        <v>0</v>
      </c>
      <c r="AA88" s="77" t="n">
        <v>0</v>
      </c>
      <c r="AB88" s="77" t="n">
        <v>0</v>
      </c>
      <c r="AC88" s="77" t="n">
        <v>0</v>
      </c>
      <c r="AD88" s="77" t="n">
        <v>0</v>
      </c>
      <c r="AE88" s="77" t="n">
        <v>0</v>
      </c>
      <c r="AF88" s="77" t="n">
        <v>0</v>
      </c>
      <c r="AG88" s="77" t="n">
        <v>0</v>
      </c>
      <c r="AH88" s="77" t="n">
        <v>0</v>
      </c>
      <c r="AI88" s="77" t="n">
        <v>0</v>
      </c>
      <c r="AJ88" s="139" t="n">
        <v>3.517</v>
      </c>
      <c r="AK88" s="77" t="n">
        <v>2060.114403</v>
      </c>
    </row>
    <row r="89" ht="14.25" customHeight="1" s="87">
      <c r="A89" s="80" t="inlineStr">
        <is>
          <t>21:15</t>
        </is>
      </c>
      <c r="B89" s="141" t="n">
        <v>0</v>
      </c>
      <c r="C89" s="141" t="n">
        <v>0</v>
      </c>
      <c r="D89" s="82" t="n">
        <v>0</v>
      </c>
      <c r="E89" s="141" t="n">
        <v>0</v>
      </c>
      <c r="F89" s="141" t="n">
        <v>0</v>
      </c>
      <c r="G89" s="82" t="n">
        <v>0</v>
      </c>
      <c r="H89" s="145" t="n"/>
      <c r="I89" s="145" t="n"/>
      <c r="J89" s="84" t="n"/>
      <c r="K89" s="141" t="n">
        <v>0</v>
      </c>
      <c r="L89" s="141" t="n">
        <v>0</v>
      </c>
      <c r="M89" s="82" t="n">
        <v>0</v>
      </c>
      <c r="N89" s="82" t="n">
        <v>0</v>
      </c>
      <c r="O89" s="141" t="n">
        <v>3.517</v>
      </c>
      <c r="P89" s="141" t="n">
        <v>602</v>
      </c>
      <c r="Q89" s="82" t="n">
        <v>2117.234</v>
      </c>
      <c r="R89" s="141" t="n">
        <v>0</v>
      </c>
      <c r="S89" s="141" t="n">
        <v>0</v>
      </c>
      <c r="T89" s="141" t="n">
        <v>626.343</v>
      </c>
      <c r="U89" s="82" t="n">
        <v>0</v>
      </c>
      <c r="V89" s="141" t="n">
        <v>0</v>
      </c>
      <c r="W89" s="141" t="n">
        <v>0</v>
      </c>
      <c r="X89" s="141" t="n">
        <v>0</v>
      </c>
      <c r="Y89" s="82" t="n">
        <v>0</v>
      </c>
      <c r="Z89" s="82" t="n">
        <v>0</v>
      </c>
      <c r="AA89" s="82" t="n">
        <v>0</v>
      </c>
      <c r="AB89" s="82" t="n">
        <v>0</v>
      </c>
      <c r="AC89" s="82" t="n">
        <v>0</v>
      </c>
      <c r="AD89" s="82" t="n">
        <v>0</v>
      </c>
      <c r="AE89" s="82" t="n">
        <v>0</v>
      </c>
      <c r="AF89" s="82" t="n">
        <v>0</v>
      </c>
      <c r="AG89" s="82" t="n">
        <v>0</v>
      </c>
      <c r="AH89" s="82" t="n">
        <v>0</v>
      </c>
      <c r="AI89" s="82" t="n">
        <v>0</v>
      </c>
      <c r="AJ89" s="141" t="n">
        <v>3.517</v>
      </c>
      <c r="AK89" s="82" t="n">
        <v>2117.234</v>
      </c>
    </row>
    <row r="90" ht="14.25" customHeight="1" s="87">
      <c r="A90" s="75" t="inlineStr">
        <is>
          <t>21:30</t>
        </is>
      </c>
      <c r="B90" s="139" t="n">
        <v>0</v>
      </c>
      <c r="C90" s="139" t="n">
        <v>0</v>
      </c>
      <c r="D90" s="77" t="n">
        <v>0</v>
      </c>
      <c r="E90" s="139" t="n">
        <v>0</v>
      </c>
      <c r="F90" s="139" t="n">
        <v>0</v>
      </c>
      <c r="G90" s="77" t="n">
        <v>0</v>
      </c>
      <c r="H90" s="146" t="n"/>
      <c r="I90" s="146" t="n"/>
      <c r="J90" s="79" t="n"/>
      <c r="K90" s="139" t="n">
        <v>0</v>
      </c>
      <c r="L90" s="139" t="n">
        <v>0</v>
      </c>
      <c r="M90" s="77" t="n">
        <v>0</v>
      </c>
      <c r="N90" s="77" t="n">
        <v>0</v>
      </c>
      <c r="O90" s="139" t="n">
        <v>0.703</v>
      </c>
      <c r="P90" s="139" t="n">
        <v>585.167</v>
      </c>
      <c r="Q90" s="77" t="n">
        <v>411.372401</v>
      </c>
      <c r="R90" s="139" t="n">
        <v>0</v>
      </c>
      <c r="S90" s="139" t="n">
        <v>0</v>
      </c>
      <c r="T90" s="139" t="n">
        <v>609.347</v>
      </c>
      <c r="U90" s="77" t="n">
        <v>0</v>
      </c>
      <c r="V90" s="139" t="n">
        <v>0</v>
      </c>
      <c r="W90" s="139" t="n">
        <v>0</v>
      </c>
      <c r="X90" s="139" t="n">
        <v>0</v>
      </c>
      <c r="Y90" s="77" t="n">
        <v>0</v>
      </c>
      <c r="Z90" s="77" t="n">
        <v>0</v>
      </c>
      <c r="AA90" s="77" t="n">
        <v>0</v>
      </c>
      <c r="AB90" s="77" t="n">
        <v>0</v>
      </c>
      <c r="AC90" s="77" t="n">
        <v>0</v>
      </c>
      <c r="AD90" s="77" t="n">
        <v>0</v>
      </c>
      <c r="AE90" s="77" t="n">
        <v>0</v>
      </c>
      <c r="AF90" s="77" t="n">
        <v>0</v>
      </c>
      <c r="AG90" s="77" t="n">
        <v>0</v>
      </c>
      <c r="AH90" s="77" t="n">
        <v>0</v>
      </c>
      <c r="AI90" s="77" t="n">
        <v>0</v>
      </c>
      <c r="AJ90" s="139" t="n">
        <v>0.703</v>
      </c>
      <c r="AK90" s="77" t="n">
        <v>411.372401</v>
      </c>
    </row>
    <row r="91" ht="14.25" customHeight="1" s="87">
      <c r="A91" s="80" t="inlineStr">
        <is>
          <t>21:45</t>
        </is>
      </c>
      <c r="B91" s="141" t="n">
        <v>0</v>
      </c>
      <c r="C91" s="141" t="n">
        <v>0</v>
      </c>
      <c r="D91" s="82" t="n">
        <v>0</v>
      </c>
      <c r="E91" s="141" t="n">
        <v>0</v>
      </c>
      <c r="F91" s="141" t="n">
        <v>0</v>
      </c>
      <c r="G91" s="82" t="n">
        <v>0</v>
      </c>
      <c r="H91" s="145" t="n"/>
      <c r="I91" s="145" t="n"/>
      <c r="J91" s="84" t="n"/>
      <c r="K91" s="141" t="n">
        <v>0</v>
      </c>
      <c r="L91" s="141" t="n">
        <v>0</v>
      </c>
      <c r="M91" s="82" t="n">
        <v>0</v>
      </c>
      <c r="N91" s="82" t="n">
        <v>0</v>
      </c>
      <c r="O91" s="141" t="n">
        <v>0</v>
      </c>
      <c r="P91" s="141" t="n">
        <v>602.5</v>
      </c>
      <c r="Q91" s="82" t="n">
        <v>0</v>
      </c>
      <c r="R91" s="141" t="n">
        <v>0</v>
      </c>
      <c r="S91" s="141" t="n">
        <v>0</v>
      </c>
      <c r="T91" s="141" t="n">
        <v>627.175</v>
      </c>
      <c r="U91" s="82" t="n">
        <v>0</v>
      </c>
      <c r="V91" s="141" t="n">
        <v>0</v>
      </c>
      <c r="W91" s="141" t="n">
        <v>0</v>
      </c>
      <c r="X91" s="141" t="n">
        <v>0</v>
      </c>
      <c r="Y91" s="82" t="n">
        <v>0</v>
      </c>
      <c r="Z91" s="82" t="n">
        <v>0</v>
      </c>
      <c r="AA91" s="82" t="n">
        <v>0</v>
      </c>
      <c r="AB91" s="82" t="n">
        <v>0</v>
      </c>
      <c r="AC91" s="82" t="n">
        <v>0</v>
      </c>
      <c r="AD91" s="82" t="n">
        <v>0</v>
      </c>
      <c r="AE91" s="82" t="n">
        <v>0</v>
      </c>
      <c r="AF91" s="82" t="n">
        <v>0</v>
      </c>
      <c r="AG91" s="82" t="n">
        <v>0</v>
      </c>
      <c r="AH91" s="82" t="n">
        <v>0</v>
      </c>
      <c r="AI91" s="82" t="n">
        <v>0</v>
      </c>
      <c r="AJ91" s="141" t="n">
        <v>0</v>
      </c>
      <c r="AK91" s="82" t="n">
        <v>0</v>
      </c>
    </row>
    <row r="92" ht="14.25" customHeight="1" s="87">
      <c r="A92" s="75" t="inlineStr">
        <is>
          <t>22:00</t>
        </is>
      </c>
      <c r="B92" s="139" t="n">
        <v>0</v>
      </c>
      <c r="C92" s="139" t="n">
        <v>0</v>
      </c>
      <c r="D92" s="77" t="n">
        <v>0</v>
      </c>
      <c r="E92" s="139" t="n">
        <v>0</v>
      </c>
      <c r="F92" s="139" t="n">
        <v>0</v>
      </c>
      <c r="G92" s="77" t="n">
        <v>0</v>
      </c>
      <c r="H92" s="146" t="n"/>
      <c r="I92" s="146" t="n"/>
      <c r="J92" s="79" t="n"/>
      <c r="K92" s="139" t="n">
        <v>0</v>
      </c>
      <c r="L92" s="139" t="n">
        <v>0</v>
      </c>
      <c r="M92" s="77" t="n">
        <v>0</v>
      </c>
      <c r="N92" s="77" t="n">
        <v>0</v>
      </c>
      <c r="O92" s="139" t="n">
        <v>0</v>
      </c>
      <c r="P92" s="139" t="n">
        <v>605.572</v>
      </c>
      <c r="Q92" s="77" t="n">
        <v>0</v>
      </c>
      <c r="R92" s="139" t="n">
        <v>0</v>
      </c>
      <c r="S92" s="139" t="n">
        <v>0</v>
      </c>
      <c r="T92" s="139" t="n">
        <v>630.3</v>
      </c>
      <c r="U92" s="77" t="n">
        <v>0</v>
      </c>
      <c r="V92" s="139" t="n">
        <v>0</v>
      </c>
      <c r="W92" s="139" t="n">
        <v>0</v>
      </c>
      <c r="X92" s="139" t="n">
        <v>0</v>
      </c>
      <c r="Y92" s="77" t="n">
        <v>0</v>
      </c>
      <c r="Z92" s="77" t="n">
        <v>0</v>
      </c>
      <c r="AA92" s="77" t="n">
        <v>0</v>
      </c>
      <c r="AB92" s="77" t="n">
        <v>0</v>
      </c>
      <c r="AC92" s="77" t="n">
        <v>0</v>
      </c>
      <c r="AD92" s="77" t="n">
        <v>0</v>
      </c>
      <c r="AE92" s="77" t="n">
        <v>0</v>
      </c>
      <c r="AF92" s="77" t="n">
        <v>0</v>
      </c>
      <c r="AG92" s="77" t="n">
        <v>0</v>
      </c>
      <c r="AH92" s="77" t="n">
        <v>0</v>
      </c>
      <c r="AI92" s="77" t="n">
        <v>0</v>
      </c>
      <c r="AJ92" s="139" t="n">
        <v>0</v>
      </c>
      <c r="AK92" s="77" t="n">
        <v>0</v>
      </c>
    </row>
    <row r="93" ht="14.25" customHeight="1" s="87">
      <c r="A93" s="80" t="inlineStr">
        <is>
          <t>22:15</t>
        </is>
      </c>
      <c r="B93" s="141" t="n">
        <v>0</v>
      </c>
      <c r="C93" s="141" t="n">
        <v>0</v>
      </c>
      <c r="D93" s="82" t="n">
        <v>0</v>
      </c>
      <c r="E93" s="141" t="n">
        <v>0</v>
      </c>
      <c r="F93" s="141" t="n">
        <v>0</v>
      </c>
      <c r="G93" s="82" t="n">
        <v>0</v>
      </c>
      <c r="H93" s="145" t="n"/>
      <c r="I93" s="145" t="n"/>
      <c r="J93" s="84" t="n"/>
      <c r="K93" s="141" t="n">
        <v>0</v>
      </c>
      <c r="L93" s="141" t="n">
        <v>0</v>
      </c>
      <c r="M93" s="82" t="n">
        <v>0</v>
      </c>
      <c r="N93" s="82" t="n">
        <v>0</v>
      </c>
      <c r="O93" s="141" t="n">
        <v>0</v>
      </c>
      <c r="P93" s="141" t="n">
        <v>604.25</v>
      </c>
      <c r="Q93" s="82" t="n">
        <v>0</v>
      </c>
      <c r="R93" s="141" t="n">
        <v>0</v>
      </c>
      <c r="S93" s="141" t="n">
        <v>0</v>
      </c>
      <c r="T93" s="141" t="n">
        <v>631.328</v>
      </c>
      <c r="U93" s="82" t="n">
        <v>0</v>
      </c>
      <c r="V93" s="141" t="n">
        <v>0</v>
      </c>
      <c r="W93" s="141" t="n">
        <v>0</v>
      </c>
      <c r="X93" s="141" t="n">
        <v>0</v>
      </c>
      <c r="Y93" s="82" t="n">
        <v>0</v>
      </c>
      <c r="Z93" s="82" t="n">
        <v>0</v>
      </c>
      <c r="AA93" s="82" t="n">
        <v>0</v>
      </c>
      <c r="AB93" s="82" t="n">
        <v>0</v>
      </c>
      <c r="AC93" s="82" t="n">
        <v>0</v>
      </c>
      <c r="AD93" s="82" t="n">
        <v>0</v>
      </c>
      <c r="AE93" s="82" t="n">
        <v>0</v>
      </c>
      <c r="AF93" s="82" t="n">
        <v>0</v>
      </c>
      <c r="AG93" s="82" t="n">
        <v>0</v>
      </c>
      <c r="AH93" s="82" t="n">
        <v>0</v>
      </c>
      <c r="AI93" s="82" t="n">
        <v>0</v>
      </c>
      <c r="AJ93" s="141" t="n">
        <v>0</v>
      </c>
      <c r="AK93" s="82" t="n">
        <v>0</v>
      </c>
    </row>
    <row r="94" ht="14.25" customHeight="1" s="87">
      <c r="A94" s="75" t="inlineStr">
        <is>
          <t>22:30</t>
        </is>
      </c>
      <c r="B94" s="139" t="n">
        <v>0</v>
      </c>
      <c r="C94" s="139" t="n">
        <v>0</v>
      </c>
      <c r="D94" s="77" t="n">
        <v>0</v>
      </c>
      <c r="E94" s="139" t="n">
        <v>0</v>
      </c>
      <c r="F94" s="139" t="n">
        <v>0</v>
      </c>
      <c r="G94" s="77" t="n">
        <v>0</v>
      </c>
      <c r="H94" s="146" t="n"/>
      <c r="I94" s="146" t="n"/>
      <c r="J94" s="79" t="n"/>
      <c r="K94" s="139" t="n">
        <v>0</v>
      </c>
      <c r="L94" s="139" t="n">
        <v>0</v>
      </c>
      <c r="M94" s="77" t="n">
        <v>0</v>
      </c>
      <c r="N94" s="77" t="n">
        <v>0</v>
      </c>
      <c r="O94" s="139" t="n">
        <v>0</v>
      </c>
      <c r="P94" s="139" t="n">
        <v>604</v>
      </c>
      <c r="Q94" s="77" t="n">
        <v>0</v>
      </c>
      <c r="R94" s="139" t="n">
        <v>0</v>
      </c>
      <c r="S94" s="139" t="n">
        <v>0</v>
      </c>
      <c r="T94" s="139" t="n">
        <v>630.918</v>
      </c>
      <c r="U94" s="77" t="n">
        <v>0</v>
      </c>
      <c r="V94" s="139" t="n">
        <v>0</v>
      </c>
      <c r="W94" s="139" t="n">
        <v>0</v>
      </c>
      <c r="X94" s="139" t="n">
        <v>0</v>
      </c>
      <c r="Y94" s="77" t="n">
        <v>0</v>
      </c>
      <c r="Z94" s="77" t="n">
        <v>0</v>
      </c>
      <c r="AA94" s="77" t="n">
        <v>0</v>
      </c>
      <c r="AB94" s="77" t="n">
        <v>0</v>
      </c>
      <c r="AC94" s="77" t="n">
        <v>0</v>
      </c>
      <c r="AD94" s="77" t="n">
        <v>0</v>
      </c>
      <c r="AE94" s="77" t="n">
        <v>0</v>
      </c>
      <c r="AF94" s="77" t="n">
        <v>0</v>
      </c>
      <c r="AG94" s="77" t="n">
        <v>0</v>
      </c>
      <c r="AH94" s="77" t="n">
        <v>0</v>
      </c>
      <c r="AI94" s="77" t="n">
        <v>0</v>
      </c>
      <c r="AJ94" s="139" t="n">
        <v>0</v>
      </c>
      <c r="AK94" s="77" t="n">
        <v>0</v>
      </c>
    </row>
    <row r="95" ht="14.25" customHeight="1" s="87">
      <c r="A95" s="80" t="inlineStr">
        <is>
          <t>22:45</t>
        </is>
      </c>
      <c r="B95" s="141" t="n">
        <v>0</v>
      </c>
      <c r="C95" s="141" t="n">
        <v>0</v>
      </c>
      <c r="D95" s="82" t="n">
        <v>0</v>
      </c>
      <c r="E95" s="141" t="n">
        <v>0</v>
      </c>
      <c r="F95" s="141" t="n">
        <v>0</v>
      </c>
      <c r="G95" s="82" t="n">
        <v>0</v>
      </c>
      <c r="H95" s="145" t="n"/>
      <c r="I95" s="145" t="n"/>
      <c r="J95" s="84" t="n"/>
      <c r="K95" s="141" t="n">
        <v>0</v>
      </c>
      <c r="L95" s="141" t="n">
        <v>0</v>
      </c>
      <c r="M95" s="82" t="n">
        <v>0</v>
      </c>
      <c r="N95" s="82" t="n">
        <v>0</v>
      </c>
      <c r="O95" s="141" t="n">
        <v>0</v>
      </c>
      <c r="P95" s="141" t="n">
        <v>602</v>
      </c>
      <c r="Q95" s="82" t="n">
        <v>0</v>
      </c>
      <c r="R95" s="141" t="n">
        <v>0</v>
      </c>
      <c r="S95" s="141" t="n">
        <v>0</v>
      </c>
      <c r="T95" s="141" t="n">
        <v>629.576</v>
      </c>
      <c r="U95" s="82" t="n">
        <v>0</v>
      </c>
      <c r="V95" s="141" t="n">
        <v>0</v>
      </c>
      <c r="W95" s="141" t="n">
        <v>0</v>
      </c>
      <c r="X95" s="141" t="n">
        <v>0</v>
      </c>
      <c r="Y95" s="82" t="n">
        <v>0</v>
      </c>
      <c r="Z95" s="82" t="n">
        <v>0</v>
      </c>
      <c r="AA95" s="82" t="n">
        <v>0</v>
      </c>
      <c r="AB95" s="82" t="n">
        <v>0</v>
      </c>
      <c r="AC95" s="82" t="n">
        <v>0</v>
      </c>
      <c r="AD95" s="82" t="n">
        <v>0</v>
      </c>
      <c r="AE95" s="82" t="n">
        <v>0</v>
      </c>
      <c r="AF95" s="82" t="n">
        <v>0</v>
      </c>
      <c r="AG95" s="82" t="n">
        <v>0</v>
      </c>
      <c r="AH95" s="82" t="n">
        <v>0</v>
      </c>
      <c r="AI95" s="82" t="n">
        <v>0</v>
      </c>
      <c r="AJ95" s="141" t="n">
        <v>0</v>
      </c>
      <c r="AK95" s="82" t="n">
        <v>0</v>
      </c>
    </row>
    <row r="96" ht="14.25" customHeight="1" s="87">
      <c r="A96" s="75" t="inlineStr">
        <is>
          <t>23:00</t>
        </is>
      </c>
      <c r="B96" s="139" t="n">
        <v>0</v>
      </c>
      <c r="C96" s="139" t="n">
        <v>0</v>
      </c>
      <c r="D96" s="77" t="n">
        <v>0</v>
      </c>
      <c r="E96" s="139" t="n">
        <v>0</v>
      </c>
      <c r="F96" s="139" t="n">
        <v>0</v>
      </c>
      <c r="G96" s="77" t="n">
        <v>0</v>
      </c>
      <c r="H96" s="146" t="n"/>
      <c r="I96" s="146" t="n"/>
      <c r="J96" s="79" t="n"/>
      <c r="K96" s="139" t="n">
        <v>0</v>
      </c>
      <c r="L96" s="139" t="n">
        <v>0</v>
      </c>
      <c r="M96" s="77" t="n">
        <v>0</v>
      </c>
      <c r="N96" s="77" t="n">
        <v>0</v>
      </c>
      <c r="O96" s="139" t="n">
        <v>0</v>
      </c>
      <c r="P96" s="139" t="n">
        <v>582</v>
      </c>
      <c r="Q96" s="77" t="n">
        <v>0</v>
      </c>
      <c r="R96" s="139" t="n">
        <v>0</v>
      </c>
      <c r="S96" s="139" t="n">
        <v>0</v>
      </c>
      <c r="T96" s="139" t="n">
        <v>609.032</v>
      </c>
      <c r="U96" s="77" t="n">
        <v>0</v>
      </c>
      <c r="V96" s="139" t="n">
        <v>0</v>
      </c>
      <c r="W96" s="139" t="n">
        <v>0</v>
      </c>
      <c r="X96" s="139" t="n">
        <v>0</v>
      </c>
      <c r="Y96" s="77" t="n">
        <v>0</v>
      </c>
      <c r="Z96" s="77" t="n">
        <v>0</v>
      </c>
      <c r="AA96" s="77" t="n">
        <v>0</v>
      </c>
      <c r="AB96" s="77" t="n">
        <v>0</v>
      </c>
      <c r="AC96" s="77" t="n">
        <v>0</v>
      </c>
      <c r="AD96" s="77" t="n">
        <v>0</v>
      </c>
      <c r="AE96" s="77" t="n">
        <v>0</v>
      </c>
      <c r="AF96" s="77" t="n">
        <v>0</v>
      </c>
      <c r="AG96" s="77" t="n">
        <v>0</v>
      </c>
      <c r="AH96" s="77" t="n">
        <v>0</v>
      </c>
      <c r="AI96" s="77" t="n">
        <v>0</v>
      </c>
      <c r="AJ96" s="139" t="n">
        <v>0</v>
      </c>
      <c r="AK96" s="77" t="n">
        <v>0</v>
      </c>
    </row>
    <row r="97" ht="14.25" customHeight="1" s="87">
      <c r="A97" s="80" t="inlineStr">
        <is>
          <t>23:15</t>
        </is>
      </c>
      <c r="B97" s="141" t="n">
        <v>0</v>
      </c>
      <c r="C97" s="141" t="n">
        <v>0</v>
      </c>
      <c r="D97" s="82" t="n">
        <v>0</v>
      </c>
      <c r="E97" s="141" t="n">
        <v>0</v>
      </c>
      <c r="F97" s="141" t="n">
        <v>0</v>
      </c>
      <c r="G97" s="82" t="n">
        <v>0</v>
      </c>
      <c r="H97" s="145" t="n"/>
      <c r="I97" s="145" t="n"/>
      <c r="J97" s="84" t="n"/>
      <c r="K97" s="141" t="n">
        <v>0</v>
      </c>
      <c r="L97" s="141" t="n">
        <v>0</v>
      </c>
      <c r="M97" s="82" t="n">
        <v>0</v>
      </c>
      <c r="N97" s="82" t="n">
        <v>0</v>
      </c>
      <c r="O97" s="141" t="n">
        <v>0</v>
      </c>
      <c r="P97" s="141" t="n">
        <v>576.75</v>
      </c>
      <c r="Q97" s="82" t="n">
        <v>0</v>
      </c>
      <c r="R97" s="141" t="n">
        <v>0</v>
      </c>
      <c r="S97" s="141" t="n">
        <v>0</v>
      </c>
      <c r="T97" s="141" t="n">
        <v>576.97</v>
      </c>
      <c r="U97" s="82" t="n">
        <v>0</v>
      </c>
      <c r="V97" s="141" t="n">
        <v>0</v>
      </c>
      <c r="W97" s="141" t="n">
        <v>0</v>
      </c>
      <c r="X97" s="141" t="n">
        <v>0</v>
      </c>
      <c r="Y97" s="82" t="n">
        <v>0</v>
      </c>
      <c r="Z97" s="82" t="n">
        <v>0</v>
      </c>
      <c r="AA97" s="82" t="n">
        <v>0</v>
      </c>
      <c r="AB97" s="82" t="n">
        <v>0</v>
      </c>
      <c r="AC97" s="82" t="n">
        <v>0</v>
      </c>
      <c r="AD97" s="82" t="n">
        <v>0</v>
      </c>
      <c r="AE97" s="82" t="n">
        <v>0</v>
      </c>
      <c r="AF97" s="82" t="n">
        <v>0</v>
      </c>
      <c r="AG97" s="82" t="n">
        <v>0</v>
      </c>
      <c r="AH97" s="82" t="n">
        <v>0</v>
      </c>
      <c r="AI97" s="82" t="n">
        <v>0</v>
      </c>
      <c r="AJ97" s="141" t="n">
        <v>0</v>
      </c>
      <c r="AK97" s="82" t="n">
        <v>0</v>
      </c>
    </row>
    <row r="98" ht="14.25" customHeight="1" s="87">
      <c r="A98" s="75" t="inlineStr">
        <is>
          <t>23:30</t>
        </is>
      </c>
      <c r="B98" s="139" t="n">
        <v>0</v>
      </c>
      <c r="C98" s="139" t="n">
        <v>0</v>
      </c>
      <c r="D98" s="77" t="n">
        <v>0</v>
      </c>
      <c r="E98" s="139" t="n">
        <v>0</v>
      </c>
      <c r="F98" s="139" t="n">
        <v>0</v>
      </c>
      <c r="G98" s="77" t="n">
        <v>0</v>
      </c>
      <c r="H98" s="146" t="n"/>
      <c r="I98" s="146" t="n"/>
      <c r="J98" s="79" t="n"/>
      <c r="K98" s="139" t="n">
        <v>0</v>
      </c>
      <c r="L98" s="139" t="n">
        <v>0</v>
      </c>
      <c r="M98" s="77" t="n">
        <v>0</v>
      </c>
      <c r="N98" s="77" t="n">
        <v>0</v>
      </c>
      <c r="O98" s="139" t="n">
        <v>0</v>
      </c>
      <c r="P98" s="139" t="n">
        <v>597</v>
      </c>
      <c r="Q98" s="77" t="n">
        <v>0</v>
      </c>
      <c r="R98" s="139" t="n">
        <v>0</v>
      </c>
      <c r="S98" s="139" t="n">
        <v>0</v>
      </c>
      <c r="T98" s="139" t="n">
        <v>597.342</v>
      </c>
      <c r="U98" s="77" t="n">
        <v>0</v>
      </c>
      <c r="V98" s="139" t="n">
        <v>0</v>
      </c>
      <c r="W98" s="139" t="n">
        <v>0</v>
      </c>
      <c r="X98" s="139" t="n">
        <v>0</v>
      </c>
      <c r="Y98" s="77" t="n">
        <v>0</v>
      </c>
      <c r="Z98" s="77" t="n">
        <v>0</v>
      </c>
      <c r="AA98" s="77" t="n">
        <v>0</v>
      </c>
      <c r="AB98" s="77" t="n">
        <v>0</v>
      </c>
      <c r="AC98" s="77" t="n">
        <v>0</v>
      </c>
      <c r="AD98" s="77" t="n">
        <v>0</v>
      </c>
      <c r="AE98" s="77" t="n">
        <v>0</v>
      </c>
      <c r="AF98" s="77" t="n">
        <v>0</v>
      </c>
      <c r="AG98" s="77" t="n">
        <v>0</v>
      </c>
      <c r="AH98" s="77" t="n">
        <v>0</v>
      </c>
      <c r="AI98" s="77" t="n">
        <v>0</v>
      </c>
      <c r="AJ98" s="139" t="n">
        <v>0</v>
      </c>
      <c r="AK98" s="77" t="n">
        <v>0</v>
      </c>
    </row>
    <row r="99" ht="14.25" customHeight="1" s="87">
      <c r="A99" s="80" t="inlineStr">
        <is>
          <t>23:45</t>
        </is>
      </c>
      <c r="B99" s="141" t="n">
        <v>0</v>
      </c>
      <c r="C99" s="141" t="n">
        <v>0</v>
      </c>
      <c r="D99" s="82" t="n">
        <v>0</v>
      </c>
      <c r="E99" s="141" t="n">
        <v>0</v>
      </c>
      <c r="F99" s="141" t="n">
        <v>0</v>
      </c>
      <c r="G99" s="82" t="n">
        <v>0</v>
      </c>
      <c r="H99" s="145" t="n"/>
      <c r="I99" s="145" t="n"/>
      <c r="J99" s="84" t="n"/>
      <c r="K99" s="141" t="n">
        <v>0</v>
      </c>
      <c r="L99" s="141" t="n">
        <v>0</v>
      </c>
      <c r="M99" s="82" t="n">
        <v>0</v>
      </c>
      <c r="N99" s="82" t="n">
        <v>0</v>
      </c>
      <c r="O99" s="141" t="n">
        <v>0</v>
      </c>
      <c r="P99" s="141" t="n">
        <v>596</v>
      </c>
      <c r="Q99" s="82" t="n">
        <v>0</v>
      </c>
      <c r="R99" s="141" t="n">
        <v>0</v>
      </c>
      <c r="S99" s="141" t="n">
        <v>0</v>
      </c>
      <c r="T99" s="141" t="n">
        <v>596.366</v>
      </c>
      <c r="U99" s="82" t="n">
        <v>0</v>
      </c>
      <c r="V99" s="141" t="n">
        <v>0</v>
      </c>
      <c r="W99" s="141" t="n">
        <v>0</v>
      </c>
      <c r="X99" s="141" t="n">
        <v>0</v>
      </c>
      <c r="Y99" s="82" t="n">
        <v>0</v>
      </c>
      <c r="Z99" s="82" t="n">
        <v>0</v>
      </c>
      <c r="AA99" s="82" t="n">
        <v>0</v>
      </c>
      <c r="AB99" s="82" t="n">
        <v>0</v>
      </c>
      <c r="AC99" s="82" t="n">
        <v>0</v>
      </c>
      <c r="AD99" s="82" t="n">
        <v>0</v>
      </c>
      <c r="AE99" s="82" t="n">
        <v>0</v>
      </c>
      <c r="AF99" s="82" t="n">
        <v>0</v>
      </c>
      <c r="AG99" s="82" t="n">
        <v>0</v>
      </c>
      <c r="AH99" s="82" t="n">
        <v>0</v>
      </c>
      <c r="AI99" s="82" t="n">
        <v>0</v>
      </c>
      <c r="AJ99" s="141" t="n">
        <v>0</v>
      </c>
      <c r="AK99" s="82" t="n">
        <v>0</v>
      </c>
    </row>
    <row r="100" ht="14.25" customHeight="1" s="87">
      <c r="A100" s="75" t="inlineStr">
        <is>
          <t>24:00</t>
        </is>
      </c>
      <c r="B100" s="139" t="n">
        <v>0</v>
      </c>
      <c r="C100" s="139" t="n">
        <v>0</v>
      </c>
      <c r="D100" s="77" t="n">
        <v>0</v>
      </c>
      <c r="E100" s="139" t="n">
        <v>0</v>
      </c>
      <c r="F100" s="139" t="n">
        <v>0</v>
      </c>
      <c r="G100" s="77" t="n">
        <v>0</v>
      </c>
      <c r="H100" s="146" t="n"/>
      <c r="I100" s="146" t="n"/>
      <c r="J100" s="79" t="n"/>
      <c r="K100" s="139" t="n">
        <v>0</v>
      </c>
      <c r="L100" s="139" t="n">
        <v>0</v>
      </c>
      <c r="M100" s="77" t="n">
        <v>0</v>
      </c>
      <c r="N100" s="77" t="n">
        <v>0</v>
      </c>
      <c r="O100" s="139" t="n">
        <v>0</v>
      </c>
      <c r="P100" s="139" t="n">
        <v>598.943</v>
      </c>
      <c r="Q100" s="77" t="n">
        <v>0</v>
      </c>
      <c r="R100" s="139" t="n">
        <v>0</v>
      </c>
      <c r="S100" s="139" t="n">
        <v>0</v>
      </c>
      <c r="T100" s="139" t="n">
        <v>599.376</v>
      </c>
      <c r="U100" s="77" t="n">
        <v>0</v>
      </c>
      <c r="V100" s="139" t="n">
        <v>0</v>
      </c>
      <c r="W100" s="139" t="n">
        <v>0</v>
      </c>
      <c r="X100" s="139" t="n">
        <v>0</v>
      </c>
      <c r="Y100" s="77" t="n">
        <v>0</v>
      </c>
      <c r="Z100" s="77" t="n">
        <v>0</v>
      </c>
      <c r="AA100" s="77" t="n">
        <v>0</v>
      </c>
      <c r="AB100" s="77" t="n">
        <v>0</v>
      </c>
      <c r="AC100" s="77" t="n">
        <v>0</v>
      </c>
      <c r="AD100" s="77" t="n">
        <v>0</v>
      </c>
      <c r="AE100" s="77" t="n">
        <v>0</v>
      </c>
      <c r="AF100" s="77" t="n">
        <v>0</v>
      </c>
      <c r="AG100" s="77" t="n">
        <v>0</v>
      </c>
      <c r="AH100" s="77" t="n">
        <v>0</v>
      </c>
      <c r="AI100" s="77" t="n">
        <v>0</v>
      </c>
      <c r="AJ100" s="139" t="n">
        <v>0</v>
      </c>
      <c r="AK100" s="77" t="n">
        <v>0</v>
      </c>
    </row>
    <row r="101" ht="14.25" customHeight="1" s="87">
      <c r="A101" s="80" t="inlineStr">
        <is>
          <t>合计</t>
        </is>
      </c>
      <c r="B101" s="141" t="n">
        <v>0</v>
      </c>
      <c r="C101" s="141" t="n">
        <v>0</v>
      </c>
      <c r="D101" s="82" t="n">
        <v>0</v>
      </c>
      <c r="E101" s="141" t="n">
        <v>0</v>
      </c>
      <c r="F101" s="141" t="n">
        <v>0</v>
      </c>
      <c r="G101" s="82" t="n">
        <v>0</v>
      </c>
      <c r="H101" s="145" t="n"/>
      <c r="I101" s="145" t="n"/>
      <c r="J101" s="84" t="n"/>
      <c r="K101" s="141" t="n">
        <v>0</v>
      </c>
      <c r="L101" s="141" t="n">
        <v>0</v>
      </c>
      <c r="M101" s="82" t="n">
        <v>0</v>
      </c>
      <c r="N101" s="77" t="n">
        <v>0</v>
      </c>
      <c r="O101" s="141" t="n">
        <v>159.928</v>
      </c>
      <c r="P101" s="141" t="n">
        <v>595.3886348231705</v>
      </c>
      <c r="Q101" s="82" t="n">
        <v>95219.31359000001</v>
      </c>
      <c r="R101" s="141" t="n">
        <v>0</v>
      </c>
      <c r="S101" s="141" t="n">
        <v>0</v>
      </c>
      <c r="T101" s="141" t="inlineStr">
        <is>
          <t>-</t>
        </is>
      </c>
      <c r="U101" s="82" t="n">
        <v>0</v>
      </c>
      <c r="V101" s="141" t="n">
        <v>0</v>
      </c>
      <c r="W101" s="141" t="n">
        <v>0</v>
      </c>
      <c r="X101" s="141" t="inlineStr">
        <is>
          <t>-</t>
        </is>
      </c>
      <c r="Y101" s="82" t="n">
        <v>0</v>
      </c>
      <c r="Z101" s="82" t="n">
        <v>0</v>
      </c>
      <c r="AA101" s="82" t="n">
        <v>0</v>
      </c>
      <c r="AB101" s="82" t="n">
        <v>0</v>
      </c>
      <c r="AC101" s="82" t="n">
        <v>0</v>
      </c>
      <c r="AD101" s="77" t="n">
        <v>0</v>
      </c>
      <c r="AE101" s="77" t="n">
        <v>0</v>
      </c>
      <c r="AF101" s="77" t="n">
        <v>0</v>
      </c>
      <c r="AG101" s="82" t="n">
        <v>0</v>
      </c>
      <c r="AH101" s="82" t="n">
        <v>0</v>
      </c>
      <c r="AI101" s="82" t="n">
        <v>0</v>
      </c>
      <c r="AJ101" s="139" t="n">
        <v>159.928</v>
      </c>
      <c r="AK101" s="139" t="n">
        <v>95219.31359000001</v>
      </c>
    </row>
    <row r="102" ht="14.25" customHeight="1" s="87">
      <c r="A102" s="120" t="n"/>
    </row>
    <row r="103" ht="14.25" customHeight="1" s="87">
      <c r="A103" s="120" t="n"/>
    </row>
    <row r="104" ht="14.25" customHeight="1" s="87"/>
    <row r="105" ht="14.25" customHeight="1" s="87"/>
    <row r="106" ht="14.25" customHeight="1" s="87"/>
    <row r="107" ht="14.25" customHeight="1" s="87"/>
    <row r="108" ht="14.25" customHeight="1" s="87">
      <c r="AK108" s="120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8" activePane="bottomLeft" state="frozen"/>
      <selection activeCell="F2" sqref="F2:Q97"/>
      <selection pane="bottomLeft" activeCell="M24" sqref="M24"/>
    </sheetView>
  </sheetViews>
  <sheetFormatPr baseColWidth="8" defaultColWidth="10" defaultRowHeight="15.6"/>
  <cols>
    <col width="30.6640625" customWidth="1" style="27" min="1" max="1"/>
    <col width="16.33203125" customWidth="1" style="27" min="2" max="2"/>
    <col width="21.33203125" customWidth="1" style="27" min="3" max="5"/>
    <col width="10" customWidth="1" style="27" min="6" max="7"/>
    <col width="18.5546875" customWidth="1" style="86" min="8" max="8"/>
    <col width="21.44140625" customWidth="1" style="27" min="9" max="9"/>
    <col width="19.5546875" customWidth="1" style="3" min="10" max="10"/>
    <col width="19.5546875" customWidth="1" style="27" min="11" max="11"/>
    <col width="24.5546875" customWidth="1" style="3" min="12" max="13"/>
    <col width="10" customWidth="1" style="27" min="14" max="16384"/>
  </cols>
  <sheetData>
    <row r="1">
      <c r="A1" s="27" t="inlineStr">
        <is>
          <t>假设</t>
        </is>
      </c>
      <c r="G1" s="27" t="inlineStr">
        <is>
          <t>时点序号</t>
        </is>
      </c>
      <c r="H1" s="86" t="inlineStr"/>
      <c r="I1" s="27" t="inlineStr">
        <is>
          <t>时点</t>
        </is>
      </c>
      <c r="J1" s="3" t="inlineStr">
        <is>
          <t>统一结算日前</t>
        </is>
      </c>
      <c r="K1" s="27" t="inlineStr">
        <is>
          <t>节点日前电价</t>
        </is>
      </c>
      <c r="L1" s="3" t="inlineStr">
        <is>
          <t>真实充电中标</t>
        </is>
      </c>
      <c r="M1" s="3" t="inlineStr">
        <is>
          <t>真实放电中标</t>
        </is>
      </c>
      <c r="N1" s="27" t="inlineStr">
        <is>
          <t>充放电曲线</t>
        </is>
      </c>
    </row>
    <row r="2">
      <c r="A2" s="27" t="inlineStr">
        <is>
          <t>1. 中标按最大值中标，如[-100,-95],按-100中标，[0,95]，按95中标</t>
        </is>
      </c>
      <c r="G2" s="28" t="n">
        <v>1</v>
      </c>
      <c r="H2" s="86" t="inlineStr">
        <is>
          <t>20250922 0015</t>
        </is>
      </c>
      <c r="I2" s="27">
        <f>RIGHT(H2,4)</f>
        <v/>
      </c>
      <c r="J2" t="n">
        <v>426</v>
      </c>
      <c r="K2" t="n">
        <v>426</v>
      </c>
      <c r="L2" s="3">
        <f>IF(N2&lt;=0, N2, 0)</f>
        <v/>
      </c>
      <c r="M2" s="3">
        <f>IF(N2&gt;=0, N2, 0)</f>
        <v/>
      </c>
      <c r="N2" s="27" t="n">
        <v>-2.14</v>
      </c>
    </row>
    <row r="3">
      <c r="G3" s="28" t="n">
        <v>2</v>
      </c>
      <c r="H3" s="86" t="inlineStr">
        <is>
          <t>20250922 0030</t>
        </is>
      </c>
      <c r="I3" s="27">
        <f>RIGHT(H3,4)</f>
        <v/>
      </c>
      <c r="J3" t="n">
        <v>414.24</v>
      </c>
      <c r="K3" t="n">
        <v>414.24</v>
      </c>
      <c r="L3" s="3">
        <f>IF(N3&lt;=0, N3, 0)</f>
        <v/>
      </c>
      <c r="M3" s="3">
        <f>IF(N3&gt;=0, N3, 0)</f>
        <v/>
      </c>
      <c r="N3" s="27" t="n">
        <v>0</v>
      </c>
    </row>
    <row r="4" ht="16.2" customHeight="1" s="87" thickBot="1">
      <c r="G4" s="28" t="n">
        <v>3</v>
      </c>
      <c r="H4" s="86" t="inlineStr">
        <is>
          <t>20250922 0045</t>
        </is>
      </c>
      <c r="I4" s="27">
        <f>RIGHT(H4,4)</f>
        <v/>
      </c>
      <c r="J4" t="n">
        <v>416</v>
      </c>
      <c r="K4" t="n">
        <v>416</v>
      </c>
      <c r="L4" s="3">
        <f>IF(N4&lt;=0, N4, 0)</f>
        <v/>
      </c>
      <c r="M4" s="3">
        <f>IF(N4&gt;=0, N4, 0)</f>
        <v/>
      </c>
      <c r="N4" s="27" t="n">
        <v>0</v>
      </c>
    </row>
    <row r="5" ht="16.2" customHeight="1" s="87" thickTop="1">
      <c r="A5" s="4" t="inlineStr">
        <is>
          <t>序号</t>
        </is>
      </c>
      <c r="B5" s="5" t="inlineStr">
        <is>
          <t>类型</t>
        </is>
      </c>
      <c r="C5" s="5" t="inlineStr">
        <is>
          <t>开始出力（MW）</t>
        </is>
      </c>
      <c r="D5" s="5" t="inlineStr">
        <is>
          <t>结束出力（MW）</t>
        </is>
      </c>
      <c r="E5" s="29" t="inlineStr">
        <is>
          <t>报价（元/MWh）</t>
        </is>
      </c>
      <c r="G5" s="28" t="n">
        <v>4</v>
      </c>
      <c r="H5" s="86" t="inlineStr">
        <is>
          <t>20250922 0100</t>
        </is>
      </c>
      <c r="I5" s="27">
        <f>RIGHT(H5,4)</f>
        <v/>
      </c>
      <c r="J5" t="n">
        <v>414</v>
      </c>
      <c r="K5" t="n">
        <v>414</v>
      </c>
      <c r="L5" s="3">
        <f>IF(N5&lt;=0, N5, 0)</f>
        <v/>
      </c>
      <c r="M5" s="3">
        <f>IF(N5&gt;=0, N5, 0)</f>
        <v/>
      </c>
      <c r="N5" s="27" t="n">
        <v>0</v>
      </c>
    </row>
    <row r="6">
      <c r="A6" s="6" t="n">
        <v>1</v>
      </c>
      <c r="B6" s="3" t="inlineStr">
        <is>
          <t>充电</t>
        </is>
      </c>
      <c r="C6" s="3" t="n">
        <v>-100</v>
      </c>
      <c r="D6" s="3" t="n">
        <v>-95</v>
      </c>
      <c r="E6" s="45" t="n">
        <v>0</v>
      </c>
      <c r="G6" s="28" t="n">
        <v>5</v>
      </c>
      <c r="H6" s="86" t="inlineStr">
        <is>
          <t>20250922 0115</t>
        </is>
      </c>
      <c r="I6" s="27">
        <f>RIGHT(H6,4)</f>
        <v/>
      </c>
      <c r="J6" t="n">
        <v>417.396</v>
      </c>
      <c r="K6" t="n">
        <v>417.396</v>
      </c>
      <c r="L6" s="3">
        <f>IF(N6&lt;=0, N6, 0)</f>
        <v/>
      </c>
      <c r="M6" s="3">
        <f>IF(N6&gt;=0, N6, 0)</f>
        <v/>
      </c>
      <c r="N6" s="27" t="n">
        <v>0</v>
      </c>
    </row>
    <row r="7">
      <c r="A7" s="6" t="n">
        <v>2</v>
      </c>
      <c r="B7" s="3" t="inlineStr">
        <is>
          <t>充电</t>
        </is>
      </c>
      <c r="C7" s="3" t="n">
        <v>-95</v>
      </c>
      <c r="D7" s="3" t="n">
        <v>0</v>
      </c>
      <c r="E7" s="30" t="n">
        <v>100</v>
      </c>
      <c r="G7" s="28" t="n">
        <v>6</v>
      </c>
      <c r="H7" s="86" t="inlineStr">
        <is>
          <t>20250922 0130</t>
        </is>
      </c>
      <c r="I7" s="27">
        <f>RIGHT(H7,4)</f>
        <v/>
      </c>
      <c r="J7" t="n">
        <v>412.6</v>
      </c>
      <c r="K7" t="n">
        <v>412.6</v>
      </c>
      <c r="L7" s="3">
        <f>IF(N7&lt;=0, N7, 0)</f>
        <v/>
      </c>
      <c r="M7" s="3">
        <f>IF(N7&gt;=0, N7, 0)</f>
        <v/>
      </c>
      <c r="N7" s="27" t="n">
        <v>0</v>
      </c>
    </row>
    <row r="8">
      <c r="A8" s="6" t="n">
        <v>3</v>
      </c>
      <c r="B8" s="3" t="inlineStr">
        <is>
          <t>充电</t>
        </is>
      </c>
      <c r="C8" s="3" t="n"/>
      <c r="D8" s="3" t="n"/>
      <c r="E8" s="30" t="n"/>
      <c r="G8" s="28" t="n">
        <v>7</v>
      </c>
      <c r="H8" s="86" t="inlineStr">
        <is>
          <t>20250922 0145</t>
        </is>
      </c>
      <c r="I8" s="27">
        <f>RIGHT(H8,4)</f>
        <v/>
      </c>
      <c r="J8" t="n">
        <v>412</v>
      </c>
      <c r="K8" t="n">
        <v>412</v>
      </c>
      <c r="L8" s="3">
        <f>IF(N8&lt;=0, N8, 0)</f>
        <v/>
      </c>
      <c r="M8" s="3">
        <f>IF(N8&gt;=0, N8, 0)</f>
        <v/>
      </c>
      <c r="N8" s="27" t="n">
        <v>0</v>
      </c>
    </row>
    <row r="9">
      <c r="A9" s="6" t="n">
        <v>4</v>
      </c>
      <c r="B9" s="3" t="inlineStr">
        <is>
          <t>充电</t>
        </is>
      </c>
      <c r="C9" s="3" t="n"/>
      <c r="D9" s="3" t="n"/>
      <c r="E9" s="30" t="n"/>
      <c r="G9" s="28" t="n">
        <v>8</v>
      </c>
      <c r="H9" s="86" t="inlineStr">
        <is>
          <t>20250922 0200</t>
        </is>
      </c>
      <c r="I9" s="27">
        <f>RIGHT(H9,4)</f>
        <v/>
      </c>
      <c r="J9" t="n">
        <v>408.36</v>
      </c>
      <c r="K9" t="n">
        <v>408.36</v>
      </c>
      <c r="L9" s="3">
        <f>IF(N9&lt;=0, N9, 0)</f>
        <v/>
      </c>
      <c r="M9" s="3">
        <f>IF(N9&gt;=0, N9, 0)</f>
        <v/>
      </c>
      <c r="N9" s="27" t="n">
        <v>0</v>
      </c>
    </row>
    <row r="10">
      <c r="A10" s="6" t="n">
        <v>5</v>
      </c>
      <c r="B10" s="3" t="inlineStr">
        <is>
          <t>充电</t>
        </is>
      </c>
      <c r="C10" s="3" t="n"/>
      <c r="D10" s="3" t="n"/>
      <c r="E10" s="30" t="n"/>
      <c r="G10" s="28" t="n">
        <v>9</v>
      </c>
      <c r="H10" s="86" t="inlineStr">
        <is>
          <t>20250922 0215</t>
        </is>
      </c>
      <c r="I10" s="27">
        <f>RIGHT(H10,4)</f>
        <v/>
      </c>
      <c r="J10" t="n">
        <v>408</v>
      </c>
      <c r="K10" t="n">
        <v>408</v>
      </c>
      <c r="L10" s="3">
        <f>IF(N10&lt;=0, N10, 0)</f>
        <v/>
      </c>
      <c r="M10" s="3">
        <f>IF(N10&gt;=0, N10, 0)</f>
        <v/>
      </c>
      <c r="N10" s="27" t="n">
        <v>0</v>
      </c>
    </row>
    <row r="11">
      <c r="A11" s="6" t="n">
        <v>6</v>
      </c>
      <c r="B11" s="3" t="inlineStr">
        <is>
          <t>放电</t>
        </is>
      </c>
      <c r="C11" s="3" t="n">
        <v>0</v>
      </c>
      <c r="D11" s="3" t="n">
        <v>95</v>
      </c>
      <c r="E11" s="30" t="n">
        <v>250</v>
      </c>
      <c r="G11" s="28" t="n">
        <v>10</v>
      </c>
      <c r="H11" s="86" t="inlineStr">
        <is>
          <t>20250922 0230</t>
        </is>
      </c>
      <c r="I11" s="27">
        <f>RIGHT(H11,4)</f>
        <v/>
      </c>
      <c r="J11" t="n">
        <v>396</v>
      </c>
      <c r="K11" t="n">
        <v>396</v>
      </c>
      <c r="L11" s="3">
        <f>IF(N11&lt;=0, N11, 0)</f>
        <v/>
      </c>
      <c r="M11" s="3">
        <f>IF(N11&gt;=0, N11, 0)</f>
        <v/>
      </c>
      <c r="N11" s="27" t="n">
        <v>0</v>
      </c>
    </row>
    <row r="12">
      <c r="A12" s="6" t="n">
        <v>7</v>
      </c>
      <c r="B12" s="3" t="inlineStr">
        <is>
          <t>放电</t>
        </is>
      </c>
      <c r="C12" s="3" t="n">
        <v>95</v>
      </c>
      <c r="D12" s="3" t="n">
        <v>100</v>
      </c>
      <c r="E12" s="45" t="n">
        <v>300</v>
      </c>
      <c r="G12" s="28" t="n">
        <v>11</v>
      </c>
      <c r="H12" s="86" t="inlineStr">
        <is>
          <t>20250922 0245</t>
        </is>
      </c>
      <c r="I12" s="27">
        <f>RIGHT(H12,4)</f>
        <v/>
      </c>
      <c r="J12" t="n">
        <v>379.44</v>
      </c>
      <c r="K12" t="n">
        <v>379.44</v>
      </c>
      <c r="L12" s="3">
        <f>IF(N12&lt;=0, N12, 0)</f>
        <v/>
      </c>
      <c r="M12" s="3">
        <f>IF(N12&gt;=0, N12, 0)</f>
        <v/>
      </c>
      <c r="N12" s="27" t="n">
        <v>0</v>
      </c>
    </row>
    <row r="13">
      <c r="A13" s="6" t="n">
        <v>8</v>
      </c>
      <c r="B13" s="3" t="inlineStr">
        <is>
          <t>放电</t>
        </is>
      </c>
      <c r="C13" s="3" t="n"/>
      <c r="D13" s="3" t="n"/>
      <c r="E13" s="45" t="n"/>
      <c r="G13" s="28" t="n">
        <v>12</v>
      </c>
      <c r="H13" s="86" t="inlineStr">
        <is>
          <t>20250922 0300</t>
        </is>
      </c>
      <c r="I13" s="27">
        <f>RIGHT(H13,4)</f>
        <v/>
      </c>
      <c r="J13" t="n">
        <v>370.8</v>
      </c>
      <c r="K13" t="n">
        <v>370.8</v>
      </c>
      <c r="L13" s="3">
        <f>IF(N13&lt;=0, N13, 0)</f>
        <v/>
      </c>
      <c r="M13" s="3">
        <f>IF(N13&gt;=0, N13, 0)</f>
        <v/>
      </c>
      <c r="N13" s="27" t="n">
        <v>0</v>
      </c>
    </row>
    <row r="14">
      <c r="A14" s="6" t="n">
        <v>9</v>
      </c>
      <c r="B14" s="3" t="inlineStr">
        <is>
          <t>放电</t>
        </is>
      </c>
      <c r="C14" s="3" t="n"/>
      <c r="D14" s="3" t="n"/>
      <c r="E14" s="30" t="n"/>
      <c r="G14" s="28" t="n">
        <v>13</v>
      </c>
      <c r="H14" s="86" t="inlineStr">
        <is>
          <t>20250922 0315</t>
        </is>
      </c>
      <c r="I14" s="27">
        <f>RIGHT(H14,4)</f>
        <v/>
      </c>
      <c r="J14" t="n">
        <v>367.358</v>
      </c>
      <c r="K14" t="n">
        <v>367.358</v>
      </c>
      <c r="L14" s="3">
        <f>IF(N14&lt;=0, N14, 0)</f>
        <v/>
      </c>
      <c r="M14" s="3">
        <f>IF(N14&gt;=0, N14, 0)</f>
        <v/>
      </c>
      <c r="N14" s="27" t="n">
        <v>0</v>
      </c>
    </row>
    <row r="15" ht="16.2" customHeight="1" s="87" thickBot="1">
      <c r="A15" s="7" t="n">
        <v>10</v>
      </c>
      <c r="B15" s="8" t="inlineStr">
        <is>
          <t>放电</t>
        </is>
      </c>
      <c r="C15" s="8" t="n"/>
      <c r="D15" s="8" t="n"/>
      <c r="E15" s="31" t="n"/>
      <c r="G15" s="28" t="n">
        <v>14</v>
      </c>
      <c r="H15" s="86" t="inlineStr">
        <is>
          <t>20250922 0330</t>
        </is>
      </c>
      <c r="I15" s="27">
        <f>RIGHT(H15,4)</f>
        <v/>
      </c>
      <c r="J15" t="n">
        <v>376</v>
      </c>
      <c r="K15" t="n">
        <v>376</v>
      </c>
      <c r="L15" s="3">
        <f>IF(N15&lt;=0, N15, 0)</f>
        <v/>
      </c>
      <c r="M15" s="3">
        <f>IF(N15&gt;=0, N15, 0)</f>
        <v/>
      </c>
      <c r="N15" s="27" t="n">
        <v>0</v>
      </c>
    </row>
    <row r="16" ht="16.2" customHeight="1" s="87" thickTop="1">
      <c r="G16" s="28" t="n">
        <v>15</v>
      </c>
      <c r="H16" s="86" t="inlineStr">
        <is>
          <t>20250922 0345</t>
        </is>
      </c>
      <c r="I16" s="27">
        <f>RIGHT(H16,4)</f>
        <v/>
      </c>
      <c r="J16" t="n">
        <v>373</v>
      </c>
      <c r="K16" t="n">
        <v>373</v>
      </c>
      <c r="L16" s="3">
        <f>IF(N16&lt;=0, N16, 0)</f>
        <v/>
      </c>
      <c r="M16" s="3">
        <f>IF(N16&gt;=0, N16, 0)</f>
        <v/>
      </c>
      <c r="N16" s="27" t="n">
        <v>0</v>
      </c>
    </row>
    <row r="17" ht="16.2" customHeight="1" s="87" thickBot="1">
      <c r="G17" s="28" t="n">
        <v>16</v>
      </c>
      <c r="H17" s="86" t="inlineStr">
        <is>
          <t>20250922 0400</t>
        </is>
      </c>
      <c r="I17" s="27">
        <f>RIGHT(H17,4)</f>
        <v/>
      </c>
      <c r="J17" t="n">
        <v>372.56</v>
      </c>
      <c r="K17" t="n">
        <v>372.56</v>
      </c>
      <c r="L17" s="3">
        <f>IF(N17&lt;=0, N17, 0)</f>
        <v/>
      </c>
      <c r="M17" s="3">
        <f>IF(N17&gt;=0, N17, 0)</f>
        <v/>
      </c>
      <c r="N17" s="27" t="n">
        <v>0</v>
      </c>
    </row>
    <row r="18" ht="16.2" customHeight="1" s="87" thickTop="1">
      <c r="A18" s="9" t="inlineStr">
        <is>
          <t>初始电量（MWh)</t>
        </is>
      </c>
      <c r="B18" s="10" t="n">
        <v>0</v>
      </c>
      <c r="G18" s="28" t="n">
        <v>17</v>
      </c>
      <c r="H18" s="86" t="inlineStr">
        <is>
          <t>20250922 0415</t>
        </is>
      </c>
      <c r="I18" s="27">
        <f>RIGHT(H18,4)</f>
        <v/>
      </c>
      <c r="J18" t="n">
        <v>379.44</v>
      </c>
      <c r="K18" t="n">
        <v>379.44</v>
      </c>
      <c r="L18" s="3">
        <f>IF(N18&lt;=0, N18, 0)</f>
        <v/>
      </c>
      <c r="M18" s="3">
        <f>IF(N18&gt;=0, N18, 0)</f>
        <v/>
      </c>
      <c r="N18" s="27" t="n">
        <v>0</v>
      </c>
    </row>
    <row r="19">
      <c r="A19" s="11" t="inlineStr">
        <is>
          <t>额定装机（MW）</t>
        </is>
      </c>
      <c r="B19" s="12" t="n">
        <v>100</v>
      </c>
      <c r="G19" s="28" t="n">
        <v>18</v>
      </c>
      <c r="H19" s="86" t="inlineStr">
        <is>
          <t>20250922 0430</t>
        </is>
      </c>
      <c r="I19" s="27">
        <f>RIGHT(H19,4)</f>
        <v/>
      </c>
      <c r="J19" t="n">
        <v>388.56</v>
      </c>
      <c r="K19" t="n">
        <v>388.56</v>
      </c>
      <c r="L19" s="3">
        <f>IF(N19&lt;=0, N19, 0)</f>
        <v/>
      </c>
      <c r="M19" s="3">
        <f>IF(N19&gt;=0, N19, 0)</f>
        <v/>
      </c>
      <c r="N19" s="27" t="n">
        <v>0</v>
      </c>
    </row>
    <row r="20">
      <c r="A20" s="11" t="inlineStr">
        <is>
          <t>最大电量（MWh)</t>
        </is>
      </c>
      <c r="B20" s="12" t="n">
        <v>180</v>
      </c>
      <c r="G20" s="28" t="n">
        <v>19</v>
      </c>
      <c r="H20" s="86" t="inlineStr">
        <is>
          <t>20250922 0445</t>
        </is>
      </c>
      <c r="I20" s="27">
        <f>RIGHT(H20,4)</f>
        <v/>
      </c>
      <c r="J20" t="n">
        <v>398</v>
      </c>
      <c r="K20" t="n">
        <v>398</v>
      </c>
      <c r="L20" s="3">
        <f>IF(N20&lt;=0, N20, 0)</f>
        <v/>
      </c>
      <c r="M20" s="3">
        <f>IF(N20&gt;=0, N20, 0)</f>
        <v/>
      </c>
      <c r="N20" s="27" t="n">
        <v>0</v>
      </c>
    </row>
    <row r="21" ht="16.2" customHeight="1" s="87" thickBot="1">
      <c r="A21" s="13" t="inlineStr">
        <is>
          <t>综合使用效率</t>
        </is>
      </c>
      <c r="B21" s="14" t="n">
        <v>0.9</v>
      </c>
      <c r="G21" s="28" t="n">
        <v>20</v>
      </c>
      <c r="H21" s="86" t="inlineStr">
        <is>
          <t>20250922 0500</t>
        </is>
      </c>
      <c r="I21" s="27">
        <f>RIGHT(H21,4)</f>
        <v/>
      </c>
      <c r="J21" t="n">
        <v>412</v>
      </c>
      <c r="K21" t="n">
        <v>412</v>
      </c>
      <c r="L21" s="3">
        <f>IF(N21&lt;=0, N21, 0)</f>
        <v/>
      </c>
      <c r="M21" s="3">
        <f>IF(N21&gt;=0, N21, 0)</f>
        <v/>
      </c>
      <c r="N21" s="27" t="n">
        <v>0</v>
      </c>
    </row>
    <row r="22" ht="16.2" customHeight="1" s="87" thickTop="1">
      <c r="G22" s="28" t="n">
        <v>21</v>
      </c>
      <c r="H22" s="86" t="inlineStr">
        <is>
          <t>20250922 0515</t>
        </is>
      </c>
      <c r="I22" s="27">
        <f>RIGHT(H22,4)</f>
        <v/>
      </c>
      <c r="J22" t="n">
        <v>422.727</v>
      </c>
      <c r="K22" t="n">
        <v>422.727</v>
      </c>
      <c r="L22" s="3">
        <f>IF(N22&lt;=0, N22, 0)</f>
        <v/>
      </c>
      <c r="M22" s="3">
        <f>IF(N22&gt;=0, N22, 0)</f>
        <v/>
      </c>
      <c r="N22" s="27" t="n">
        <v>0.51</v>
      </c>
    </row>
    <row r="23">
      <c r="G23" s="28" t="n">
        <v>22</v>
      </c>
      <c r="H23" s="86" t="inlineStr">
        <is>
          <t>20250922 0530</t>
        </is>
      </c>
      <c r="I23" s="27">
        <f>RIGHT(H23,4)</f>
        <v/>
      </c>
      <c r="J23" t="n">
        <v>400.8</v>
      </c>
      <c r="K23" t="n">
        <v>400.8</v>
      </c>
      <c r="L23" s="3">
        <f>IF(N23&lt;=0, N23, 0)</f>
        <v/>
      </c>
      <c r="M23" s="3">
        <f>IF(N23&gt;=0, N23, 0)</f>
        <v/>
      </c>
      <c r="N23" s="27" t="n">
        <v>0.51</v>
      </c>
    </row>
    <row r="24" ht="16.2" customHeight="1" s="87" thickBot="1">
      <c r="G24" s="28" t="n">
        <v>23</v>
      </c>
      <c r="H24" s="86" t="inlineStr">
        <is>
          <t>20250922 0545</t>
        </is>
      </c>
      <c r="I24" s="27">
        <f>RIGHT(H24,4)</f>
        <v/>
      </c>
      <c r="J24" t="n">
        <v>386.4</v>
      </c>
      <c r="K24" t="n">
        <v>386.4</v>
      </c>
      <c r="L24" s="3">
        <f>IF(N24&lt;=0, N24, 0)</f>
        <v/>
      </c>
      <c r="M24" s="3">
        <f>IF(N24&gt;=0, N24, 0)</f>
        <v/>
      </c>
      <c r="N24" s="27" t="n">
        <v>0</v>
      </c>
    </row>
    <row r="25" ht="16.2" customHeight="1" s="87" thickTop="1">
      <c r="A25" s="15" t="inlineStr">
        <is>
          <t>充电电量（MWh)</t>
        </is>
      </c>
      <c r="B25" s="16">
        <f>SUM(L:L)/4</f>
        <v/>
      </c>
      <c r="C25" s="16" t="inlineStr">
        <is>
          <t>放电电量（MWh)</t>
        </is>
      </c>
      <c r="D25" s="17">
        <f>SUM(M:M)/4</f>
        <v/>
      </c>
      <c r="G25" s="28" t="n">
        <v>24</v>
      </c>
      <c r="H25" s="86" t="inlineStr">
        <is>
          <t>20250922 0600</t>
        </is>
      </c>
      <c r="I25" s="27">
        <f>RIGHT(H25,4)</f>
        <v/>
      </c>
      <c r="J25" t="n">
        <v>356</v>
      </c>
      <c r="K25" t="n">
        <v>356</v>
      </c>
      <c r="L25" s="3">
        <f>IF(N25&lt;=0, N25, 0)</f>
        <v/>
      </c>
      <c r="M25" s="3">
        <f>IF(N25&gt;=0, N25, 0)</f>
        <v/>
      </c>
      <c r="N25" s="27" t="n">
        <v>0</v>
      </c>
    </row>
    <row r="26">
      <c r="A26" s="18" t="inlineStr">
        <is>
          <t>充电均价(元/MWh）</t>
        </is>
      </c>
      <c r="B26" s="19">
        <f>B27/B25</f>
        <v/>
      </c>
      <c r="C26" s="27" t="inlineStr">
        <is>
          <t>放电均价(元/MWh）</t>
        </is>
      </c>
      <c r="D26" s="20">
        <f>D27/D25</f>
        <v/>
      </c>
      <c r="G26" s="28" t="n">
        <v>25</v>
      </c>
      <c r="H26" s="86" t="inlineStr">
        <is>
          <t>20250922 0615</t>
        </is>
      </c>
      <c r="I26" s="27">
        <f>RIGHT(H26,4)</f>
        <v/>
      </c>
      <c r="J26" t="n">
        <v>292</v>
      </c>
      <c r="K26" t="n">
        <v>292</v>
      </c>
      <c r="L26" s="3">
        <f>IF(N26&lt;=0, N26, 0)</f>
        <v/>
      </c>
      <c r="M26" s="3">
        <f>IF(N26&gt;=0, N26, 0)</f>
        <v/>
      </c>
      <c r="N26" s="27" t="n">
        <v>0</v>
      </c>
    </row>
    <row r="27">
      <c r="A27" s="18" t="inlineStr">
        <is>
          <t>充电费用（元,正数代表收入）</t>
        </is>
      </c>
      <c r="B27" s="21">
        <f>SUMPRODUCT(J:J,L:L)/4</f>
        <v/>
      </c>
      <c r="C27" s="27" t="inlineStr">
        <is>
          <t>放电收益（元,正数代表收入）</t>
        </is>
      </c>
      <c r="D27" s="22">
        <f t="array" ref="D27">SUMPRODUCT(K:K,M:M)/4</f>
        <v/>
      </c>
      <c r="G27" s="28" t="n">
        <v>26</v>
      </c>
      <c r="H27" s="86" t="inlineStr">
        <is>
          <t>20250922 0630</t>
        </is>
      </c>
      <c r="I27" s="27">
        <f>RIGHT(H27,4)</f>
        <v/>
      </c>
      <c r="J27" t="n">
        <v>-14</v>
      </c>
      <c r="K27" t="n">
        <v>-14</v>
      </c>
      <c r="L27" s="3">
        <f>IF(N27&lt;=0, N27, 0)</f>
        <v/>
      </c>
      <c r="M27" s="3">
        <f>IF(N27&gt;=0, N27, 0)</f>
        <v/>
      </c>
      <c r="N27" s="27" t="n">
        <v>0</v>
      </c>
    </row>
    <row r="28" ht="16.2" customHeight="1" s="87" thickBot="1">
      <c r="A28" s="23" t="inlineStr">
        <is>
          <t>充放电价差(元/MWh）</t>
        </is>
      </c>
      <c r="B28" s="147">
        <f>D26-B26</f>
        <v/>
      </c>
      <c r="C28" s="25" t="inlineStr">
        <is>
          <t>充放电收益(元/MWh）</t>
        </is>
      </c>
      <c r="D28" s="26">
        <f>D27+B27</f>
        <v/>
      </c>
      <c r="G28" s="28" t="n">
        <v>27</v>
      </c>
      <c r="H28" s="86" t="inlineStr">
        <is>
          <t>20250922 0645</t>
        </is>
      </c>
      <c r="I28" s="27">
        <f>RIGHT(H28,4)</f>
        <v/>
      </c>
      <c r="J28" t="n">
        <v>313.333</v>
      </c>
      <c r="K28" t="n">
        <v>313.333</v>
      </c>
      <c r="L28" s="3">
        <f>IF(N28&lt;=0, N28, 0)</f>
        <v/>
      </c>
      <c r="M28" s="3">
        <f>IF(N28&gt;=0, N28, 0)</f>
        <v/>
      </c>
      <c r="N28" s="27" t="n">
        <v>0</v>
      </c>
    </row>
    <row r="29" ht="16.2" customHeight="1" s="87" thickTop="1">
      <c r="G29" s="28" t="n">
        <v>28</v>
      </c>
      <c r="H29" s="86" t="inlineStr">
        <is>
          <t>20250922 0700</t>
        </is>
      </c>
      <c r="I29" s="27">
        <f>RIGHT(H29,4)</f>
        <v/>
      </c>
      <c r="J29" t="n">
        <v>0</v>
      </c>
      <c r="K29" t="n">
        <v>0</v>
      </c>
      <c r="L29" s="3">
        <f>IF(N29&lt;=0, N29, 0)</f>
        <v/>
      </c>
      <c r="M29" s="3">
        <f>IF(N29&gt;=0, N29, 0)</f>
        <v/>
      </c>
      <c r="N29" s="27" t="n">
        <v>0</v>
      </c>
    </row>
    <row r="30">
      <c r="D30" s="47">
        <f>充放测算!O4</f>
        <v/>
      </c>
      <c r="G30" s="28" t="n">
        <v>29</v>
      </c>
      <c r="H30" s="86" t="inlineStr">
        <is>
          <t>20250922 0715</t>
        </is>
      </c>
      <c r="I30" s="27">
        <f>RIGHT(H30,4)</f>
        <v/>
      </c>
      <c r="J30" t="n">
        <v>-80</v>
      </c>
      <c r="K30" t="n">
        <v>-80</v>
      </c>
      <c r="L30" s="3">
        <f>IF(N30&lt;=0, N30, 0)</f>
        <v/>
      </c>
      <c r="M30" s="3">
        <f>IF(N30&gt;=0, N30, 0)</f>
        <v/>
      </c>
      <c r="N30" s="27" t="n">
        <v>0</v>
      </c>
    </row>
    <row r="31">
      <c r="G31" s="28" t="n">
        <v>30</v>
      </c>
      <c r="H31" s="86" t="inlineStr">
        <is>
          <t>20250922 0730</t>
        </is>
      </c>
      <c r="I31" s="27">
        <f>RIGHT(H31,4)</f>
        <v/>
      </c>
      <c r="J31" t="n">
        <v>-80</v>
      </c>
      <c r="K31" t="n">
        <v>-80</v>
      </c>
      <c r="L31" s="3">
        <f>IF(N31&lt;=0, N31, 0)</f>
        <v/>
      </c>
      <c r="M31" s="3">
        <f>IF(N31&gt;=0, N31, 0)</f>
        <v/>
      </c>
      <c r="N31" s="27" t="n">
        <v>0</v>
      </c>
    </row>
    <row r="32">
      <c r="G32" s="28" t="n">
        <v>31</v>
      </c>
      <c r="H32" s="86" t="inlineStr">
        <is>
          <t>20250922 0745</t>
        </is>
      </c>
      <c r="I32" s="27">
        <f>RIGHT(H32,4)</f>
        <v/>
      </c>
      <c r="J32" t="n">
        <v>-80</v>
      </c>
      <c r="K32" t="n">
        <v>-80</v>
      </c>
      <c r="L32" s="3">
        <f>IF(N32&lt;=0, N32, 0)</f>
        <v/>
      </c>
      <c r="M32" s="3">
        <f>IF(N32&gt;=0, N32, 0)</f>
        <v/>
      </c>
      <c r="N32" s="27" t="n">
        <v>0</v>
      </c>
    </row>
    <row r="33" ht="16.2" customHeight="1" s="87" thickBot="1">
      <c r="G33" s="28" t="n">
        <v>32</v>
      </c>
      <c r="H33" s="86" t="inlineStr">
        <is>
          <t>20250922 0800</t>
        </is>
      </c>
      <c r="I33" s="27">
        <f>RIGHT(H33,4)</f>
        <v/>
      </c>
      <c r="J33" t="n">
        <v>-80</v>
      </c>
      <c r="K33" t="n">
        <v>-80</v>
      </c>
      <c r="L33" s="3">
        <f>IF(N33&lt;=0, N33, 0)</f>
        <v/>
      </c>
      <c r="M33" s="3">
        <f>IF(N33&gt;=0, N33, 0)</f>
        <v/>
      </c>
      <c r="N33" s="27" t="n">
        <v>0</v>
      </c>
    </row>
    <row r="34">
      <c r="A34" s="88" t="inlineStr">
        <is>
          <t>序号</t>
        </is>
      </c>
      <c r="B34" s="89" t="inlineStr">
        <is>
          <t>类型</t>
        </is>
      </c>
      <c r="C34" s="89" t="inlineStr">
        <is>
          <t>开始出力（MW）</t>
        </is>
      </c>
      <c r="D34" s="89" t="inlineStr">
        <is>
          <t>结束出力（MW）</t>
        </is>
      </c>
      <c r="E34" s="90" t="inlineStr">
        <is>
          <t>报价(元/MWh)</t>
        </is>
      </c>
      <c r="G34" s="28" t="n">
        <v>33</v>
      </c>
      <c r="H34" s="86" t="inlineStr">
        <is>
          <t>20250922 0815</t>
        </is>
      </c>
      <c r="I34" s="27">
        <f>RIGHT(H34,4)</f>
        <v/>
      </c>
      <c r="J34" t="n">
        <v>-80</v>
      </c>
      <c r="K34" t="n">
        <v>-80</v>
      </c>
      <c r="L34" s="3">
        <f>IF(N34&lt;=0, N34, 0)</f>
        <v/>
      </c>
      <c r="M34" s="3">
        <f>IF(N34&gt;=0, N34, 0)</f>
        <v/>
      </c>
      <c r="N34" s="27" t="n">
        <v>0</v>
      </c>
    </row>
    <row r="35">
      <c r="A35" s="91" t="n"/>
      <c r="B35" s="92" t="n"/>
      <c r="C35" s="92" t="n"/>
      <c r="D35" s="92" t="n"/>
      <c r="E35" s="93" t="n"/>
      <c r="G35" s="28" t="n">
        <v>34</v>
      </c>
      <c r="H35" s="86" t="inlineStr">
        <is>
          <t>20250922 0830</t>
        </is>
      </c>
      <c r="I35" s="27">
        <f>RIGHT(H35,4)</f>
        <v/>
      </c>
      <c r="J35" t="n">
        <v>-80</v>
      </c>
      <c r="K35" t="n">
        <v>-80</v>
      </c>
      <c r="L35" s="3">
        <f>IF(N35&lt;=0, N35, 0)</f>
        <v/>
      </c>
      <c r="M35" s="3">
        <f>IF(N35&gt;=0, N35, 0)</f>
        <v/>
      </c>
      <c r="N35" s="27" t="n">
        <v>0</v>
      </c>
    </row>
    <row r="36" ht="16.2" customHeight="1" s="87" thickBot="1">
      <c r="A36" s="94" t="n">
        <v>1</v>
      </c>
      <c r="B36" s="95" t="inlineStr">
        <is>
          <t>充电</t>
        </is>
      </c>
      <c r="C36" s="95" t="n">
        <v>-100</v>
      </c>
      <c r="D36" s="95" t="n">
        <v>-95</v>
      </c>
      <c r="E36" s="95" t="n">
        <v>0</v>
      </c>
      <c r="G36" s="28" t="n">
        <v>35</v>
      </c>
      <c r="H36" s="86" t="inlineStr">
        <is>
          <t>20250922 0845</t>
        </is>
      </c>
      <c r="I36" s="27">
        <f>RIGHT(H36,4)</f>
        <v/>
      </c>
      <c r="J36" t="n">
        <v>-80</v>
      </c>
      <c r="K36" t="n">
        <v>-80</v>
      </c>
      <c r="L36" s="3">
        <f>IF(N36&lt;=0, N36, 0)</f>
        <v/>
      </c>
      <c r="M36" s="3">
        <f>IF(N36&gt;=0, N36, 0)</f>
        <v/>
      </c>
      <c r="N36" s="27" t="n">
        <v>0</v>
      </c>
    </row>
    <row r="37" ht="16.2" customHeight="1" s="87" thickBot="1">
      <c r="A37" s="96" t="n">
        <v>2</v>
      </c>
      <c r="B37" s="97" t="inlineStr">
        <is>
          <t>充电</t>
        </is>
      </c>
      <c r="C37" s="97" t="n">
        <v>-95</v>
      </c>
      <c r="D37" s="97" t="n">
        <v>0</v>
      </c>
      <c r="E37" s="97" t="n">
        <v>150</v>
      </c>
      <c r="G37" s="28" t="n">
        <v>36</v>
      </c>
      <c r="H37" s="86" t="inlineStr">
        <is>
          <t>20250922 0900</t>
        </is>
      </c>
      <c r="I37" s="27">
        <f>RIGHT(H37,4)</f>
        <v/>
      </c>
      <c r="J37" t="n">
        <v>-80</v>
      </c>
      <c r="K37" t="n">
        <v>-80</v>
      </c>
      <c r="L37" s="3">
        <f>IF(N37&lt;=0, N37, 0)</f>
        <v/>
      </c>
      <c r="M37" s="3">
        <f>IF(N37&gt;=0, N37, 0)</f>
        <v/>
      </c>
      <c r="N37" s="27" t="n">
        <v>0</v>
      </c>
    </row>
    <row r="38" ht="16.2" customHeight="1" s="87" thickBot="1">
      <c r="A38" s="98" t="n">
        <v>3</v>
      </c>
      <c r="B38" s="99" t="inlineStr">
        <is>
          <t>放电</t>
        </is>
      </c>
      <c r="C38" s="99" t="n">
        <v>0</v>
      </c>
      <c r="D38" s="99" t="n">
        <v>95</v>
      </c>
      <c r="E38" s="99" t="n">
        <v>280</v>
      </c>
      <c r="G38" s="28" t="n">
        <v>37</v>
      </c>
      <c r="H38" s="86" t="inlineStr">
        <is>
          <t>20250922 0915</t>
        </is>
      </c>
      <c r="I38" s="27">
        <f>RIGHT(H38,4)</f>
        <v/>
      </c>
      <c r="J38" t="n">
        <v>-80</v>
      </c>
      <c r="K38" t="n">
        <v>-80</v>
      </c>
      <c r="L38" s="3">
        <f>IF(N38&lt;=0, N38, 0)</f>
        <v/>
      </c>
      <c r="M38" s="3">
        <f>IF(N38&gt;=0, N38, 0)</f>
        <v/>
      </c>
      <c r="N38" s="27" t="n">
        <v>0</v>
      </c>
    </row>
    <row r="39" ht="16.2" customHeight="1" s="87" thickBot="1">
      <c r="A39" s="100" t="n">
        <v>4</v>
      </c>
      <c r="B39" s="101" t="inlineStr">
        <is>
          <t>放电</t>
        </is>
      </c>
      <c r="C39" s="101" t="n">
        <v>95</v>
      </c>
      <c r="D39" s="101" t="n">
        <v>100</v>
      </c>
      <c r="E39" s="101" t="n">
        <v>350</v>
      </c>
      <c r="G39" s="28" t="n">
        <v>38</v>
      </c>
      <c r="H39" s="86" t="inlineStr">
        <is>
          <t>20250922 0930</t>
        </is>
      </c>
      <c r="I39" s="27">
        <f>RIGHT(H39,4)</f>
        <v/>
      </c>
      <c r="J39" t="n">
        <v>-80</v>
      </c>
      <c r="K39" t="n">
        <v>-80</v>
      </c>
      <c r="L39" s="3">
        <f>IF(N39&lt;=0, N39, 0)</f>
        <v/>
      </c>
      <c r="M39" s="3">
        <f>IF(N39&gt;=0, N39, 0)</f>
        <v/>
      </c>
      <c r="N39" s="27" t="n">
        <v>0</v>
      </c>
    </row>
    <row r="40">
      <c r="G40" s="28" t="n">
        <v>39</v>
      </c>
      <c r="H40" s="86" t="inlineStr">
        <is>
          <t>20250922 0945</t>
        </is>
      </c>
      <c r="I40" s="27">
        <f>RIGHT(H40,4)</f>
        <v/>
      </c>
      <c r="J40" t="n">
        <v>-80</v>
      </c>
      <c r="K40" t="n">
        <v>-80</v>
      </c>
      <c r="L40" s="3">
        <f>IF(N40&lt;=0, N40, 0)</f>
        <v/>
      </c>
      <c r="M40" s="3">
        <f>IF(N40&gt;=0, N40, 0)</f>
        <v/>
      </c>
      <c r="N40" s="27" t="n">
        <v>0</v>
      </c>
    </row>
    <row r="41">
      <c r="G41" s="28" t="n">
        <v>40</v>
      </c>
      <c r="H41" s="86" t="inlineStr">
        <is>
          <t>20250922 1000</t>
        </is>
      </c>
      <c r="I41" s="27">
        <f>RIGHT(H41,4)</f>
        <v/>
      </c>
      <c r="J41" t="n">
        <v>-80</v>
      </c>
      <c r="K41" t="n">
        <v>-80</v>
      </c>
      <c r="L41" s="3">
        <f>IF(N41&lt;=0, N41, 0)</f>
        <v/>
      </c>
      <c r="M41" s="3">
        <f>IF(N41&gt;=0, N41, 0)</f>
        <v/>
      </c>
      <c r="N41" s="27" t="n">
        <v>0</v>
      </c>
    </row>
    <row r="42">
      <c r="G42" s="28" t="n">
        <v>41</v>
      </c>
      <c r="H42" s="86" t="inlineStr">
        <is>
          <t>20250922 1015</t>
        </is>
      </c>
      <c r="I42" s="27">
        <f>RIGHT(H42,4)</f>
        <v/>
      </c>
      <c r="J42" t="n">
        <v>-80</v>
      </c>
      <c r="K42" t="n">
        <v>-80</v>
      </c>
      <c r="L42" s="3">
        <f>IF(N42&lt;=0, N42, 0)</f>
        <v/>
      </c>
      <c r="M42" s="3">
        <f>IF(N42&gt;=0, N42, 0)</f>
        <v/>
      </c>
      <c r="N42" s="27" t="n">
        <v>0</v>
      </c>
    </row>
    <row r="43">
      <c r="G43" s="28" t="n">
        <v>42</v>
      </c>
      <c r="H43" s="86" t="inlineStr">
        <is>
          <t>20250922 1030</t>
        </is>
      </c>
      <c r="I43" s="27">
        <f>RIGHT(H43,4)</f>
        <v/>
      </c>
      <c r="J43" t="n">
        <v>-80</v>
      </c>
      <c r="K43" t="n">
        <v>-80</v>
      </c>
      <c r="L43" s="3">
        <f>IF(N43&lt;=0, N43, 0)</f>
        <v/>
      </c>
      <c r="M43" s="3">
        <f>IF(N43&gt;=0, N43, 0)</f>
        <v/>
      </c>
      <c r="N43" s="27" t="n">
        <v>0</v>
      </c>
    </row>
    <row r="44">
      <c r="G44" s="28" t="n">
        <v>43</v>
      </c>
      <c r="H44" s="86" t="inlineStr">
        <is>
          <t>20250922 1045</t>
        </is>
      </c>
      <c r="I44" s="27">
        <f>RIGHT(H44,4)</f>
        <v/>
      </c>
      <c r="J44" t="n">
        <v>-80</v>
      </c>
      <c r="K44" t="n">
        <v>-80</v>
      </c>
      <c r="L44" s="3">
        <f>IF(N44&lt;=0, N44, 0)</f>
        <v/>
      </c>
      <c r="M44" s="3">
        <f>IF(N44&gt;=0, N44, 0)</f>
        <v/>
      </c>
      <c r="N44" s="27" t="n">
        <v>0</v>
      </c>
    </row>
    <row r="45">
      <c r="G45" s="28" t="n">
        <v>44</v>
      </c>
      <c r="H45" s="86" t="inlineStr">
        <is>
          <t>20250922 1100</t>
        </is>
      </c>
      <c r="I45" s="27">
        <f>RIGHT(H45,4)</f>
        <v/>
      </c>
      <c r="J45" t="n">
        <v>-80</v>
      </c>
      <c r="K45" t="n">
        <v>-80</v>
      </c>
      <c r="L45" s="3">
        <f>IF(N45&lt;=0, N45, 0)</f>
        <v/>
      </c>
      <c r="M45" s="3">
        <f>IF(N45&gt;=0, N45, 0)</f>
        <v/>
      </c>
      <c r="N45" s="27" t="n">
        <v>-55.83</v>
      </c>
    </row>
    <row r="46">
      <c r="G46" s="28" t="n">
        <v>45</v>
      </c>
      <c r="H46" s="86" t="inlineStr">
        <is>
          <t>20250922 1115</t>
        </is>
      </c>
      <c r="I46" s="27">
        <f>RIGHT(H46,4)</f>
        <v/>
      </c>
      <c r="J46" t="n">
        <v>-80</v>
      </c>
      <c r="K46" t="n">
        <v>-80</v>
      </c>
      <c r="L46" s="3">
        <f>IF(N46&lt;=0, N46, 0)</f>
        <v/>
      </c>
      <c r="M46" s="3">
        <f>IF(N46&gt;=0, N46, 0)</f>
        <v/>
      </c>
      <c r="N46" s="27" t="n">
        <v>-55.83</v>
      </c>
    </row>
    <row r="47">
      <c r="G47" s="28" t="n">
        <v>46</v>
      </c>
      <c r="H47" s="86" t="inlineStr">
        <is>
          <t>20250922 1130</t>
        </is>
      </c>
      <c r="I47" s="27">
        <f>RIGHT(H47,4)</f>
        <v/>
      </c>
      <c r="J47" t="n">
        <v>-80</v>
      </c>
      <c r="K47" t="n">
        <v>-80</v>
      </c>
      <c r="L47" s="3">
        <f>IF(N47&lt;=0, N47, 0)</f>
        <v/>
      </c>
      <c r="M47" s="3">
        <f>IF(N47&gt;=0, N47, 0)</f>
        <v/>
      </c>
      <c r="N47" s="27" t="n">
        <v>-55.83</v>
      </c>
    </row>
    <row r="48">
      <c r="G48" s="28" t="n">
        <v>47</v>
      </c>
      <c r="H48" s="86" t="inlineStr">
        <is>
          <t>20250922 1145</t>
        </is>
      </c>
      <c r="I48" s="27">
        <f>RIGHT(H48,4)</f>
        <v/>
      </c>
      <c r="J48" t="n">
        <v>-80</v>
      </c>
      <c r="K48" t="n">
        <v>-80</v>
      </c>
      <c r="L48" s="3">
        <f>IF(N48&lt;=0, N48, 0)</f>
        <v/>
      </c>
      <c r="M48" s="3">
        <f>IF(N48&gt;=0, N48, 0)</f>
        <v/>
      </c>
      <c r="N48" s="27" t="n">
        <v>-55.83</v>
      </c>
    </row>
    <row r="49">
      <c r="G49" s="28" t="n">
        <v>48</v>
      </c>
      <c r="H49" s="86" t="inlineStr">
        <is>
          <t>20250922 1200</t>
        </is>
      </c>
      <c r="I49" s="27">
        <f>RIGHT(H49,4)</f>
        <v/>
      </c>
      <c r="J49" t="n">
        <v>-80</v>
      </c>
      <c r="K49" t="n">
        <v>-80</v>
      </c>
      <c r="L49" s="3">
        <f>IF(N49&lt;=0, N49, 0)</f>
        <v/>
      </c>
      <c r="M49" s="3">
        <f>IF(N49&gt;=0, N49, 0)</f>
        <v/>
      </c>
      <c r="N49" s="27" t="n">
        <v>-95</v>
      </c>
    </row>
    <row r="50">
      <c r="G50" s="28" t="n">
        <v>49</v>
      </c>
      <c r="H50" s="86" t="inlineStr">
        <is>
          <t>20250922 1215</t>
        </is>
      </c>
      <c r="I50" s="27">
        <f>RIGHT(H50,4)</f>
        <v/>
      </c>
      <c r="J50" t="n">
        <v>-80</v>
      </c>
      <c r="K50" t="n">
        <v>-80</v>
      </c>
      <c r="L50" s="3">
        <f>IF(N50&lt;=0, N50, 0)</f>
        <v/>
      </c>
      <c r="M50" s="3">
        <f>IF(N50&gt;=0, N50, 0)</f>
        <v/>
      </c>
      <c r="N50" s="27" t="n">
        <v>-95</v>
      </c>
    </row>
    <row r="51">
      <c r="G51" s="28" t="n">
        <v>50</v>
      </c>
      <c r="H51" s="86" t="inlineStr">
        <is>
          <t>20250922 1230</t>
        </is>
      </c>
      <c r="I51" s="27">
        <f>RIGHT(H51,4)</f>
        <v/>
      </c>
      <c r="J51" t="n">
        <v>-80</v>
      </c>
      <c r="K51" t="n">
        <v>-80</v>
      </c>
      <c r="L51" s="3">
        <f>IF(N51&lt;=0, N51, 0)</f>
        <v/>
      </c>
      <c r="M51" s="3">
        <f>IF(N51&gt;=0, N51, 0)</f>
        <v/>
      </c>
      <c r="N51" s="27" t="n">
        <v>-95</v>
      </c>
    </row>
    <row r="52">
      <c r="G52" s="28" t="n">
        <v>51</v>
      </c>
      <c r="H52" s="86" t="inlineStr">
        <is>
          <t>20250922 1245</t>
        </is>
      </c>
      <c r="I52" s="27">
        <f>RIGHT(H52,4)</f>
        <v/>
      </c>
      <c r="J52" t="n">
        <v>-80</v>
      </c>
      <c r="K52" t="n">
        <v>-80</v>
      </c>
      <c r="L52" s="3">
        <f>IF(N52&lt;=0, N52, 0)</f>
        <v/>
      </c>
      <c r="M52" s="3">
        <f>IF(N52&gt;=0, N52, 0)</f>
        <v/>
      </c>
      <c r="N52" s="27" t="n">
        <v>-95</v>
      </c>
    </row>
    <row r="53">
      <c r="G53" s="28" t="n">
        <v>52</v>
      </c>
      <c r="H53" s="86" t="inlineStr">
        <is>
          <t>20250922 1300</t>
        </is>
      </c>
      <c r="I53" s="27">
        <f>RIGHT(H53,4)</f>
        <v/>
      </c>
      <c r="J53" t="n">
        <v>-80</v>
      </c>
      <c r="K53" t="n">
        <v>-80</v>
      </c>
      <c r="L53" s="3">
        <f>IF(N53&lt;=0, N53, 0)</f>
        <v/>
      </c>
      <c r="M53" s="3">
        <f>IF(N53&gt;=0, N53, 0)</f>
        <v/>
      </c>
      <c r="N53" s="27" t="n">
        <v>-95</v>
      </c>
    </row>
    <row r="54">
      <c r="G54" s="28" t="n">
        <v>53</v>
      </c>
      <c r="H54" s="86" t="inlineStr">
        <is>
          <t>20250922 1315</t>
        </is>
      </c>
      <c r="I54" s="27">
        <f>RIGHT(H54,4)</f>
        <v/>
      </c>
      <c r="J54" t="n">
        <v>-80</v>
      </c>
      <c r="K54" t="n">
        <v>-80</v>
      </c>
      <c r="L54" s="3">
        <f>IF(N54&lt;=0, N54, 0)</f>
        <v/>
      </c>
      <c r="M54" s="3">
        <f>IF(N54&gt;=0, N54, 0)</f>
        <v/>
      </c>
      <c r="N54" s="27" t="n">
        <v>0</v>
      </c>
    </row>
    <row r="55">
      <c r="G55" s="28" t="n">
        <v>54</v>
      </c>
      <c r="H55" s="86" t="inlineStr">
        <is>
          <t>20250922 1330</t>
        </is>
      </c>
      <c r="I55" s="27">
        <f>RIGHT(H55,4)</f>
        <v/>
      </c>
      <c r="J55" t="n">
        <v>-80</v>
      </c>
      <c r="K55" t="n">
        <v>-80</v>
      </c>
      <c r="L55" s="3">
        <f>IF(N55&lt;=0, N55, 0)</f>
        <v/>
      </c>
      <c r="M55" s="3">
        <f>IF(N55&gt;=0, N55, 0)</f>
        <v/>
      </c>
      <c r="N55" s="27" t="n">
        <v>0</v>
      </c>
    </row>
    <row r="56">
      <c r="G56" s="28" t="n">
        <v>55</v>
      </c>
      <c r="H56" s="86" t="inlineStr">
        <is>
          <t>20250922 1345</t>
        </is>
      </c>
      <c r="I56" s="27">
        <f>RIGHT(H56,4)</f>
        <v/>
      </c>
      <c r="J56" t="n">
        <v>-80</v>
      </c>
      <c r="K56" t="n">
        <v>-80</v>
      </c>
      <c r="L56" s="3">
        <f>IF(N56&lt;=0, N56, 0)</f>
        <v/>
      </c>
      <c r="M56" s="3">
        <f>IF(N56&gt;=0, N56, 0)</f>
        <v/>
      </c>
      <c r="N56" s="27" t="n">
        <v>0</v>
      </c>
    </row>
    <row r="57">
      <c r="G57" s="28" t="n">
        <v>56</v>
      </c>
      <c r="H57" s="86" t="inlineStr">
        <is>
          <t>20250922 1400</t>
        </is>
      </c>
      <c r="I57" s="27">
        <f>RIGHT(H57,4)</f>
        <v/>
      </c>
      <c r="J57" t="n">
        <v>-80</v>
      </c>
      <c r="K57" t="n">
        <v>-80</v>
      </c>
      <c r="L57" s="3">
        <f>IF(N57&lt;=0, N57, 0)</f>
        <v/>
      </c>
      <c r="M57" s="3">
        <f>IF(N57&gt;=0, N57, 0)</f>
        <v/>
      </c>
      <c r="N57" s="27" t="n">
        <v>0</v>
      </c>
    </row>
    <row r="58">
      <c r="G58" s="28" t="n">
        <v>57</v>
      </c>
      <c r="H58" s="86" t="inlineStr">
        <is>
          <t>20250922 1415</t>
        </is>
      </c>
      <c r="I58" s="27">
        <f>RIGHT(H58,4)</f>
        <v/>
      </c>
      <c r="J58" t="n">
        <v>-80</v>
      </c>
      <c r="K58" t="n">
        <v>-80</v>
      </c>
      <c r="L58" s="3">
        <f>IF(N58&lt;=0, N58, 0)</f>
        <v/>
      </c>
      <c r="M58" s="3">
        <f>IF(N58&gt;=0, N58, 0)</f>
        <v/>
      </c>
      <c r="N58" s="27" t="n">
        <v>0</v>
      </c>
    </row>
    <row r="59">
      <c r="G59" s="28" t="n">
        <v>58</v>
      </c>
      <c r="H59" s="86" t="inlineStr">
        <is>
          <t>20250922 1430</t>
        </is>
      </c>
      <c r="I59" s="27">
        <f>RIGHT(H59,4)</f>
        <v/>
      </c>
      <c r="J59" t="n">
        <v>-80</v>
      </c>
      <c r="K59" t="n">
        <v>-80</v>
      </c>
      <c r="L59" s="3">
        <f>IF(N59&lt;=0, N59, 0)</f>
        <v/>
      </c>
      <c r="M59" s="3">
        <f>IF(N59&gt;=0, N59, 0)</f>
        <v/>
      </c>
      <c r="N59" s="27" t="n">
        <v>0</v>
      </c>
    </row>
    <row r="60">
      <c r="G60" s="28" t="n">
        <v>59</v>
      </c>
      <c r="H60" s="86" t="inlineStr">
        <is>
          <t>20250922 1445</t>
        </is>
      </c>
      <c r="I60" s="27">
        <f>RIGHT(H60,4)</f>
        <v/>
      </c>
      <c r="J60" t="n">
        <v>-80</v>
      </c>
      <c r="K60" t="n">
        <v>-80</v>
      </c>
      <c r="L60" s="3">
        <f>IF(N60&lt;=0, N60, 0)</f>
        <v/>
      </c>
      <c r="M60" s="3">
        <f>IF(N60&gt;=0, N60, 0)</f>
        <v/>
      </c>
      <c r="N60" s="27" t="n">
        <v>0</v>
      </c>
    </row>
    <row r="61">
      <c r="G61" s="28" t="n">
        <v>60</v>
      </c>
      <c r="H61" s="86" t="inlineStr">
        <is>
          <t>20250922 1500</t>
        </is>
      </c>
      <c r="I61" s="27">
        <f>RIGHT(H61,4)</f>
        <v/>
      </c>
      <c r="J61" t="n">
        <v>-80</v>
      </c>
      <c r="K61" t="n">
        <v>-80</v>
      </c>
      <c r="L61" s="3">
        <f>IF(N61&lt;=0, N61, 0)</f>
        <v/>
      </c>
      <c r="M61" s="3">
        <f>IF(N61&gt;=0, N61, 0)</f>
        <v/>
      </c>
      <c r="N61" s="27" t="n">
        <v>0</v>
      </c>
    </row>
    <row r="62">
      <c r="G62" s="28" t="n">
        <v>61</v>
      </c>
      <c r="H62" s="86" t="inlineStr">
        <is>
          <t>20250922 1515</t>
        </is>
      </c>
      <c r="I62" s="27">
        <f>RIGHT(H62,4)</f>
        <v/>
      </c>
      <c r="J62" t="n">
        <v>-76.24299999999999</v>
      </c>
      <c r="K62" t="n">
        <v>-76.24299999999999</v>
      </c>
      <c r="L62" s="3">
        <f>IF(N62&lt;=0, N62, 0)</f>
        <v/>
      </c>
      <c r="M62" s="3">
        <f>IF(N62&gt;=0, N62, 0)</f>
        <v/>
      </c>
      <c r="N62" s="27" t="n">
        <v>0</v>
      </c>
    </row>
    <row r="63">
      <c r="G63" s="28" t="n">
        <v>62</v>
      </c>
      <c r="H63" s="86" t="inlineStr">
        <is>
          <t>20250922 1530</t>
        </is>
      </c>
      <c r="I63" s="27">
        <f>RIGHT(H63,4)</f>
        <v/>
      </c>
      <c r="J63" t="n">
        <v>105.587</v>
      </c>
      <c r="K63" t="n">
        <v>105.587</v>
      </c>
      <c r="L63" s="3">
        <f>IF(N63&lt;=0, N63, 0)</f>
        <v/>
      </c>
      <c r="M63" s="3">
        <f>IF(N63&gt;=0, N63, 0)</f>
        <v/>
      </c>
      <c r="N63" s="27" t="n">
        <v>0</v>
      </c>
    </row>
    <row r="64">
      <c r="G64" s="28" t="n">
        <v>63</v>
      </c>
      <c r="H64" s="86" t="inlineStr">
        <is>
          <t>20250922 1545</t>
        </is>
      </c>
      <c r="I64" s="27">
        <f>RIGHT(H64,4)</f>
        <v/>
      </c>
      <c r="J64" t="n">
        <v>279.79</v>
      </c>
      <c r="K64" t="n">
        <v>279.79</v>
      </c>
      <c r="L64" s="3">
        <f>IF(N64&lt;=0, N64, 0)</f>
        <v/>
      </c>
      <c r="M64" s="3">
        <f>IF(N64&gt;=0, N64, 0)</f>
        <v/>
      </c>
      <c r="N64" s="27" t="n">
        <v>0</v>
      </c>
    </row>
    <row r="65">
      <c r="G65" s="28" t="n">
        <v>64</v>
      </c>
      <c r="H65" s="86" t="inlineStr">
        <is>
          <t>20250922 1600</t>
        </is>
      </c>
      <c r="I65" s="27">
        <f>RIGHT(H65,4)</f>
        <v/>
      </c>
      <c r="J65" t="n">
        <v>343.288</v>
      </c>
      <c r="K65" t="n">
        <v>343.288</v>
      </c>
      <c r="L65" s="3">
        <f>IF(N65&lt;=0, N65, 0)</f>
        <v/>
      </c>
      <c r="M65" s="3">
        <f>IF(N65&gt;=0, N65, 0)</f>
        <v/>
      </c>
      <c r="N65" s="27" t="n">
        <v>0</v>
      </c>
    </row>
    <row r="66">
      <c r="G66" s="28" t="n">
        <v>65</v>
      </c>
      <c r="H66" s="86" t="inlineStr">
        <is>
          <t>20250922 1615</t>
        </is>
      </c>
      <c r="I66" s="27">
        <f>RIGHT(H66,4)</f>
        <v/>
      </c>
      <c r="J66" t="n">
        <v>475.026</v>
      </c>
      <c r="K66" t="n">
        <v>475.026</v>
      </c>
      <c r="L66" s="3">
        <f>IF(N66&lt;=0, N66, 0)</f>
        <v/>
      </c>
      <c r="M66" s="3">
        <f>IF(N66&gt;=0, N66, 0)</f>
        <v/>
      </c>
      <c r="N66" s="27" t="n">
        <v>0</v>
      </c>
    </row>
    <row r="67">
      <c r="G67" s="28" t="n">
        <v>66</v>
      </c>
      <c r="H67" s="86" t="inlineStr">
        <is>
          <t>20250922 1630</t>
        </is>
      </c>
      <c r="I67" s="27">
        <f>RIGHT(H67,4)</f>
        <v/>
      </c>
      <c r="J67" t="n">
        <v>569.816</v>
      </c>
      <c r="K67" t="n">
        <v>569.816</v>
      </c>
      <c r="L67" s="3">
        <f>IF(N67&lt;=0, N67, 0)</f>
        <v/>
      </c>
      <c r="M67" s="3">
        <f>IF(N67&gt;=0, N67, 0)</f>
        <v/>
      </c>
      <c r="N67" s="27" t="n">
        <v>0</v>
      </c>
    </row>
    <row r="68">
      <c r="G68" s="28" t="n">
        <v>67</v>
      </c>
      <c r="H68" s="86" t="inlineStr">
        <is>
          <t>20250922 1645</t>
        </is>
      </c>
      <c r="I68" s="27">
        <f>RIGHT(H68,4)</f>
        <v/>
      </c>
      <c r="J68" t="n">
        <v>601.0119999999999</v>
      </c>
      <c r="K68" t="n">
        <v>601.0119999999999</v>
      </c>
      <c r="L68" s="3">
        <f>IF(N68&lt;=0, N68, 0)</f>
        <v/>
      </c>
      <c r="M68" s="3">
        <f>IF(N68&gt;=0, N68, 0)</f>
        <v/>
      </c>
      <c r="N68" s="27" t="n">
        <v>0</v>
      </c>
    </row>
    <row r="69">
      <c r="G69" s="28" t="n">
        <v>68</v>
      </c>
      <c r="H69" s="86" t="inlineStr">
        <is>
          <t>20250922 1700</t>
        </is>
      </c>
      <c r="I69" s="27">
        <f>RIGHT(H69,4)</f>
        <v/>
      </c>
      <c r="J69" t="n">
        <v>582.157</v>
      </c>
      <c r="K69" t="n">
        <v>582.157</v>
      </c>
      <c r="L69" s="3">
        <f>IF(N69&lt;=0, N69, 0)</f>
        <v/>
      </c>
      <c r="M69" s="3">
        <f>IF(N69&gt;=0, N69, 0)</f>
        <v/>
      </c>
      <c r="N69" s="27" t="n">
        <v>0</v>
      </c>
    </row>
    <row r="70">
      <c r="G70" s="28" t="n">
        <v>69</v>
      </c>
      <c r="H70" s="86" t="inlineStr">
        <is>
          <t>20250922 1715</t>
        </is>
      </c>
      <c r="I70" s="27">
        <f>RIGHT(H70,4)</f>
        <v/>
      </c>
      <c r="J70" t="n">
        <v>600.145</v>
      </c>
      <c r="K70" t="n">
        <v>600.145</v>
      </c>
      <c r="L70" s="3">
        <f>IF(N70&lt;=0, N70, 0)</f>
        <v/>
      </c>
      <c r="M70" s="3">
        <f>IF(N70&gt;=0, N70, 0)</f>
        <v/>
      </c>
      <c r="N70" s="27" t="n">
        <v>0</v>
      </c>
    </row>
    <row r="71">
      <c r="G71" s="28" t="n">
        <v>70</v>
      </c>
      <c r="H71" s="86" t="inlineStr">
        <is>
          <t>20250922 1730</t>
        </is>
      </c>
      <c r="I71" s="27">
        <f>RIGHT(H71,4)</f>
        <v/>
      </c>
      <c r="J71" t="n">
        <v>601.914</v>
      </c>
      <c r="K71" t="n">
        <v>601.914</v>
      </c>
      <c r="L71" s="3">
        <f>IF(N71&lt;=0, N71, 0)</f>
        <v/>
      </c>
      <c r="M71" s="3">
        <f>IF(N71&gt;=0, N71, 0)</f>
        <v/>
      </c>
      <c r="N71" s="27" t="n">
        <v>0</v>
      </c>
    </row>
    <row r="72">
      <c r="G72" s="28" t="n">
        <v>71</v>
      </c>
      <c r="H72" s="86" t="inlineStr">
        <is>
          <t>20250922 1745</t>
        </is>
      </c>
      <c r="I72" s="27">
        <f>RIGHT(H72,4)</f>
        <v/>
      </c>
      <c r="J72" t="n">
        <v>613.593</v>
      </c>
      <c r="K72" t="n">
        <v>613.593</v>
      </c>
      <c r="L72" s="3">
        <f>IF(N72&lt;=0, N72, 0)</f>
        <v/>
      </c>
      <c r="M72" s="3">
        <f>IF(N72&gt;=0, N72, 0)</f>
        <v/>
      </c>
      <c r="N72" s="27" t="n">
        <v>0</v>
      </c>
    </row>
    <row r="73">
      <c r="G73" s="28" t="n">
        <v>72</v>
      </c>
      <c r="H73" s="86" t="inlineStr">
        <is>
          <t>20250922 1800</t>
        </is>
      </c>
      <c r="I73" s="27">
        <f>RIGHT(H73,4)</f>
        <v/>
      </c>
      <c r="J73" t="n">
        <v>617.644</v>
      </c>
      <c r="K73" t="n">
        <v>617.644</v>
      </c>
      <c r="L73" s="3">
        <f>IF(N73&lt;=0, N73, 0)</f>
        <v/>
      </c>
      <c r="M73" s="3">
        <f>IF(N73&gt;=0, N73, 0)</f>
        <v/>
      </c>
      <c r="N73" s="27" t="n">
        <v>0</v>
      </c>
    </row>
    <row r="74">
      <c r="G74" s="28" t="n">
        <v>73</v>
      </c>
      <c r="H74" s="86" t="inlineStr">
        <is>
          <t>20250922 1815</t>
        </is>
      </c>
      <c r="I74" s="27">
        <f>RIGHT(H74,4)</f>
        <v/>
      </c>
      <c r="J74" t="n">
        <v>610.611</v>
      </c>
      <c r="K74" t="n">
        <v>610.611</v>
      </c>
      <c r="L74" s="3">
        <f>IF(N74&lt;=0, N74, 0)</f>
        <v/>
      </c>
      <c r="M74" s="3">
        <f>IF(N74&gt;=0, N74, 0)</f>
        <v/>
      </c>
      <c r="N74" s="27" t="n">
        <v>95</v>
      </c>
    </row>
    <row r="75">
      <c r="G75" s="28" t="n">
        <v>74</v>
      </c>
      <c r="H75" s="86" t="inlineStr">
        <is>
          <t>20250922 1830</t>
        </is>
      </c>
      <c r="I75" s="27">
        <f>RIGHT(H75,4)</f>
        <v/>
      </c>
      <c r="J75" t="n">
        <v>604.967</v>
      </c>
      <c r="K75" t="n">
        <v>604.967</v>
      </c>
      <c r="L75" s="3">
        <f>IF(N75&lt;=0, N75, 0)</f>
        <v/>
      </c>
      <c r="M75" s="3">
        <f>IF(N75&gt;=0, N75, 0)</f>
        <v/>
      </c>
      <c r="N75" s="27" t="n">
        <v>95</v>
      </c>
    </row>
    <row r="76">
      <c r="G76" s="28" t="n">
        <v>75</v>
      </c>
      <c r="H76" s="86" t="inlineStr">
        <is>
          <t>20250922 1845</t>
        </is>
      </c>
      <c r="I76" s="27">
        <f>RIGHT(H76,4)</f>
        <v/>
      </c>
      <c r="J76" t="n">
        <v>600.5309999999999</v>
      </c>
      <c r="K76" t="n">
        <v>600.5309999999999</v>
      </c>
      <c r="L76" s="3">
        <f>IF(N76&lt;=0, N76, 0)</f>
        <v/>
      </c>
      <c r="M76" s="3">
        <f>IF(N76&gt;=0, N76, 0)</f>
        <v/>
      </c>
      <c r="N76" s="27" t="n">
        <v>95</v>
      </c>
    </row>
    <row r="77">
      <c r="G77" s="28" t="n">
        <v>76</v>
      </c>
      <c r="H77" s="86" t="inlineStr">
        <is>
          <t>20250922 1900</t>
        </is>
      </c>
      <c r="I77" s="27">
        <f>RIGHT(H77,4)</f>
        <v/>
      </c>
      <c r="J77" t="n">
        <v>599.6559999999999</v>
      </c>
      <c r="K77" t="n">
        <v>599.6559999999999</v>
      </c>
      <c r="L77" s="3">
        <f>IF(N77&lt;=0, N77, 0)</f>
        <v/>
      </c>
      <c r="M77" s="3">
        <f>IF(N77&gt;=0, N77, 0)</f>
        <v/>
      </c>
      <c r="N77" s="27" t="n">
        <v>95</v>
      </c>
    </row>
    <row r="78">
      <c r="G78" s="28" t="n">
        <v>77</v>
      </c>
      <c r="H78" s="86" t="inlineStr">
        <is>
          <t>20250922 1915</t>
        </is>
      </c>
      <c r="I78" s="27">
        <f>RIGHT(H78,4)</f>
        <v/>
      </c>
      <c r="J78" t="n">
        <v>598.516</v>
      </c>
      <c r="K78" t="n">
        <v>598.516</v>
      </c>
      <c r="L78" s="3">
        <f>IF(N78&lt;=0, N78, 0)</f>
        <v/>
      </c>
      <c r="M78" s="3">
        <f>IF(N78&gt;=0, N78, 0)</f>
        <v/>
      </c>
      <c r="N78" s="27" t="n">
        <v>95</v>
      </c>
    </row>
    <row r="79">
      <c r="G79" s="28" t="n">
        <v>78</v>
      </c>
      <c r="H79" s="86" t="inlineStr">
        <is>
          <t>20250922 1930</t>
        </is>
      </c>
      <c r="I79" s="27">
        <f>RIGHT(H79,4)</f>
        <v/>
      </c>
      <c r="J79" t="n">
        <v>584.095</v>
      </c>
      <c r="K79" t="n">
        <v>584.095</v>
      </c>
      <c r="L79" s="3">
        <f>IF(N79&lt;=0, N79, 0)</f>
        <v/>
      </c>
      <c r="M79" s="3">
        <f>IF(N79&gt;=0, N79, 0)</f>
        <v/>
      </c>
      <c r="N79" s="27" t="n">
        <v>95</v>
      </c>
    </row>
    <row r="80">
      <c r="G80" s="28" t="n">
        <v>79</v>
      </c>
      <c r="H80" s="86" t="inlineStr">
        <is>
          <t>20250922 1945</t>
        </is>
      </c>
      <c r="I80" s="27">
        <f>RIGHT(H80,4)</f>
        <v/>
      </c>
      <c r="J80" t="n">
        <v>575.7</v>
      </c>
      <c r="K80" t="n">
        <v>575.7</v>
      </c>
      <c r="L80" s="3">
        <f>IF(N80&lt;=0, N80, 0)</f>
        <v/>
      </c>
      <c r="M80" s="3">
        <f>IF(N80&gt;=0, N80, 0)</f>
        <v/>
      </c>
      <c r="N80" s="27" t="n">
        <v>16.22</v>
      </c>
    </row>
    <row r="81">
      <c r="G81" s="28" t="n">
        <v>80</v>
      </c>
      <c r="H81" s="86" t="inlineStr">
        <is>
          <t>20250922 2000</t>
        </is>
      </c>
      <c r="I81" s="27">
        <f>RIGHT(H81,4)</f>
        <v/>
      </c>
      <c r="J81" t="n">
        <v>591.2430000000001</v>
      </c>
      <c r="K81" t="n">
        <v>591.2430000000001</v>
      </c>
      <c r="L81" s="3">
        <f>IF(N81&lt;=0, N81, 0)</f>
        <v/>
      </c>
      <c r="M81" s="3">
        <f>IF(N81&gt;=0, N81, 0)</f>
        <v/>
      </c>
      <c r="N81" s="27" t="n">
        <v>16.22</v>
      </c>
    </row>
    <row r="82">
      <c r="G82" s="28" t="n">
        <v>81</v>
      </c>
      <c r="H82" s="86" t="inlineStr">
        <is>
          <t>20250922 2015</t>
        </is>
      </c>
      <c r="I82" s="27">
        <f>RIGHT(H82,4)</f>
        <v/>
      </c>
      <c r="J82" t="n">
        <v>587.112</v>
      </c>
      <c r="K82" t="n">
        <v>587.112</v>
      </c>
      <c r="L82" s="3">
        <f>IF(N82&lt;=0, N82, 0)</f>
        <v/>
      </c>
      <c r="M82" s="3">
        <f>IF(N82&gt;=0, N82, 0)</f>
        <v/>
      </c>
      <c r="N82" s="27" t="n">
        <v>16.22</v>
      </c>
    </row>
    <row r="83">
      <c r="G83" s="28" t="n">
        <v>82</v>
      </c>
      <c r="H83" s="86" t="inlineStr">
        <is>
          <t>20250922 2030</t>
        </is>
      </c>
      <c r="I83" s="27">
        <f>RIGHT(H83,4)</f>
        <v/>
      </c>
      <c r="J83" t="n">
        <v>582.3339999999999</v>
      </c>
      <c r="K83" t="n">
        <v>582.3339999999999</v>
      </c>
      <c r="L83" s="3">
        <f>IF(N83&lt;=0, N83, 0)</f>
        <v/>
      </c>
      <c r="M83" s="3">
        <f>IF(N83&gt;=0, N83, 0)</f>
        <v/>
      </c>
      <c r="N83" s="27" t="n">
        <v>16.22</v>
      </c>
    </row>
    <row r="84">
      <c r="G84" s="28" t="n">
        <v>83</v>
      </c>
      <c r="H84" s="86" t="inlineStr">
        <is>
          <t>20250922 2045</t>
        </is>
      </c>
      <c r="I84" s="27">
        <f>RIGHT(H84,4)</f>
        <v/>
      </c>
      <c r="J84" t="n">
        <v>586.062</v>
      </c>
      <c r="K84" t="n">
        <v>586.062</v>
      </c>
      <c r="L84" s="3">
        <f>IF(N84&lt;=0, N84, 0)</f>
        <v/>
      </c>
      <c r="M84" s="3">
        <f>IF(N84&gt;=0, N84, 0)</f>
        <v/>
      </c>
      <c r="N84" s="27" t="n">
        <v>16.22</v>
      </c>
    </row>
    <row r="85">
      <c r="G85" s="28" t="n">
        <v>84</v>
      </c>
      <c r="H85" s="86" t="inlineStr">
        <is>
          <t>20250922 2100</t>
        </is>
      </c>
      <c r="I85" s="27">
        <f>RIGHT(H85,4)</f>
        <v/>
      </c>
      <c r="J85" t="n">
        <v>585.759</v>
      </c>
      <c r="K85" t="n">
        <v>585.759</v>
      </c>
      <c r="L85" s="3">
        <f>IF(N85&lt;=0, N85, 0)</f>
        <v/>
      </c>
      <c r="M85" s="3">
        <f>IF(N85&gt;=0, N85, 0)</f>
        <v/>
      </c>
      <c r="N85" s="27" t="n">
        <v>16.22</v>
      </c>
    </row>
    <row r="86">
      <c r="G86" s="28" t="n">
        <v>85</v>
      </c>
      <c r="H86" s="86" t="inlineStr">
        <is>
          <t>20250922 2115</t>
        </is>
      </c>
      <c r="I86" s="27">
        <f>RIGHT(H86,4)</f>
        <v/>
      </c>
      <c r="J86" t="n">
        <v>602</v>
      </c>
      <c r="K86" t="n">
        <v>602</v>
      </c>
      <c r="L86" s="3">
        <f>IF(N86&lt;=0, N86, 0)</f>
        <v/>
      </c>
      <c r="M86" s="3">
        <f>IF(N86&gt;=0, N86, 0)</f>
        <v/>
      </c>
      <c r="N86" s="27" t="n">
        <v>16.22</v>
      </c>
    </row>
    <row r="87">
      <c r="G87" s="28" t="n">
        <v>86</v>
      </c>
      <c r="H87" s="86" t="inlineStr">
        <is>
          <t>20250922 2130</t>
        </is>
      </c>
      <c r="I87" s="27">
        <f>RIGHT(H87,4)</f>
        <v/>
      </c>
      <c r="J87" t="n">
        <v>585.167</v>
      </c>
      <c r="K87" t="n">
        <v>585.167</v>
      </c>
      <c r="L87" s="3">
        <f>IF(N87&lt;=0, N87, 0)</f>
        <v/>
      </c>
      <c r="M87" s="3">
        <f>IF(N87&gt;=0, N87, 0)</f>
        <v/>
      </c>
      <c r="N87" s="27" t="n">
        <v>0</v>
      </c>
    </row>
    <row r="88">
      <c r="G88" s="28" t="n">
        <v>87</v>
      </c>
      <c r="H88" s="86" t="inlineStr">
        <is>
          <t>20250922 2145</t>
        </is>
      </c>
      <c r="I88" s="27">
        <f>RIGHT(H88,4)</f>
        <v/>
      </c>
      <c r="J88" t="n">
        <v>602.5</v>
      </c>
      <c r="K88" t="n">
        <v>602.5</v>
      </c>
      <c r="L88" s="3">
        <f>IF(N88&lt;=0, N88, 0)</f>
        <v/>
      </c>
      <c r="M88" s="3">
        <f>IF(N88&gt;=0, N88, 0)</f>
        <v/>
      </c>
      <c r="N88" s="27" t="n">
        <v>0</v>
      </c>
    </row>
    <row r="89">
      <c r="G89" s="28" t="n">
        <v>88</v>
      </c>
      <c r="H89" s="86" t="inlineStr">
        <is>
          <t>20250922 2200</t>
        </is>
      </c>
      <c r="I89" s="27">
        <f>RIGHT(H89,4)</f>
        <v/>
      </c>
      <c r="J89" t="n">
        <v>605.572</v>
      </c>
      <c r="K89" t="n">
        <v>605.572</v>
      </c>
      <c r="L89" s="3">
        <f>IF(N89&lt;=0, N89, 0)</f>
        <v/>
      </c>
      <c r="M89" s="3">
        <f>IF(N89&gt;=0, N89, 0)</f>
        <v/>
      </c>
      <c r="N89" s="27" t="n">
        <v>0</v>
      </c>
    </row>
    <row r="90">
      <c r="G90" s="28" t="n">
        <v>89</v>
      </c>
      <c r="H90" s="86" t="inlineStr">
        <is>
          <t>20250922 2215</t>
        </is>
      </c>
      <c r="I90" s="27">
        <f>RIGHT(H90,4)</f>
        <v/>
      </c>
      <c r="J90" t="n">
        <v>604.25</v>
      </c>
      <c r="K90" t="n">
        <v>604.25</v>
      </c>
      <c r="L90" s="3">
        <f>IF(N90&lt;=0, N90, 0)</f>
        <v/>
      </c>
      <c r="M90" s="3">
        <f>IF(N90&gt;=0, N90, 0)</f>
        <v/>
      </c>
      <c r="N90" s="27" t="n">
        <v>0</v>
      </c>
    </row>
    <row r="91">
      <c r="G91" s="28" t="n">
        <v>90</v>
      </c>
      <c r="H91" s="86" t="inlineStr">
        <is>
          <t>20250922 2230</t>
        </is>
      </c>
      <c r="I91" s="27">
        <f>RIGHT(H91,4)</f>
        <v/>
      </c>
      <c r="J91" t="n">
        <v>604</v>
      </c>
      <c r="K91" t="n">
        <v>604</v>
      </c>
      <c r="L91" s="3">
        <f>IF(N91&lt;=0, N91, 0)</f>
        <v/>
      </c>
      <c r="M91" s="3">
        <f>IF(N91&gt;=0, N91, 0)</f>
        <v/>
      </c>
      <c r="N91" s="27" t="n">
        <v>0</v>
      </c>
    </row>
    <row r="92">
      <c r="G92" s="28" t="n">
        <v>91</v>
      </c>
      <c r="H92" s="86" t="inlineStr">
        <is>
          <t>20250922 2245</t>
        </is>
      </c>
      <c r="I92" s="27">
        <f>RIGHT(H92,4)</f>
        <v/>
      </c>
      <c r="J92" t="n">
        <v>602</v>
      </c>
      <c r="K92" t="n">
        <v>602</v>
      </c>
      <c r="L92" s="3">
        <f>IF(N92&lt;=0, N92, 0)</f>
        <v/>
      </c>
      <c r="M92" s="3">
        <f>IF(N92&gt;=0, N92, 0)</f>
        <v/>
      </c>
      <c r="N92" s="27" t="n">
        <v>0</v>
      </c>
    </row>
    <row r="93">
      <c r="G93" s="28" t="n">
        <v>92</v>
      </c>
      <c r="H93" s="86" t="inlineStr">
        <is>
          <t>20250922 2300</t>
        </is>
      </c>
      <c r="I93" s="27">
        <f>RIGHT(H93,4)</f>
        <v/>
      </c>
      <c r="J93" t="n">
        <v>582</v>
      </c>
      <c r="K93" t="n">
        <v>582</v>
      </c>
      <c r="L93" s="3">
        <f>IF(N93&lt;=0, N93, 0)</f>
        <v/>
      </c>
      <c r="M93" s="3">
        <f>IF(N93&gt;=0, N93, 0)</f>
        <v/>
      </c>
      <c r="N93" s="27" t="n">
        <v>0</v>
      </c>
    </row>
    <row r="94">
      <c r="G94" s="28" t="n">
        <v>93</v>
      </c>
      <c r="H94" s="86" t="inlineStr">
        <is>
          <t>20250922 2315</t>
        </is>
      </c>
      <c r="I94" s="27">
        <f>RIGHT(H94,4)</f>
        <v/>
      </c>
      <c r="J94" t="n">
        <v>576.75</v>
      </c>
      <c r="K94" t="n">
        <v>576.75</v>
      </c>
      <c r="L94" s="3">
        <f>IF(N94&lt;=0, N94, 0)</f>
        <v/>
      </c>
      <c r="M94" s="3">
        <f>IF(N94&gt;=0, N94, 0)</f>
        <v/>
      </c>
      <c r="N94" s="27" t="n">
        <v>0</v>
      </c>
    </row>
    <row r="95">
      <c r="G95" s="28" t="n">
        <v>94</v>
      </c>
      <c r="H95" s="86" t="inlineStr">
        <is>
          <t>20250922 2330</t>
        </is>
      </c>
      <c r="I95" s="27">
        <f>RIGHT(H95,4)</f>
        <v/>
      </c>
      <c r="J95" t="n">
        <v>597</v>
      </c>
      <c r="K95" t="n">
        <v>597</v>
      </c>
      <c r="L95" s="3">
        <f>IF(N95&lt;=0, N95, 0)</f>
        <v/>
      </c>
      <c r="M95" s="3">
        <f>IF(N95&gt;=0, N95, 0)</f>
        <v/>
      </c>
      <c r="N95" s="27" t="n">
        <v>0</v>
      </c>
    </row>
    <row r="96">
      <c r="G96" s="28" t="n">
        <v>95</v>
      </c>
      <c r="H96" s="86" t="inlineStr">
        <is>
          <t>20250922 2345</t>
        </is>
      </c>
      <c r="I96" s="27">
        <f>RIGHT(H96,4)</f>
        <v/>
      </c>
      <c r="J96" t="n">
        <v>596</v>
      </c>
      <c r="K96" t="n">
        <v>596</v>
      </c>
      <c r="L96" s="3">
        <f>IF(N96&lt;=0, N96, 0)</f>
        <v/>
      </c>
      <c r="M96" s="3">
        <f>IF(N96&gt;=0, N96, 0)</f>
        <v/>
      </c>
      <c r="N96" s="27" t="n">
        <v>0</v>
      </c>
    </row>
    <row r="97">
      <c r="G97" s="28" t="n">
        <v>96</v>
      </c>
      <c r="H97" s="86" t="inlineStr">
        <is>
          <t>20250922 2400</t>
        </is>
      </c>
      <c r="I97" s="27">
        <f>RIGHT(H97,4)</f>
        <v/>
      </c>
      <c r="J97" t="n">
        <v>598.943</v>
      </c>
      <c r="K97" t="n">
        <v>598.943</v>
      </c>
      <c r="L97" s="3">
        <f>IF(N97&lt;=0, N97, 0)</f>
        <v/>
      </c>
      <c r="M97" s="3">
        <f>IF(N97&gt;=0, N97, 0)</f>
        <v/>
      </c>
      <c r="N97" s="27" t="n">
        <v>0</v>
      </c>
    </row>
    <row r="98">
      <c r="N98" s="27" t="n">
        <v>0</v>
      </c>
    </row>
    <row r="99">
      <c r="N99" s="27" t="n">
        <v>0</v>
      </c>
    </row>
    <row r="100">
      <c r="N100" s="27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128" min="1" max="1"/>
    <col width="15.21875" customWidth="1" style="54" min="2" max="5"/>
    <col width="7.44140625" customWidth="1" style="54" min="6" max="17"/>
    <col width="10.6640625" customWidth="1" style="54" min="18" max="18"/>
    <col width="10.6640625" customWidth="1" style="54" min="19" max="16384"/>
  </cols>
  <sheetData>
    <row r="1" ht="15" customHeight="1" s="87" thickBot="1" thickTop="1">
      <c r="A1" s="51" t="inlineStr">
        <is>
          <t>容量电价</t>
        </is>
      </c>
      <c r="B1" s="52" t="n"/>
      <c r="C1" s="53" t="n">
        <v>70.5</v>
      </c>
    </row>
    <row r="2" ht="15" customHeight="1" s="87" thickBot="1" thickTop="1">
      <c r="A2" s="54" t="n"/>
      <c r="J2" s="128" t="n"/>
      <c r="K2" s="128" t="n"/>
      <c r="L2" s="128" t="n"/>
    </row>
    <row r="3" ht="15" customHeight="1" s="87" thickBot="1" thickTop="1">
      <c r="A3" s="56" t="inlineStr">
        <is>
          <t>容量分摊--算数平均
系数</t>
        </is>
      </c>
      <c r="B3" s="57" t="n"/>
      <c r="C3" s="58">
        <f t="array" ref="C3">SUMPRODUCT(C8:C103,D8:D103)/SUM(C8:C103)</f>
        <v/>
      </c>
      <c r="E3" s="56" t="inlineStr">
        <is>
          <t>容量分摊系数--电量加权</t>
        </is>
      </c>
      <c r="F3" s="57" t="n"/>
      <c r="G3" s="58">
        <f t="array" ref="G3">SUMPRODUCT(D8:D103,E8:E103)/SUM(E8:E103)</f>
        <v/>
      </c>
      <c r="H3" s="128" t="n"/>
      <c r="J3" s="128" t="n"/>
      <c r="K3" s="128" t="n"/>
      <c r="L3" s="128" t="n"/>
    </row>
    <row r="4" ht="15" customHeight="1" s="87" thickTop="1">
      <c r="A4" s="54" t="n"/>
      <c r="F4" s="59" t="n"/>
      <c r="G4" s="59" t="n"/>
      <c r="H4" s="128" t="n"/>
      <c r="J4" s="128" t="n"/>
      <c r="K4" s="128" t="n"/>
      <c r="L4" s="128" t="n"/>
    </row>
    <row r="5" ht="15" customHeight="1" s="87" thickBot="1">
      <c r="A5" s="54" t="n"/>
      <c r="F5" s="59" t="n"/>
      <c r="G5" s="59" t="n"/>
      <c r="H5" s="128" t="n"/>
      <c r="J5" s="128" t="n"/>
      <c r="K5" s="128" t="n"/>
      <c r="L5" s="128" t="n"/>
    </row>
    <row r="6" ht="15" customHeight="1" s="87" thickTop="1">
      <c r="A6" s="127" t="inlineStr">
        <is>
          <t>时点</t>
        </is>
      </c>
      <c r="B6" s="127" t="inlineStr">
        <is>
          <t>刻钟点</t>
        </is>
      </c>
      <c r="C6" s="127" t="inlineStr">
        <is>
          <t>是否充电</t>
        </is>
      </c>
      <c r="D6" s="60" t="inlineStr">
        <is>
          <t>当前月份</t>
        </is>
      </c>
      <c r="E6" s="127" t="inlineStr">
        <is>
          <t>充电电量</t>
        </is>
      </c>
      <c r="F6" s="148" t="inlineStr">
        <is>
          <t>容量分摊系数（2026年）</t>
        </is>
      </c>
      <c r="G6" s="149" t="n"/>
      <c r="H6" s="149" t="n"/>
      <c r="I6" s="149" t="n"/>
      <c r="J6" s="149" t="n"/>
      <c r="K6" s="149" t="n"/>
      <c r="L6" s="149" t="n"/>
      <c r="M6" s="149" t="n"/>
      <c r="N6" s="149" t="n"/>
      <c r="O6" s="149" t="n"/>
      <c r="P6" s="149" t="n"/>
      <c r="Q6" s="150" t="n"/>
    </row>
    <row r="7" ht="15" customHeight="1" s="87" thickBot="1">
      <c r="D7" s="61" t="inlineStr">
        <is>
          <t>5月</t>
        </is>
      </c>
      <c r="F7" s="62" t="inlineStr">
        <is>
          <t>1月</t>
        </is>
      </c>
      <c r="G7" s="126" t="inlineStr">
        <is>
          <t>2月</t>
        </is>
      </c>
      <c r="H7" s="126" t="inlineStr">
        <is>
          <t>3月</t>
        </is>
      </c>
      <c r="I7" s="126" t="inlineStr">
        <is>
          <t>4月</t>
        </is>
      </c>
      <c r="J7" s="126" t="inlineStr">
        <is>
          <t>5月</t>
        </is>
      </c>
      <c r="K7" s="126" t="inlineStr">
        <is>
          <t>6月</t>
        </is>
      </c>
      <c r="L7" s="126" t="inlineStr">
        <is>
          <t>7月</t>
        </is>
      </c>
      <c r="M7" s="126" t="inlineStr">
        <is>
          <t>8月</t>
        </is>
      </c>
      <c r="N7" s="126" t="inlineStr">
        <is>
          <t>9月</t>
        </is>
      </c>
      <c r="O7" s="126" t="inlineStr">
        <is>
          <t>10月</t>
        </is>
      </c>
      <c r="P7" s="126" t="inlineStr">
        <is>
          <t>11月</t>
        </is>
      </c>
      <c r="Q7" s="64" t="inlineStr">
        <is>
          <t>12月</t>
        </is>
      </c>
    </row>
    <row r="8" ht="15" customHeight="1" s="87" thickTop="1">
      <c r="A8" s="126" t="n">
        <v>1</v>
      </c>
      <c r="B8" s="126" t="n">
        <v>1</v>
      </c>
      <c r="C8" s="102">
        <f>IF(E8&lt;0,1,0)</f>
        <v/>
      </c>
      <c r="D8" s="65">
        <f t="array" ref="D8">INDIRECT(ADDRESS(B8+ROW($D$7),MATCH($D$7,$F$7:$Q$7,0)+5))</f>
        <v/>
      </c>
      <c r="E8" s="66">
        <f>报价及预中标!L2/4</f>
        <v/>
      </c>
      <c r="F8" s="62" t="n">
        <v>1</v>
      </c>
      <c r="G8" s="62" t="n">
        <v>1</v>
      </c>
      <c r="H8" s="126" t="n">
        <v>1</v>
      </c>
      <c r="I8" s="126" t="n">
        <v>1</v>
      </c>
      <c r="J8" s="126" t="n">
        <v>1</v>
      </c>
      <c r="K8" s="126" t="n">
        <v>1</v>
      </c>
      <c r="L8" s="126" t="n">
        <v>0.3</v>
      </c>
      <c r="M8" s="126" t="n">
        <v>0.3</v>
      </c>
      <c r="N8" s="126" t="n">
        <v>1</v>
      </c>
      <c r="O8" s="126" t="n">
        <v>1</v>
      </c>
      <c r="P8" s="126" t="n">
        <v>1</v>
      </c>
      <c r="Q8" s="62" t="n">
        <v>1</v>
      </c>
    </row>
    <row r="9" ht="15" customHeight="1" s="87">
      <c r="A9" s="151" t="n"/>
      <c r="B9" s="126" t="n">
        <v>2</v>
      </c>
      <c r="C9" s="102">
        <f>IF(E9&lt;0,1,0)</f>
        <v/>
      </c>
      <c r="D9" s="126">
        <f t="array" ref="D9">INDIRECT(ADDRESS(B9+ROW($D$7),MATCH($D$7,$F$7:$Q$7,0)+5))</f>
        <v/>
      </c>
      <c r="E9" s="66">
        <f>报价及预中标!L3/4</f>
        <v/>
      </c>
      <c r="F9" s="62" t="n">
        <v>1</v>
      </c>
      <c r="G9" s="62" t="n">
        <v>1</v>
      </c>
      <c r="H9" s="126" t="n">
        <v>1</v>
      </c>
      <c r="I9" s="126" t="n">
        <v>1</v>
      </c>
      <c r="J9" s="126" t="n">
        <v>1</v>
      </c>
      <c r="K9" s="126" t="n">
        <v>1</v>
      </c>
      <c r="L9" s="126" t="n">
        <v>0.3</v>
      </c>
      <c r="M9" s="126" t="n">
        <v>0.3</v>
      </c>
      <c r="N9" s="126" t="n">
        <v>1</v>
      </c>
      <c r="O9" s="126" t="n">
        <v>1</v>
      </c>
      <c r="P9" s="126" t="n">
        <v>1</v>
      </c>
      <c r="Q9" s="62" t="n">
        <v>1</v>
      </c>
    </row>
    <row r="10" ht="15" customHeight="1" s="87">
      <c r="A10" s="151" t="n"/>
      <c r="B10" s="126" t="n">
        <v>3</v>
      </c>
      <c r="C10" s="102">
        <f>IF(E10&lt;0,1,0)</f>
        <v/>
      </c>
      <c r="D10" s="126">
        <f t="array" ref="D10">INDIRECT(ADDRESS(B10+ROW($D$7),MATCH($D$7,$F$7:$Q$7,0)+5))</f>
        <v/>
      </c>
      <c r="E10" s="66">
        <f>报价及预中标!L4/4</f>
        <v/>
      </c>
      <c r="F10" s="62" t="n">
        <v>1</v>
      </c>
      <c r="G10" s="62" t="n">
        <v>1</v>
      </c>
      <c r="H10" s="126" t="n">
        <v>1</v>
      </c>
      <c r="I10" s="126" t="n">
        <v>1</v>
      </c>
      <c r="J10" s="126" t="n">
        <v>1</v>
      </c>
      <c r="K10" s="126" t="n">
        <v>1</v>
      </c>
      <c r="L10" s="126" t="n">
        <v>0.3</v>
      </c>
      <c r="M10" s="126" t="n">
        <v>0.3</v>
      </c>
      <c r="N10" s="126" t="n">
        <v>1</v>
      </c>
      <c r="O10" s="126" t="n">
        <v>1</v>
      </c>
      <c r="P10" s="126" t="n">
        <v>1</v>
      </c>
      <c r="Q10" s="62" t="n">
        <v>1</v>
      </c>
    </row>
    <row r="11" ht="15" customHeight="1" s="87">
      <c r="A11" s="152" t="n"/>
      <c r="B11" s="126" t="n">
        <v>4</v>
      </c>
      <c r="C11" s="102">
        <f>IF(E11&lt;0,1,0)</f>
        <v/>
      </c>
      <c r="D11" s="126">
        <f t="array" ref="D11">INDIRECT(ADDRESS(B11+ROW($D$7),MATCH($D$7,$F$7:$Q$7,0)+5))</f>
        <v/>
      </c>
      <c r="E11" s="66">
        <f>报价及预中标!L5/4</f>
        <v/>
      </c>
      <c r="F11" s="62" t="n">
        <v>1</v>
      </c>
      <c r="G11" s="62" t="n">
        <v>1</v>
      </c>
      <c r="H11" s="126" t="n">
        <v>1</v>
      </c>
      <c r="I11" s="126" t="n">
        <v>1</v>
      </c>
      <c r="J11" s="126" t="n">
        <v>1</v>
      </c>
      <c r="K11" s="126" t="n">
        <v>1</v>
      </c>
      <c r="L11" s="126" t="n">
        <v>0.3</v>
      </c>
      <c r="M11" s="126" t="n">
        <v>0.3</v>
      </c>
      <c r="N11" s="126" t="n">
        <v>1</v>
      </c>
      <c r="O11" s="126" t="n">
        <v>1</v>
      </c>
      <c r="P11" s="126" t="n">
        <v>1</v>
      </c>
      <c r="Q11" s="62" t="n">
        <v>1</v>
      </c>
    </row>
    <row r="12" ht="15" customHeight="1" s="87">
      <c r="A12" s="126" t="n">
        <v>2</v>
      </c>
      <c r="B12" s="126" t="n">
        <v>5</v>
      </c>
      <c r="C12" s="102">
        <f>IF(E12&lt;0,1,0)</f>
        <v/>
      </c>
      <c r="D12" s="126">
        <f t="array" ref="D12">INDIRECT(ADDRESS(B12+ROW($D$7),MATCH($D$7,$F$7:$Q$7,0)+5))</f>
        <v/>
      </c>
      <c r="E12" s="66">
        <f>报价及预中标!L6/4</f>
        <v/>
      </c>
      <c r="F12" s="62" t="n">
        <v>0.3</v>
      </c>
      <c r="G12" s="62" t="n">
        <v>0.3</v>
      </c>
      <c r="H12" s="126" t="n">
        <v>1</v>
      </c>
      <c r="I12" s="126" t="n">
        <v>1</v>
      </c>
      <c r="J12" s="126" t="n">
        <v>1</v>
      </c>
      <c r="K12" s="126" t="n">
        <v>1</v>
      </c>
      <c r="L12" s="126" t="n">
        <v>0.3</v>
      </c>
      <c r="M12" s="126" t="n">
        <v>0.3</v>
      </c>
      <c r="N12" s="126" t="n">
        <v>1</v>
      </c>
      <c r="O12" s="126" t="n">
        <v>1</v>
      </c>
      <c r="P12" s="126" t="n">
        <v>1</v>
      </c>
      <c r="Q12" s="62" t="n">
        <v>0.3</v>
      </c>
    </row>
    <row r="13" ht="15" customHeight="1" s="87">
      <c r="A13" s="151" t="n"/>
      <c r="B13" s="126" t="n">
        <v>6</v>
      </c>
      <c r="C13" s="102">
        <f>IF(E13&lt;0,1,0)</f>
        <v/>
      </c>
      <c r="D13" s="126">
        <f t="array" ref="D13">INDIRECT(ADDRESS(B13+ROW($D$7),MATCH($D$7,$F$7:$Q$7,0)+5))</f>
        <v/>
      </c>
      <c r="E13" s="66">
        <f>报价及预中标!L7/4</f>
        <v/>
      </c>
      <c r="F13" s="62" t="n">
        <v>0.3</v>
      </c>
      <c r="G13" s="62" t="n">
        <v>0.3</v>
      </c>
      <c r="H13" s="126" t="n">
        <v>1</v>
      </c>
      <c r="I13" s="126" t="n">
        <v>1</v>
      </c>
      <c r="J13" s="126" t="n">
        <v>1</v>
      </c>
      <c r="K13" s="126" t="n">
        <v>1</v>
      </c>
      <c r="L13" s="126" t="n">
        <v>0.3</v>
      </c>
      <c r="M13" s="126" t="n">
        <v>0.3</v>
      </c>
      <c r="N13" s="126" t="n">
        <v>1</v>
      </c>
      <c r="O13" s="126" t="n">
        <v>1</v>
      </c>
      <c r="P13" s="126" t="n">
        <v>1</v>
      </c>
      <c r="Q13" s="62" t="n">
        <v>0.3</v>
      </c>
    </row>
    <row r="14" ht="15" customHeight="1" s="87">
      <c r="A14" s="151" t="n"/>
      <c r="B14" s="126" t="n">
        <v>7</v>
      </c>
      <c r="C14" s="102">
        <f>IF(E14&lt;0,1,0)</f>
        <v/>
      </c>
      <c r="D14" s="126">
        <f t="array" ref="D14">INDIRECT(ADDRESS(B14+ROW($D$7),MATCH($D$7,$F$7:$Q$7,0)+5))</f>
        <v/>
      </c>
      <c r="E14" s="66">
        <f>报价及预中标!L8/4</f>
        <v/>
      </c>
      <c r="F14" s="62" t="n">
        <v>0.3</v>
      </c>
      <c r="G14" s="62" t="n">
        <v>0.3</v>
      </c>
      <c r="H14" s="126" t="n">
        <v>1</v>
      </c>
      <c r="I14" s="126" t="n">
        <v>1</v>
      </c>
      <c r="J14" s="126" t="n">
        <v>1</v>
      </c>
      <c r="K14" s="126" t="n">
        <v>1</v>
      </c>
      <c r="L14" s="126" t="n">
        <v>0.3</v>
      </c>
      <c r="M14" s="126" t="n">
        <v>0.3</v>
      </c>
      <c r="N14" s="126" t="n">
        <v>1</v>
      </c>
      <c r="O14" s="126" t="n">
        <v>1</v>
      </c>
      <c r="P14" s="126" t="n">
        <v>1</v>
      </c>
      <c r="Q14" s="62" t="n">
        <v>0.3</v>
      </c>
    </row>
    <row r="15" ht="15" customHeight="1" s="87">
      <c r="A15" s="152" t="n"/>
      <c r="B15" s="126" t="n">
        <v>8</v>
      </c>
      <c r="C15" s="102">
        <f>IF(E15&lt;0,1,0)</f>
        <v/>
      </c>
      <c r="D15" s="126">
        <f t="array" ref="D15">INDIRECT(ADDRESS(B15+ROW($D$7),MATCH($D$7,$F$7:$Q$7,0)+5))</f>
        <v/>
      </c>
      <c r="E15" s="66">
        <f>报价及预中标!L9/4</f>
        <v/>
      </c>
      <c r="F15" s="62" t="n">
        <v>0.3</v>
      </c>
      <c r="G15" s="62" t="n">
        <v>0.3</v>
      </c>
      <c r="H15" s="126" t="n">
        <v>1</v>
      </c>
      <c r="I15" s="126" t="n">
        <v>1</v>
      </c>
      <c r="J15" s="126" t="n">
        <v>1</v>
      </c>
      <c r="K15" s="126" t="n">
        <v>1</v>
      </c>
      <c r="L15" s="126" t="n">
        <v>0.3</v>
      </c>
      <c r="M15" s="126" t="n">
        <v>0.3</v>
      </c>
      <c r="N15" s="126" t="n">
        <v>1</v>
      </c>
      <c r="O15" s="126" t="n">
        <v>1</v>
      </c>
      <c r="P15" s="126" t="n">
        <v>1</v>
      </c>
      <c r="Q15" s="62" t="n">
        <v>0.3</v>
      </c>
    </row>
    <row r="16" ht="15" customHeight="1" s="87">
      <c r="A16" s="126" t="n">
        <v>3</v>
      </c>
      <c r="B16" s="126" t="n">
        <v>9</v>
      </c>
      <c r="C16" s="102">
        <f>IF(E16&lt;0,1,0)</f>
        <v/>
      </c>
      <c r="D16" s="126">
        <f t="array" ref="D16">INDIRECT(ADDRESS(B16+ROW($D$7),MATCH($D$7,$F$7:$Q$7,0)+5))</f>
        <v/>
      </c>
      <c r="E16" s="66">
        <f>报价及预中标!L10/4</f>
        <v/>
      </c>
      <c r="F16" s="62" t="n">
        <v>0.3</v>
      </c>
      <c r="G16" s="62" t="n">
        <v>0.3</v>
      </c>
      <c r="H16" s="126" t="n">
        <v>1</v>
      </c>
      <c r="I16" s="126" t="n">
        <v>1</v>
      </c>
      <c r="J16" s="126" t="n">
        <v>1</v>
      </c>
      <c r="K16" s="126" t="n">
        <v>1</v>
      </c>
      <c r="L16" s="126" t="n">
        <v>0.3</v>
      </c>
      <c r="M16" s="126" t="n">
        <v>0.3</v>
      </c>
      <c r="N16" s="126" t="n">
        <v>1</v>
      </c>
      <c r="O16" s="126" t="n">
        <v>1</v>
      </c>
      <c r="P16" s="126" t="n">
        <v>1</v>
      </c>
      <c r="Q16" s="62" t="n">
        <v>0.3</v>
      </c>
    </row>
    <row r="17" ht="15" customHeight="1" s="87">
      <c r="A17" s="151" t="n"/>
      <c r="B17" s="126" t="n">
        <v>10</v>
      </c>
      <c r="C17" s="102">
        <f>IF(E17&lt;0,1,0)</f>
        <v/>
      </c>
      <c r="D17" s="126">
        <f t="array" ref="D17">INDIRECT(ADDRESS(B17+ROW($D$7),MATCH($D$7,$F$7:$Q$7,0)+5))</f>
        <v/>
      </c>
      <c r="E17" s="66">
        <f>报价及预中标!L11/4</f>
        <v/>
      </c>
      <c r="F17" s="62" t="n">
        <v>0.3</v>
      </c>
      <c r="G17" s="62" t="n">
        <v>0.3</v>
      </c>
      <c r="H17" s="126" t="n">
        <v>1</v>
      </c>
      <c r="I17" s="126" t="n">
        <v>1</v>
      </c>
      <c r="J17" s="126" t="n">
        <v>1</v>
      </c>
      <c r="K17" s="126" t="n">
        <v>1</v>
      </c>
      <c r="L17" s="126" t="n">
        <v>0.3</v>
      </c>
      <c r="M17" s="126" t="n">
        <v>0.3</v>
      </c>
      <c r="N17" s="126" t="n">
        <v>1</v>
      </c>
      <c r="O17" s="126" t="n">
        <v>1</v>
      </c>
      <c r="P17" s="126" t="n">
        <v>1</v>
      </c>
      <c r="Q17" s="62" t="n">
        <v>0.3</v>
      </c>
    </row>
    <row r="18" ht="15" customHeight="1" s="87">
      <c r="A18" s="151" t="n"/>
      <c r="B18" s="126" t="n">
        <v>11</v>
      </c>
      <c r="C18" s="102">
        <f>IF(E18&lt;0,1,0)</f>
        <v/>
      </c>
      <c r="D18" s="126">
        <f t="array" ref="D18">INDIRECT(ADDRESS(B18+ROW($D$7),MATCH($D$7,$F$7:$Q$7,0)+5))</f>
        <v/>
      </c>
      <c r="E18" s="66">
        <f>报价及预中标!L12/4</f>
        <v/>
      </c>
      <c r="F18" s="62" t="n">
        <v>0.3</v>
      </c>
      <c r="G18" s="62" t="n">
        <v>0.3</v>
      </c>
      <c r="H18" s="126" t="n">
        <v>1</v>
      </c>
      <c r="I18" s="126" t="n">
        <v>1</v>
      </c>
      <c r="J18" s="126" t="n">
        <v>1</v>
      </c>
      <c r="K18" s="126" t="n">
        <v>1</v>
      </c>
      <c r="L18" s="126" t="n">
        <v>0.3</v>
      </c>
      <c r="M18" s="126" t="n">
        <v>0.3</v>
      </c>
      <c r="N18" s="126" t="n">
        <v>1</v>
      </c>
      <c r="O18" s="126" t="n">
        <v>1</v>
      </c>
      <c r="P18" s="126" t="n">
        <v>1</v>
      </c>
      <c r="Q18" s="62" t="n">
        <v>0.3</v>
      </c>
    </row>
    <row r="19" ht="15" customHeight="1" s="87">
      <c r="A19" s="152" t="n"/>
      <c r="B19" s="126" t="n">
        <v>12</v>
      </c>
      <c r="C19" s="102">
        <f>IF(E19&lt;0,1,0)</f>
        <v/>
      </c>
      <c r="D19" s="126">
        <f t="array" ref="D19">INDIRECT(ADDRESS(B19+ROW($D$7),MATCH($D$7,$F$7:$Q$7,0)+5))</f>
        <v/>
      </c>
      <c r="E19" s="66">
        <f>报价及预中标!L13/4</f>
        <v/>
      </c>
      <c r="F19" s="62" t="n">
        <v>0.3</v>
      </c>
      <c r="G19" s="62" t="n">
        <v>0.3</v>
      </c>
      <c r="H19" s="126" t="n">
        <v>1</v>
      </c>
      <c r="I19" s="126" t="n">
        <v>1</v>
      </c>
      <c r="J19" s="126" t="n">
        <v>1</v>
      </c>
      <c r="K19" s="126" t="n">
        <v>1</v>
      </c>
      <c r="L19" s="126" t="n">
        <v>0.3</v>
      </c>
      <c r="M19" s="126" t="n">
        <v>0.3</v>
      </c>
      <c r="N19" s="126" t="n">
        <v>1</v>
      </c>
      <c r="O19" s="126" t="n">
        <v>1</v>
      </c>
      <c r="P19" s="126" t="n">
        <v>1</v>
      </c>
      <c r="Q19" s="62" t="n">
        <v>0.3</v>
      </c>
    </row>
    <row r="20" ht="15" customHeight="1" s="87">
      <c r="A20" s="126" t="n">
        <v>4</v>
      </c>
      <c r="B20" s="126" t="n">
        <v>13</v>
      </c>
      <c r="C20" s="102">
        <f>IF(E20&lt;0,1,0)</f>
        <v/>
      </c>
      <c r="D20" s="126">
        <f t="array" ref="D20">INDIRECT(ADDRESS(B20+ROW($D$7),MATCH($D$7,$F$7:$Q$7,0)+5))</f>
        <v/>
      </c>
      <c r="E20" s="66">
        <f>报价及预中标!L14/4</f>
        <v/>
      </c>
      <c r="F20" s="62" t="n">
        <v>0.3</v>
      </c>
      <c r="G20" s="62" t="n">
        <v>0.3</v>
      </c>
      <c r="H20" s="126" t="n">
        <v>1</v>
      </c>
      <c r="I20" s="126" t="n">
        <v>1</v>
      </c>
      <c r="J20" s="126" t="n">
        <v>1</v>
      </c>
      <c r="K20" s="126" t="n">
        <v>1</v>
      </c>
      <c r="L20" s="126" t="n">
        <v>0.3</v>
      </c>
      <c r="M20" s="126" t="n">
        <v>0.3</v>
      </c>
      <c r="N20" s="126" t="n">
        <v>1</v>
      </c>
      <c r="O20" s="126" t="n">
        <v>1</v>
      </c>
      <c r="P20" s="126" t="n">
        <v>1</v>
      </c>
      <c r="Q20" s="62" t="n">
        <v>0.3</v>
      </c>
    </row>
    <row r="21" ht="15" customHeight="1" s="87">
      <c r="A21" s="151" t="n"/>
      <c r="B21" s="126" t="n">
        <v>14</v>
      </c>
      <c r="C21" s="102">
        <f>IF(E21&lt;0,1,0)</f>
        <v/>
      </c>
      <c r="D21" s="126">
        <f t="array" ref="D21">INDIRECT(ADDRESS(B21+ROW($D$7),MATCH($D$7,$F$7:$Q$7,0)+5))</f>
        <v/>
      </c>
      <c r="E21" s="66">
        <f>报价及预中标!L15/4</f>
        <v/>
      </c>
      <c r="F21" s="62" t="n">
        <v>0.3</v>
      </c>
      <c r="G21" s="62" t="n">
        <v>0.3</v>
      </c>
      <c r="H21" s="126" t="n">
        <v>1</v>
      </c>
      <c r="I21" s="126" t="n">
        <v>1</v>
      </c>
      <c r="J21" s="126" t="n">
        <v>1</v>
      </c>
      <c r="K21" s="126" t="n">
        <v>1</v>
      </c>
      <c r="L21" s="126" t="n">
        <v>0.3</v>
      </c>
      <c r="M21" s="126" t="n">
        <v>0.3</v>
      </c>
      <c r="N21" s="126" t="n">
        <v>1</v>
      </c>
      <c r="O21" s="126" t="n">
        <v>1</v>
      </c>
      <c r="P21" s="126" t="n">
        <v>1</v>
      </c>
      <c r="Q21" s="62" t="n">
        <v>0.3</v>
      </c>
    </row>
    <row r="22" ht="15" customHeight="1" s="87">
      <c r="A22" s="151" t="n"/>
      <c r="B22" s="126" t="n">
        <v>15</v>
      </c>
      <c r="C22" s="102">
        <f>IF(E22&lt;0,1,0)</f>
        <v/>
      </c>
      <c r="D22" s="126">
        <f t="array" ref="D22">INDIRECT(ADDRESS(B22+ROW($D$7),MATCH($D$7,$F$7:$Q$7,0)+5))</f>
        <v/>
      </c>
      <c r="E22" s="66">
        <f>报价及预中标!L16/4</f>
        <v/>
      </c>
      <c r="F22" s="62" t="n">
        <v>0.3</v>
      </c>
      <c r="G22" s="62" t="n">
        <v>0.3</v>
      </c>
      <c r="H22" s="126" t="n">
        <v>1</v>
      </c>
      <c r="I22" s="126" t="n">
        <v>1</v>
      </c>
      <c r="J22" s="126" t="n">
        <v>1</v>
      </c>
      <c r="K22" s="126" t="n">
        <v>1</v>
      </c>
      <c r="L22" s="126" t="n">
        <v>0.3</v>
      </c>
      <c r="M22" s="126" t="n">
        <v>0.3</v>
      </c>
      <c r="N22" s="126" t="n">
        <v>1</v>
      </c>
      <c r="O22" s="126" t="n">
        <v>1</v>
      </c>
      <c r="P22" s="126" t="n">
        <v>1</v>
      </c>
      <c r="Q22" s="62" t="n">
        <v>0.3</v>
      </c>
    </row>
    <row r="23" ht="15" customHeight="1" s="87">
      <c r="A23" s="152" t="n"/>
      <c r="B23" s="126" t="n">
        <v>16</v>
      </c>
      <c r="C23" s="102">
        <f>IF(E23&lt;0,1,0)</f>
        <v/>
      </c>
      <c r="D23" s="126">
        <f t="array" ref="D23">INDIRECT(ADDRESS(B23+ROW($D$7),MATCH($D$7,$F$7:$Q$7,0)+5))</f>
        <v/>
      </c>
      <c r="E23" s="66">
        <f>报价及预中标!L17/4</f>
        <v/>
      </c>
      <c r="F23" s="62" t="n">
        <v>0.3</v>
      </c>
      <c r="G23" s="62" t="n">
        <v>0.3</v>
      </c>
      <c r="H23" s="126" t="n">
        <v>1</v>
      </c>
      <c r="I23" s="126" t="n">
        <v>1</v>
      </c>
      <c r="J23" s="126" t="n">
        <v>1</v>
      </c>
      <c r="K23" s="126" t="n">
        <v>1</v>
      </c>
      <c r="L23" s="126" t="n">
        <v>0.3</v>
      </c>
      <c r="M23" s="126" t="n">
        <v>0.3</v>
      </c>
      <c r="N23" s="126" t="n">
        <v>1</v>
      </c>
      <c r="O23" s="126" t="n">
        <v>1</v>
      </c>
      <c r="P23" s="126" t="n">
        <v>1</v>
      </c>
      <c r="Q23" s="62" t="n">
        <v>0.3</v>
      </c>
    </row>
    <row r="24" ht="15" customHeight="1" s="87">
      <c r="A24" s="126" t="n">
        <v>5</v>
      </c>
      <c r="B24" s="126" t="n">
        <v>17</v>
      </c>
      <c r="C24" s="102">
        <f>IF(E24&lt;0,1,0)</f>
        <v/>
      </c>
      <c r="D24" s="126">
        <f t="array" ref="D24">INDIRECT(ADDRESS(B24+ROW($D$7),MATCH($D$7,$F$7:$Q$7,0)+5))</f>
        <v/>
      </c>
      <c r="E24" s="66">
        <f>报价及预中标!L18/4</f>
        <v/>
      </c>
      <c r="F24" s="62" t="n">
        <v>0.3</v>
      </c>
      <c r="G24" s="62" t="n">
        <v>0.3</v>
      </c>
      <c r="H24" s="126" t="n">
        <v>1</v>
      </c>
      <c r="I24" s="126" t="n">
        <v>1</v>
      </c>
      <c r="J24" s="126" t="n">
        <v>1</v>
      </c>
      <c r="K24" s="126" t="n">
        <v>1</v>
      </c>
      <c r="L24" s="126" t="n">
        <v>0.3</v>
      </c>
      <c r="M24" s="126" t="n">
        <v>0.3</v>
      </c>
      <c r="N24" s="126" t="n">
        <v>1</v>
      </c>
      <c r="O24" s="126" t="n">
        <v>1</v>
      </c>
      <c r="P24" s="126" t="n">
        <v>1</v>
      </c>
      <c r="Q24" s="62" t="n">
        <v>0.3</v>
      </c>
    </row>
    <row r="25" ht="15" customHeight="1" s="87">
      <c r="A25" s="151" t="n"/>
      <c r="B25" s="126" t="n">
        <v>18</v>
      </c>
      <c r="C25" s="102">
        <f>IF(E25&lt;0,1,0)</f>
        <v/>
      </c>
      <c r="D25" s="126">
        <f t="array" ref="D25">INDIRECT(ADDRESS(B25+ROW($D$7),MATCH($D$7,$F$7:$Q$7,0)+5))</f>
        <v/>
      </c>
      <c r="E25" s="66">
        <f>报价及预中标!L19/4</f>
        <v/>
      </c>
      <c r="F25" s="62" t="n">
        <v>0.3</v>
      </c>
      <c r="G25" s="62" t="n">
        <v>0.3</v>
      </c>
      <c r="H25" s="126" t="n">
        <v>1</v>
      </c>
      <c r="I25" s="126" t="n">
        <v>1</v>
      </c>
      <c r="J25" s="126" t="n">
        <v>1</v>
      </c>
      <c r="K25" s="126" t="n">
        <v>1</v>
      </c>
      <c r="L25" s="126" t="n">
        <v>0.3</v>
      </c>
      <c r="M25" s="126" t="n">
        <v>0.3</v>
      </c>
      <c r="N25" s="126" t="n">
        <v>1</v>
      </c>
      <c r="O25" s="126" t="n">
        <v>1</v>
      </c>
      <c r="P25" s="126" t="n">
        <v>1</v>
      </c>
      <c r="Q25" s="62" t="n">
        <v>0.3</v>
      </c>
    </row>
    <row r="26" ht="15" customHeight="1" s="87">
      <c r="A26" s="151" t="n"/>
      <c r="B26" s="126" t="n">
        <v>19</v>
      </c>
      <c r="C26" s="102">
        <f>IF(E26&lt;0,1,0)</f>
        <v/>
      </c>
      <c r="D26" s="126">
        <f t="array" ref="D26">INDIRECT(ADDRESS(B26+ROW($D$7),MATCH($D$7,$F$7:$Q$7,0)+5))</f>
        <v/>
      </c>
      <c r="E26" s="66">
        <f>报价及预中标!L20/4</f>
        <v/>
      </c>
      <c r="F26" s="62" t="n">
        <v>0.3</v>
      </c>
      <c r="G26" s="62" t="n">
        <v>0.3</v>
      </c>
      <c r="H26" s="126" t="n">
        <v>1</v>
      </c>
      <c r="I26" s="126" t="n">
        <v>1</v>
      </c>
      <c r="J26" s="126" t="n">
        <v>1</v>
      </c>
      <c r="K26" s="126" t="n">
        <v>1</v>
      </c>
      <c r="L26" s="126" t="n">
        <v>0.3</v>
      </c>
      <c r="M26" s="126" t="n">
        <v>0.3</v>
      </c>
      <c r="N26" s="126" t="n">
        <v>1</v>
      </c>
      <c r="O26" s="126" t="n">
        <v>1</v>
      </c>
      <c r="P26" s="126" t="n">
        <v>1</v>
      </c>
      <c r="Q26" s="62" t="n">
        <v>0.3</v>
      </c>
    </row>
    <row r="27" ht="15" customHeight="1" s="87">
      <c r="A27" s="152" t="n"/>
      <c r="B27" s="126" t="n">
        <v>20</v>
      </c>
      <c r="C27" s="102">
        <f>IF(E27&lt;0,1,0)</f>
        <v/>
      </c>
      <c r="D27" s="126">
        <f t="array" ref="D27">INDIRECT(ADDRESS(B27+ROW($D$7),MATCH($D$7,$F$7:$Q$7,0)+5))</f>
        <v/>
      </c>
      <c r="E27" s="66">
        <f>报价及预中标!L21/4</f>
        <v/>
      </c>
      <c r="F27" s="62" t="n">
        <v>0.3</v>
      </c>
      <c r="G27" s="62" t="n">
        <v>0.3</v>
      </c>
      <c r="H27" s="126" t="n">
        <v>1</v>
      </c>
      <c r="I27" s="126" t="n">
        <v>1</v>
      </c>
      <c r="J27" s="126" t="n">
        <v>1</v>
      </c>
      <c r="K27" s="126" t="n">
        <v>1</v>
      </c>
      <c r="L27" s="126" t="n">
        <v>0.3</v>
      </c>
      <c r="M27" s="126" t="n">
        <v>0.3</v>
      </c>
      <c r="N27" s="126" t="n">
        <v>1</v>
      </c>
      <c r="O27" s="126" t="n">
        <v>1</v>
      </c>
      <c r="P27" s="126" t="n">
        <v>1</v>
      </c>
      <c r="Q27" s="62" t="n">
        <v>0.3</v>
      </c>
    </row>
    <row r="28" ht="15" customHeight="1" s="87">
      <c r="A28" s="126" t="n">
        <v>6</v>
      </c>
      <c r="B28" s="126" t="n">
        <v>21</v>
      </c>
      <c r="C28" s="102">
        <f>IF(E28&lt;0,1,0)</f>
        <v/>
      </c>
      <c r="D28" s="126">
        <f t="array" ref="D28">INDIRECT(ADDRESS(B28+ROW($D$7),MATCH($D$7,$F$7:$Q$7,0)+5))</f>
        <v/>
      </c>
      <c r="E28" s="66">
        <f>报价及预中标!L22/4</f>
        <v/>
      </c>
      <c r="F28" s="62" t="n">
        <v>0.3</v>
      </c>
      <c r="G28" s="62" t="n">
        <v>0.3</v>
      </c>
      <c r="H28" s="126" t="n">
        <v>1</v>
      </c>
      <c r="I28" s="126" t="n">
        <v>1</v>
      </c>
      <c r="J28" s="126" t="n">
        <v>1</v>
      </c>
      <c r="K28" s="126" t="n">
        <v>1</v>
      </c>
      <c r="L28" s="126" t="n">
        <v>0.3</v>
      </c>
      <c r="M28" s="126" t="n">
        <v>0.3</v>
      </c>
      <c r="N28" s="126" t="n">
        <v>1</v>
      </c>
      <c r="O28" s="126" t="n">
        <v>1</v>
      </c>
      <c r="P28" s="126" t="n">
        <v>1</v>
      </c>
      <c r="Q28" s="62" t="n">
        <v>0.3</v>
      </c>
    </row>
    <row r="29" ht="15" customHeight="1" s="87">
      <c r="A29" s="151" t="n"/>
      <c r="B29" s="126" t="n">
        <v>22</v>
      </c>
      <c r="C29" s="102">
        <f>IF(E29&lt;0,1,0)</f>
        <v/>
      </c>
      <c r="D29" s="126">
        <f t="array" ref="D29">INDIRECT(ADDRESS(B29+ROW($D$7),MATCH($D$7,$F$7:$Q$7,0)+5))</f>
        <v/>
      </c>
      <c r="E29" s="66">
        <f>报价及预中标!L23/4</f>
        <v/>
      </c>
      <c r="F29" s="62" t="n">
        <v>0.3</v>
      </c>
      <c r="G29" s="62" t="n">
        <v>0.3</v>
      </c>
      <c r="H29" s="126" t="n">
        <v>1</v>
      </c>
      <c r="I29" s="126" t="n">
        <v>1</v>
      </c>
      <c r="J29" s="126" t="n">
        <v>1</v>
      </c>
      <c r="K29" s="126" t="n">
        <v>1</v>
      </c>
      <c r="L29" s="126" t="n">
        <v>0.3</v>
      </c>
      <c r="M29" s="126" t="n">
        <v>0.3</v>
      </c>
      <c r="N29" s="126" t="n">
        <v>1</v>
      </c>
      <c r="O29" s="126" t="n">
        <v>1</v>
      </c>
      <c r="P29" s="126" t="n">
        <v>1</v>
      </c>
      <c r="Q29" s="62" t="n">
        <v>0.3</v>
      </c>
    </row>
    <row r="30" ht="15" customHeight="1" s="87">
      <c r="A30" s="151" t="n"/>
      <c r="B30" s="126" t="n">
        <v>23</v>
      </c>
      <c r="C30" s="102">
        <f>IF(E30&lt;0,1,0)</f>
        <v/>
      </c>
      <c r="D30" s="126">
        <f t="array" ref="D30">INDIRECT(ADDRESS(B30+ROW($D$7),MATCH($D$7,$F$7:$Q$7,0)+5))</f>
        <v/>
      </c>
      <c r="E30" s="66">
        <f>报价及预中标!L24/4</f>
        <v/>
      </c>
      <c r="F30" s="62" t="n">
        <v>0.3</v>
      </c>
      <c r="G30" s="62" t="n">
        <v>0.3</v>
      </c>
      <c r="H30" s="126" t="n">
        <v>1</v>
      </c>
      <c r="I30" s="126" t="n">
        <v>1</v>
      </c>
      <c r="J30" s="126" t="n">
        <v>1</v>
      </c>
      <c r="K30" s="126" t="n">
        <v>1</v>
      </c>
      <c r="L30" s="126" t="n">
        <v>0.3</v>
      </c>
      <c r="M30" s="126" t="n">
        <v>0.3</v>
      </c>
      <c r="N30" s="126" t="n">
        <v>1</v>
      </c>
      <c r="O30" s="126" t="n">
        <v>1</v>
      </c>
      <c r="P30" s="126" t="n">
        <v>1</v>
      </c>
      <c r="Q30" s="62" t="n">
        <v>0.3</v>
      </c>
    </row>
    <row r="31" ht="15" customHeight="1" s="87">
      <c r="A31" s="152" t="n"/>
      <c r="B31" s="126" t="n">
        <v>24</v>
      </c>
      <c r="C31" s="102">
        <f>IF(E31&lt;0,1,0)</f>
        <v/>
      </c>
      <c r="D31" s="126">
        <f t="array" ref="D31">INDIRECT(ADDRESS(B31+ROW($D$7),MATCH($D$7,$F$7:$Q$7,0)+5))</f>
        <v/>
      </c>
      <c r="E31" s="66">
        <f>报价及预中标!L25/4</f>
        <v/>
      </c>
      <c r="F31" s="62" t="n">
        <v>0.3</v>
      </c>
      <c r="G31" s="62" t="n">
        <v>0.3</v>
      </c>
      <c r="H31" s="126" t="n">
        <v>1</v>
      </c>
      <c r="I31" s="126" t="n">
        <v>1</v>
      </c>
      <c r="J31" s="126" t="n">
        <v>1</v>
      </c>
      <c r="K31" s="126" t="n">
        <v>1</v>
      </c>
      <c r="L31" s="126" t="n">
        <v>0.3</v>
      </c>
      <c r="M31" s="126" t="n">
        <v>0.3</v>
      </c>
      <c r="N31" s="126" t="n">
        <v>1</v>
      </c>
      <c r="O31" s="126" t="n">
        <v>1</v>
      </c>
      <c r="P31" s="126" t="n">
        <v>1</v>
      </c>
      <c r="Q31" s="62" t="n">
        <v>0.3</v>
      </c>
    </row>
    <row r="32" ht="15" customHeight="1" s="87">
      <c r="A32" s="126" t="n">
        <v>7</v>
      </c>
      <c r="B32" s="126" t="n">
        <v>25</v>
      </c>
      <c r="C32" s="102">
        <f>IF(E32&lt;0,1,0)</f>
        <v/>
      </c>
      <c r="D32" s="126">
        <f t="array" ref="D32">INDIRECT(ADDRESS(B32+ROW($D$7),MATCH($D$7,$F$7:$Q$7,0)+5))</f>
        <v/>
      </c>
      <c r="E32" s="66">
        <f>报价及预中标!L26/4</f>
        <v/>
      </c>
      <c r="F32" s="62" t="n">
        <v>1.7</v>
      </c>
      <c r="G32" s="62" t="n">
        <v>1.7</v>
      </c>
      <c r="H32" s="126" t="n">
        <v>1</v>
      </c>
      <c r="I32" s="126" t="n">
        <v>1</v>
      </c>
      <c r="J32" s="126" t="n">
        <v>1</v>
      </c>
      <c r="K32" s="126" t="n">
        <v>0.3</v>
      </c>
      <c r="L32" s="126" t="n">
        <v>1</v>
      </c>
      <c r="M32" s="126" t="n">
        <v>1</v>
      </c>
      <c r="N32" s="126" t="n">
        <v>1</v>
      </c>
      <c r="O32" s="126" t="n">
        <v>1</v>
      </c>
      <c r="P32" s="126" t="n">
        <v>1</v>
      </c>
      <c r="Q32" s="62" t="n">
        <v>1.7</v>
      </c>
    </row>
    <row r="33" ht="15" customHeight="1" s="87">
      <c r="A33" s="151" t="n"/>
      <c r="B33" s="126" t="n">
        <v>26</v>
      </c>
      <c r="C33" s="102">
        <f>IF(E33&lt;0,1,0)</f>
        <v/>
      </c>
      <c r="D33" s="126">
        <f t="array" ref="D33">INDIRECT(ADDRESS(B33+ROW($D$7),MATCH($D$7,$F$7:$Q$7,0)+5))</f>
        <v/>
      </c>
      <c r="E33" s="66">
        <f>报价及预中标!L27/4</f>
        <v/>
      </c>
      <c r="F33" s="62" t="n">
        <v>1.7</v>
      </c>
      <c r="G33" s="62" t="n">
        <v>1.7</v>
      </c>
      <c r="H33" s="126" t="n">
        <v>1</v>
      </c>
      <c r="I33" s="126" t="n">
        <v>1</v>
      </c>
      <c r="J33" s="126" t="n">
        <v>1</v>
      </c>
      <c r="K33" s="126" t="n">
        <v>0.3</v>
      </c>
      <c r="L33" s="126" t="n">
        <v>1</v>
      </c>
      <c r="M33" s="126" t="n">
        <v>1</v>
      </c>
      <c r="N33" s="126" t="n">
        <v>1</v>
      </c>
      <c r="O33" s="126" t="n">
        <v>1</v>
      </c>
      <c r="P33" s="126" t="n">
        <v>1</v>
      </c>
      <c r="Q33" s="62" t="n">
        <v>1.7</v>
      </c>
    </row>
    <row r="34" ht="15" customHeight="1" s="87">
      <c r="A34" s="151" t="n"/>
      <c r="B34" s="126" t="n">
        <v>27</v>
      </c>
      <c r="C34" s="102">
        <f>IF(E34&lt;0,1,0)</f>
        <v/>
      </c>
      <c r="D34" s="126">
        <f t="array" ref="D34">INDIRECT(ADDRESS(B34+ROW($D$7),MATCH($D$7,$F$7:$Q$7,0)+5))</f>
        <v/>
      </c>
      <c r="E34" s="66">
        <f>报价及预中标!L28/4</f>
        <v/>
      </c>
      <c r="F34" s="62" t="n">
        <v>1.7</v>
      </c>
      <c r="G34" s="62" t="n">
        <v>1.7</v>
      </c>
      <c r="H34" s="126" t="n">
        <v>1</v>
      </c>
      <c r="I34" s="126" t="n">
        <v>1</v>
      </c>
      <c r="J34" s="126" t="n">
        <v>1</v>
      </c>
      <c r="K34" s="126" t="n">
        <v>0.3</v>
      </c>
      <c r="L34" s="126" t="n">
        <v>1</v>
      </c>
      <c r="M34" s="126" t="n">
        <v>1</v>
      </c>
      <c r="N34" s="126" t="n">
        <v>1</v>
      </c>
      <c r="O34" s="126" t="n">
        <v>1</v>
      </c>
      <c r="P34" s="126" t="n">
        <v>1</v>
      </c>
      <c r="Q34" s="62" t="n">
        <v>1.7</v>
      </c>
    </row>
    <row r="35" ht="15" customHeight="1" s="87">
      <c r="A35" s="152" t="n"/>
      <c r="B35" s="126" t="n">
        <v>28</v>
      </c>
      <c r="C35" s="102">
        <f>IF(E35&lt;0,1,0)</f>
        <v/>
      </c>
      <c r="D35" s="126">
        <f t="array" ref="D35">INDIRECT(ADDRESS(B35+ROW($D$7),MATCH($D$7,$F$7:$Q$7,0)+5))</f>
        <v/>
      </c>
      <c r="E35" s="66">
        <f>报价及预中标!L29/4</f>
        <v/>
      </c>
      <c r="F35" s="62" t="n">
        <v>1.7</v>
      </c>
      <c r="G35" s="62" t="n">
        <v>1.7</v>
      </c>
      <c r="H35" s="126" t="n">
        <v>1</v>
      </c>
      <c r="I35" s="126" t="n">
        <v>1</v>
      </c>
      <c r="J35" s="126" t="n">
        <v>1</v>
      </c>
      <c r="K35" s="126" t="n">
        <v>0.3</v>
      </c>
      <c r="L35" s="126" t="n">
        <v>1</v>
      </c>
      <c r="M35" s="126" t="n">
        <v>1</v>
      </c>
      <c r="N35" s="126" t="n">
        <v>1</v>
      </c>
      <c r="O35" s="126" t="n">
        <v>1</v>
      </c>
      <c r="P35" s="126" t="n">
        <v>1</v>
      </c>
      <c r="Q35" s="62" t="n">
        <v>1.7</v>
      </c>
    </row>
    <row r="36" ht="15" customHeight="1" s="87">
      <c r="A36" s="126" t="n">
        <v>8</v>
      </c>
      <c r="B36" s="126" t="n">
        <v>29</v>
      </c>
      <c r="C36" s="102">
        <f>IF(E36&lt;0,1,0)</f>
        <v/>
      </c>
      <c r="D36" s="126">
        <f t="array" ref="D36">INDIRECT(ADDRESS(B36+ROW($D$7),MATCH($D$7,$F$7:$Q$7,0)+5))</f>
        <v/>
      </c>
      <c r="E36" s="66">
        <f>报价及预中标!L30/4</f>
        <v/>
      </c>
      <c r="F36" s="62" t="n">
        <v>1.7</v>
      </c>
      <c r="G36" s="62" t="n">
        <v>1.7</v>
      </c>
      <c r="H36" s="126" t="n">
        <v>1</v>
      </c>
      <c r="I36" s="126" t="n">
        <v>1</v>
      </c>
      <c r="J36" s="126" t="n">
        <v>1</v>
      </c>
      <c r="K36" s="126" t="n">
        <v>0.3</v>
      </c>
      <c r="L36" s="126" t="n">
        <v>1</v>
      </c>
      <c r="M36" s="126" t="n">
        <v>1</v>
      </c>
      <c r="N36" s="126" t="n">
        <v>1</v>
      </c>
      <c r="O36" s="126" t="n">
        <v>1</v>
      </c>
      <c r="P36" s="126" t="n">
        <v>1</v>
      </c>
      <c r="Q36" s="62" t="n">
        <v>1.7</v>
      </c>
    </row>
    <row r="37" ht="15" customHeight="1" s="87">
      <c r="A37" s="151" t="n"/>
      <c r="B37" s="126" t="n">
        <v>30</v>
      </c>
      <c r="C37" s="102">
        <f>IF(E37&lt;0,1,0)</f>
        <v/>
      </c>
      <c r="D37" s="126">
        <f t="array" ref="D37">INDIRECT(ADDRESS(B37+ROW($D$7),MATCH($D$7,$F$7:$Q$7,0)+5))</f>
        <v/>
      </c>
      <c r="E37" s="66">
        <f>报价及预中标!L31/4</f>
        <v/>
      </c>
      <c r="F37" s="62" t="n">
        <v>1.7</v>
      </c>
      <c r="G37" s="62" t="n">
        <v>1.7</v>
      </c>
      <c r="H37" s="126" t="n">
        <v>1</v>
      </c>
      <c r="I37" s="126" t="n">
        <v>1</v>
      </c>
      <c r="J37" s="126" t="n">
        <v>1</v>
      </c>
      <c r="K37" s="126" t="n">
        <v>0.3</v>
      </c>
      <c r="L37" s="126" t="n">
        <v>1</v>
      </c>
      <c r="M37" s="126" t="n">
        <v>1</v>
      </c>
      <c r="N37" s="126" t="n">
        <v>1</v>
      </c>
      <c r="O37" s="126" t="n">
        <v>1</v>
      </c>
      <c r="P37" s="126" t="n">
        <v>1</v>
      </c>
      <c r="Q37" s="62" t="n">
        <v>1.7</v>
      </c>
    </row>
    <row r="38" ht="15" customHeight="1" s="87">
      <c r="A38" s="151" t="n"/>
      <c r="B38" s="126" t="n">
        <v>31</v>
      </c>
      <c r="C38" s="102">
        <f>IF(E38&lt;0,1,0)</f>
        <v/>
      </c>
      <c r="D38" s="126">
        <f t="array" ref="D38">INDIRECT(ADDRESS(B38+ROW($D$7),MATCH($D$7,$F$7:$Q$7,0)+5))</f>
        <v/>
      </c>
      <c r="E38" s="66">
        <f>报价及预中标!L32/4</f>
        <v/>
      </c>
      <c r="F38" s="62" t="n">
        <v>1.7</v>
      </c>
      <c r="G38" s="62" t="n">
        <v>1.7</v>
      </c>
      <c r="H38" s="126" t="n">
        <v>1</v>
      </c>
      <c r="I38" s="126" t="n">
        <v>1</v>
      </c>
      <c r="J38" s="126" t="n">
        <v>1</v>
      </c>
      <c r="K38" s="126" t="n">
        <v>0.3</v>
      </c>
      <c r="L38" s="126" t="n">
        <v>1</v>
      </c>
      <c r="M38" s="126" t="n">
        <v>1</v>
      </c>
      <c r="N38" s="126" t="n">
        <v>1</v>
      </c>
      <c r="O38" s="126" t="n">
        <v>1</v>
      </c>
      <c r="P38" s="126" t="n">
        <v>1</v>
      </c>
      <c r="Q38" s="62" t="n">
        <v>1.7</v>
      </c>
    </row>
    <row r="39" ht="15" customHeight="1" s="87">
      <c r="A39" s="152" t="n"/>
      <c r="B39" s="126" t="n">
        <v>32</v>
      </c>
      <c r="C39" s="102">
        <f>IF(E39&lt;0,1,0)</f>
        <v/>
      </c>
      <c r="D39" s="126">
        <f t="array" ref="D39">INDIRECT(ADDRESS(B39+ROW($D$7),MATCH($D$7,$F$7:$Q$7,0)+5))</f>
        <v/>
      </c>
      <c r="E39" s="66">
        <f>报价及预中标!L33/4</f>
        <v/>
      </c>
      <c r="F39" s="62" t="n">
        <v>1.7</v>
      </c>
      <c r="G39" s="62" t="n">
        <v>1.7</v>
      </c>
      <c r="H39" s="126" t="n">
        <v>1</v>
      </c>
      <c r="I39" s="126" t="n">
        <v>1</v>
      </c>
      <c r="J39" s="126" t="n">
        <v>1</v>
      </c>
      <c r="K39" s="126" t="n">
        <v>0.3</v>
      </c>
      <c r="L39" s="126" t="n">
        <v>1</v>
      </c>
      <c r="M39" s="126" t="n">
        <v>1</v>
      </c>
      <c r="N39" s="126" t="n">
        <v>1</v>
      </c>
      <c r="O39" s="126" t="n">
        <v>1</v>
      </c>
      <c r="P39" s="126" t="n">
        <v>1</v>
      </c>
      <c r="Q39" s="62" t="n">
        <v>1.7</v>
      </c>
    </row>
    <row r="40" ht="15" customHeight="1" s="87">
      <c r="A40" s="126" t="n">
        <v>9</v>
      </c>
      <c r="B40" s="126" t="n">
        <v>33</v>
      </c>
      <c r="C40" s="102">
        <f>IF(E40&lt;0,1,0)</f>
        <v/>
      </c>
      <c r="D40" s="126">
        <f t="array" ref="D40">INDIRECT(ADDRESS(B40+ROW($D$7),MATCH($D$7,$F$7:$Q$7,0)+5))</f>
        <v/>
      </c>
      <c r="E40" s="66">
        <f>报价及预中标!L34/4</f>
        <v/>
      </c>
      <c r="F40" s="62" t="n">
        <v>1.7</v>
      </c>
      <c r="G40" s="62" t="n">
        <v>1.7</v>
      </c>
      <c r="H40" s="126" t="n">
        <v>1</v>
      </c>
      <c r="I40" s="126" t="n">
        <v>1</v>
      </c>
      <c r="J40" s="126" t="n">
        <v>1</v>
      </c>
      <c r="K40" s="126" t="n">
        <v>0.3</v>
      </c>
      <c r="L40" s="126" t="n">
        <v>1</v>
      </c>
      <c r="M40" s="126" t="n">
        <v>1</v>
      </c>
      <c r="N40" s="126" t="n">
        <v>1</v>
      </c>
      <c r="O40" s="126" t="n">
        <v>1</v>
      </c>
      <c r="P40" s="126" t="n">
        <v>1</v>
      </c>
      <c r="Q40" s="62" t="n">
        <v>1.7</v>
      </c>
    </row>
    <row r="41" ht="15" customHeight="1" s="87">
      <c r="A41" s="151" t="n"/>
      <c r="B41" s="126" t="n">
        <v>34</v>
      </c>
      <c r="C41" s="102">
        <f>IF(E41&lt;0,1,0)</f>
        <v/>
      </c>
      <c r="D41" s="126">
        <f t="array" ref="D41">INDIRECT(ADDRESS(B41+ROW($D$7),MATCH($D$7,$F$7:$Q$7,0)+5))</f>
        <v/>
      </c>
      <c r="E41" s="66">
        <f>报价及预中标!L35/4</f>
        <v/>
      </c>
      <c r="F41" s="62" t="n">
        <v>1.7</v>
      </c>
      <c r="G41" s="62" t="n">
        <v>1.7</v>
      </c>
      <c r="H41" s="126" t="n">
        <v>1</v>
      </c>
      <c r="I41" s="126" t="n">
        <v>1</v>
      </c>
      <c r="J41" s="126" t="n">
        <v>1</v>
      </c>
      <c r="K41" s="126" t="n">
        <v>0.3</v>
      </c>
      <c r="L41" s="126" t="n">
        <v>1</v>
      </c>
      <c r="M41" s="126" t="n">
        <v>1</v>
      </c>
      <c r="N41" s="126" t="n">
        <v>1</v>
      </c>
      <c r="O41" s="126" t="n">
        <v>1</v>
      </c>
      <c r="P41" s="126" t="n">
        <v>1</v>
      </c>
      <c r="Q41" s="62" t="n">
        <v>1.7</v>
      </c>
    </row>
    <row r="42" ht="15" customHeight="1" s="87">
      <c r="A42" s="151" t="n"/>
      <c r="B42" s="126" t="n">
        <v>35</v>
      </c>
      <c r="C42" s="102">
        <f>IF(E42&lt;0,1,0)</f>
        <v/>
      </c>
      <c r="D42" s="126">
        <f t="array" ref="D42">INDIRECT(ADDRESS(B42+ROW($D$7),MATCH($D$7,$F$7:$Q$7,0)+5))</f>
        <v/>
      </c>
      <c r="E42" s="66">
        <f>报价及预中标!L36/4</f>
        <v/>
      </c>
      <c r="F42" s="62" t="n">
        <v>1.7</v>
      </c>
      <c r="G42" s="62" t="n">
        <v>1.7</v>
      </c>
      <c r="H42" s="126" t="n">
        <v>1</v>
      </c>
      <c r="I42" s="126" t="n">
        <v>1</v>
      </c>
      <c r="J42" s="126" t="n">
        <v>1</v>
      </c>
      <c r="K42" s="126" t="n">
        <v>0.3</v>
      </c>
      <c r="L42" s="126" t="n">
        <v>1</v>
      </c>
      <c r="M42" s="126" t="n">
        <v>1</v>
      </c>
      <c r="N42" s="126" t="n">
        <v>1</v>
      </c>
      <c r="O42" s="126" t="n">
        <v>1</v>
      </c>
      <c r="P42" s="126" t="n">
        <v>1</v>
      </c>
      <c r="Q42" s="62" t="n">
        <v>1.7</v>
      </c>
    </row>
    <row r="43" ht="15" customHeight="1" s="87">
      <c r="A43" s="152" t="n"/>
      <c r="B43" s="126" t="n">
        <v>36</v>
      </c>
      <c r="C43" s="102">
        <f>IF(E43&lt;0,1,0)</f>
        <v/>
      </c>
      <c r="D43" s="126">
        <f t="array" ref="D43">INDIRECT(ADDRESS(B43+ROW($D$7),MATCH($D$7,$F$7:$Q$7,0)+5))</f>
        <v/>
      </c>
      <c r="E43" s="66">
        <f>报价及预中标!L37/4</f>
        <v/>
      </c>
      <c r="F43" s="62" t="n">
        <v>1.7</v>
      </c>
      <c r="G43" s="62" t="n">
        <v>1.7</v>
      </c>
      <c r="H43" s="126" t="n">
        <v>1</v>
      </c>
      <c r="I43" s="126" t="n">
        <v>1</v>
      </c>
      <c r="J43" s="126" t="n">
        <v>1</v>
      </c>
      <c r="K43" s="126" t="n">
        <v>0.3</v>
      </c>
      <c r="L43" s="126" t="n">
        <v>1</v>
      </c>
      <c r="M43" s="126" t="n">
        <v>1</v>
      </c>
      <c r="N43" s="126" t="n">
        <v>1</v>
      </c>
      <c r="O43" s="126" t="n">
        <v>1</v>
      </c>
      <c r="P43" s="126" t="n">
        <v>1</v>
      </c>
      <c r="Q43" s="62" t="n">
        <v>1.7</v>
      </c>
    </row>
    <row r="44" ht="15" customHeight="1" s="87">
      <c r="A44" s="126" t="n">
        <v>10</v>
      </c>
      <c r="B44" s="126" t="n">
        <v>37</v>
      </c>
      <c r="C44" s="102">
        <f>IF(E44&lt;0,1,0)</f>
        <v/>
      </c>
      <c r="D44" s="126">
        <f t="array" ref="D44">INDIRECT(ADDRESS(B44+ROW($D$7),MATCH($D$7,$F$7:$Q$7,0)+5))</f>
        <v/>
      </c>
      <c r="E44" s="66">
        <f>报价及预中标!L38/4</f>
        <v/>
      </c>
      <c r="F44" s="62" t="n">
        <v>0.3</v>
      </c>
      <c r="G44" s="62" t="n">
        <v>0.3</v>
      </c>
      <c r="H44" s="126" t="n">
        <v>0.3</v>
      </c>
      <c r="I44" s="126" t="n">
        <v>0.3</v>
      </c>
      <c r="J44" s="126" t="n">
        <v>0.3</v>
      </c>
      <c r="K44" s="126" t="n">
        <v>0.3</v>
      </c>
      <c r="L44" s="126" t="n">
        <v>1</v>
      </c>
      <c r="M44" s="126" t="n">
        <v>1</v>
      </c>
      <c r="N44" s="126" t="n">
        <v>0.3</v>
      </c>
      <c r="O44" s="126" t="n">
        <v>0.3</v>
      </c>
      <c r="P44" s="126" t="n">
        <v>0.3</v>
      </c>
      <c r="Q44" s="62" t="n">
        <v>0.3</v>
      </c>
    </row>
    <row r="45" ht="15" customHeight="1" s="87">
      <c r="A45" s="151" t="n"/>
      <c r="B45" s="126" t="n">
        <v>38</v>
      </c>
      <c r="C45" s="102">
        <f>IF(E45&lt;0,1,0)</f>
        <v/>
      </c>
      <c r="D45" s="126">
        <f t="array" ref="D45">INDIRECT(ADDRESS(B45+ROW($D$7),MATCH($D$7,$F$7:$Q$7,0)+5))</f>
        <v/>
      </c>
      <c r="E45" s="66">
        <f>报价及预中标!L39/4</f>
        <v/>
      </c>
      <c r="F45" s="62" t="n">
        <v>0.3</v>
      </c>
      <c r="G45" s="62" t="n">
        <v>0.3</v>
      </c>
      <c r="H45" s="126" t="n">
        <v>0.3</v>
      </c>
      <c r="I45" s="126" t="n">
        <v>0.3</v>
      </c>
      <c r="J45" s="126" t="n">
        <v>0.3</v>
      </c>
      <c r="K45" s="126" t="n">
        <v>0.3</v>
      </c>
      <c r="L45" s="126" t="n">
        <v>1</v>
      </c>
      <c r="M45" s="126" t="n">
        <v>1</v>
      </c>
      <c r="N45" s="126" t="n">
        <v>0.3</v>
      </c>
      <c r="O45" s="126" t="n">
        <v>0.3</v>
      </c>
      <c r="P45" s="126" t="n">
        <v>0.3</v>
      </c>
      <c r="Q45" s="62" t="n">
        <v>0.3</v>
      </c>
    </row>
    <row r="46" ht="15" customHeight="1" s="87">
      <c r="A46" s="151" t="n"/>
      <c r="B46" s="126" t="n">
        <v>39</v>
      </c>
      <c r="C46" s="102">
        <f>IF(E46&lt;0,1,0)</f>
        <v/>
      </c>
      <c r="D46" s="126">
        <f t="array" ref="D46">INDIRECT(ADDRESS(B46+ROW($D$7),MATCH($D$7,$F$7:$Q$7,0)+5))</f>
        <v/>
      </c>
      <c r="E46" s="66">
        <f>报价及预中标!L40/4</f>
        <v/>
      </c>
      <c r="F46" s="62" t="n">
        <v>0.3</v>
      </c>
      <c r="G46" s="62" t="n">
        <v>0.3</v>
      </c>
      <c r="H46" s="126" t="n">
        <v>0.3</v>
      </c>
      <c r="I46" s="126" t="n">
        <v>0.3</v>
      </c>
      <c r="J46" s="126" t="n">
        <v>0.3</v>
      </c>
      <c r="K46" s="126" t="n">
        <v>0.3</v>
      </c>
      <c r="L46" s="126" t="n">
        <v>1</v>
      </c>
      <c r="M46" s="126" t="n">
        <v>1</v>
      </c>
      <c r="N46" s="126" t="n">
        <v>0.3</v>
      </c>
      <c r="O46" s="126" t="n">
        <v>0.3</v>
      </c>
      <c r="P46" s="126" t="n">
        <v>0.3</v>
      </c>
      <c r="Q46" s="62" t="n">
        <v>0.3</v>
      </c>
    </row>
    <row r="47" ht="15" customHeight="1" s="87">
      <c r="A47" s="152" t="n"/>
      <c r="B47" s="126" t="n">
        <v>40</v>
      </c>
      <c r="C47" s="102">
        <f>IF(E47&lt;0,1,0)</f>
        <v/>
      </c>
      <c r="D47" s="126">
        <f t="array" ref="D47">INDIRECT(ADDRESS(B47+ROW($D$7),MATCH($D$7,$F$7:$Q$7,0)+5))</f>
        <v/>
      </c>
      <c r="E47" s="66">
        <f>报价及预中标!L41/4</f>
        <v/>
      </c>
      <c r="F47" s="62" t="n">
        <v>0.3</v>
      </c>
      <c r="G47" s="62" t="n">
        <v>0.3</v>
      </c>
      <c r="H47" s="126" t="n">
        <v>0.3</v>
      </c>
      <c r="I47" s="126" t="n">
        <v>0.3</v>
      </c>
      <c r="J47" s="126" t="n">
        <v>0.3</v>
      </c>
      <c r="K47" s="126" t="n">
        <v>0.3</v>
      </c>
      <c r="L47" s="126" t="n">
        <v>1</v>
      </c>
      <c r="M47" s="126" t="n">
        <v>1</v>
      </c>
      <c r="N47" s="126" t="n">
        <v>0.3</v>
      </c>
      <c r="O47" s="126" t="n">
        <v>0.3</v>
      </c>
      <c r="P47" s="126" t="n">
        <v>0.3</v>
      </c>
      <c r="Q47" s="62" t="n">
        <v>0.3</v>
      </c>
    </row>
    <row r="48" ht="15" customHeight="1" s="87">
      <c r="A48" s="126" t="n">
        <v>11</v>
      </c>
      <c r="B48" s="126" t="n">
        <v>41</v>
      </c>
      <c r="C48" s="102">
        <f>IF(E48&lt;0,1,0)</f>
        <v/>
      </c>
      <c r="D48" s="126">
        <f t="array" ref="D48">INDIRECT(ADDRESS(B48+ROW($D$7),MATCH($D$7,$F$7:$Q$7,0)+5))</f>
        <v/>
      </c>
      <c r="E48" s="66">
        <f>报价及预中标!L42/4</f>
        <v/>
      </c>
      <c r="F48" s="62" t="n">
        <v>0.1</v>
      </c>
      <c r="G48" s="62" t="n">
        <v>0.1</v>
      </c>
      <c r="H48" s="126" t="n">
        <v>0.1</v>
      </c>
      <c r="I48" s="126" t="n">
        <v>0.1</v>
      </c>
      <c r="J48" s="126" t="n">
        <v>0.1</v>
      </c>
      <c r="K48" s="126" t="n">
        <v>0.3</v>
      </c>
      <c r="L48" s="126" t="n">
        <v>1</v>
      </c>
      <c r="M48" s="126" t="n">
        <v>1</v>
      </c>
      <c r="N48" s="126" t="n">
        <v>0.1</v>
      </c>
      <c r="O48" s="126" t="n">
        <v>0.1</v>
      </c>
      <c r="P48" s="126" t="n">
        <v>0.1</v>
      </c>
      <c r="Q48" s="62" t="n">
        <v>0.1</v>
      </c>
    </row>
    <row r="49" ht="15" customHeight="1" s="87">
      <c r="A49" s="151" t="n"/>
      <c r="B49" s="126" t="n">
        <v>42</v>
      </c>
      <c r="C49" s="102">
        <f>IF(E49&lt;0,1,0)</f>
        <v/>
      </c>
      <c r="D49" s="126">
        <f t="array" ref="D49">INDIRECT(ADDRESS(B49+ROW($D$7),MATCH($D$7,$F$7:$Q$7,0)+5))</f>
        <v/>
      </c>
      <c r="E49" s="66">
        <f>报价及预中标!L43/4</f>
        <v/>
      </c>
      <c r="F49" s="62" t="n">
        <v>0.1</v>
      </c>
      <c r="G49" s="62" t="n">
        <v>0.1</v>
      </c>
      <c r="H49" s="126" t="n">
        <v>0.1</v>
      </c>
      <c r="I49" s="126" t="n">
        <v>0.1</v>
      </c>
      <c r="J49" s="126" t="n">
        <v>0.1</v>
      </c>
      <c r="K49" s="126" t="n">
        <v>0.3</v>
      </c>
      <c r="L49" s="126" t="n">
        <v>1</v>
      </c>
      <c r="M49" s="126" t="n">
        <v>1</v>
      </c>
      <c r="N49" s="126" t="n">
        <v>0.1</v>
      </c>
      <c r="O49" s="126" t="n">
        <v>0.1</v>
      </c>
      <c r="P49" s="126" t="n">
        <v>0.1</v>
      </c>
      <c r="Q49" s="62" t="n">
        <v>0.1</v>
      </c>
    </row>
    <row r="50" ht="15" customHeight="1" s="87">
      <c r="A50" s="151" t="n"/>
      <c r="B50" s="126" t="n">
        <v>43</v>
      </c>
      <c r="C50" s="102">
        <f>IF(E50&lt;0,1,0)</f>
        <v/>
      </c>
      <c r="D50" s="126">
        <f t="array" ref="D50">INDIRECT(ADDRESS(B50+ROW($D$7),MATCH($D$7,$F$7:$Q$7,0)+5))</f>
        <v/>
      </c>
      <c r="E50" s="66">
        <f>报价及预中标!L44/4</f>
        <v/>
      </c>
      <c r="F50" s="62" t="n">
        <v>0.1</v>
      </c>
      <c r="G50" s="62" t="n">
        <v>0.1</v>
      </c>
      <c r="H50" s="126" t="n">
        <v>0.1</v>
      </c>
      <c r="I50" s="126" t="n">
        <v>0.1</v>
      </c>
      <c r="J50" s="126" t="n">
        <v>0.1</v>
      </c>
      <c r="K50" s="126" t="n">
        <v>0.3</v>
      </c>
      <c r="L50" s="126" t="n">
        <v>1</v>
      </c>
      <c r="M50" s="126" t="n">
        <v>1</v>
      </c>
      <c r="N50" s="126" t="n">
        <v>0.1</v>
      </c>
      <c r="O50" s="126" t="n">
        <v>0.1</v>
      </c>
      <c r="P50" s="126" t="n">
        <v>0.1</v>
      </c>
      <c r="Q50" s="62" t="n">
        <v>0.1</v>
      </c>
    </row>
    <row r="51" ht="15" customHeight="1" s="87">
      <c r="A51" s="152" t="n"/>
      <c r="B51" s="126" t="n">
        <v>44</v>
      </c>
      <c r="C51" s="102">
        <f>IF(E51&lt;0,1,0)</f>
        <v/>
      </c>
      <c r="D51" s="126">
        <f t="array" ref="D51">INDIRECT(ADDRESS(B51+ROW($D$7),MATCH($D$7,$F$7:$Q$7,0)+5))</f>
        <v/>
      </c>
      <c r="E51" s="66">
        <f>报价及预中标!L45/4</f>
        <v/>
      </c>
      <c r="F51" s="62" t="n">
        <v>0.1</v>
      </c>
      <c r="G51" s="62" t="n">
        <v>0.1</v>
      </c>
      <c r="H51" s="126" t="n">
        <v>0.1</v>
      </c>
      <c r="I51" s="126" t="n">
        <v>0.1</v>
      </c>
      <c r="J51" s="126" t="n">
        <v>0.1</v>
      </c>
      <c r="K51" s="126" t="n">
        <v>0.3</v>
      </c>
      <c r="L51" s="126" t="n">
        <v>1</v>
      </c>
      <c r="M51" s="126" t="n">
        <v>1</v>
      </c>
      <c r="N51" s="126" t="n">
        <v>0.1</v>
      </c>
      <c r="O51" s="126" t="n">
        <v>0.1</v>
      </c>
      <c r="P51" s="126" t="n">
        <v>0.1</v>
      </c>
      <c r="Q51" s="62" t="n">
        <v>0.1</v>
      </c>
    </row>
    <row r="52" ht="15" customHeight="1" s="87">
      <c r="A52" s="126" t="n">
        <v>12</v>
      </c>
      <c r="B52" s="126" t="n">
        <v>45</v>
      </c>
      <c r="C52" s="102">
        <f>IF(E52&lt;0,1,0)</f>
        <v/>
      </c>
      <c r="D52" s="126">
        <f t="array" ref="D52">INDIRECT(ADDRESS(B52+ROW($D$7),MATCH($D$7,$F$7:$Q$7,0)+5))</f>
        <v/>
      </c>
      <c r="E52" s="66">
        <f>报价及预中标!L46/4</f>
        <v/>
      </c>
      <c r="F52" s="62" t="n">
        <v>0.1</v>
      </c>
      <c r="G52" s="62" t="n">
        <v>0.1</v>
      </c>
      <c r="H52" s="126" t="n">
        <v>0.1</v>
      </c>
      <c r="I52" s="126" t="n">
        <v>0.1</v>
      </c>
      <c r="J52" s="126" t="n">
        <v>0.1</v>
      </c>
      <c r="K52" s="126" t="n">
        <v>0.3</v>
      </c>
      <c r="L52" s="126" t="n">
        <v>1</v>
      </c>
      <c r="M52" s="126" t="n">
        <v>1</v>
      </c>
      <c r="N52" s="126" t="n">
        <v>0.1</v>
      </c>
      <c r="O52" s="126" t="n">
        <v>0.1</v>
      </c>
      <c r="P52" s="126" t="n">
        <v>0.1</v>
      </c>
      <c r="Q52" s="62" t="n">
        <v>0.1</v>
      </c>
    </row>
    <row r="53" ht="15" customHeight="1" s="87">
      <c r="A53" s="151" t="n"/>
      <c r="B53" s="126" t="n">
        <v>46</v>
      </c>
      <c r="C53" s="102">
        <f>IF(E53&lt;0,1,0)</f>
        <v/>
      </c>
      <c r="D53" s="126">
        <f t="array" ref="D53">INDIRECT(ADDRESS(B53+ROW($D$7),MATCH($D$7,$F$7:$Q$7,0)+5))</f>
        <v/>
      </c>
      <c r="E53" s="66">
        <f>报价及预中标!L47/4</f>
        <v/>
      </c>
      <c r="F53" s="62" t="n">
        <v>0.1</v>
      </c>
      <c r="G53" s="62" t="n">
        <v>0.1</v>
      </c>
      <c r="H53" s="126" t="n">
        <v>0.1</v>
      </c>
      <c r="I53" s="126" t="n">
        <v>0.1</v>
      </c>
      <c r="J53" s="126" t="n">
        <v>0.1</v>
      </c>
      <c r="K53" s="126" t="n">
        <v>0.3</v>
      </c>
      <c r="L53" s="126" t="n">
        <v>1</v>
      </c>
      <c r="M53" s="126" t="n">
        <v>1</v>
      </c>
      <c r="N53" s="126" t="n">
        <v>0.1</v>
      </c>
      <c r="O53" s="126" t="n">
        <v>0.1</v>
      </c>
      <c r="P53" s="126" t="n">
        <v>0.1</v>
      </c>
      <c r="Q53" s="62" t="n">
        <v>0.1</v>
      </c>
    </row>
    <row r="54" ht="15" customHeight="1" s="87">
      <c r="A54" s="151" t="n"/>
      <c r="B54" s="126" t="n">
        <v>47</v>
      </c>
      <c r="C54" s="102">
        <f>IF(E54&lt;0,1,0)</f>
        <v/>
      </c>
      <c r="D54" s="126">
        <f t="array" ref="D54">INDIRECT(ADDRESS(B54+ROW($D$7),MATCH($D$7,$F$7:$Q$7,0)+5))</f>
        <v/>
      </c>
      <c r="E54" s="66">
        <f>报价及预中标!L48/4</f>
        <v/>
      </c>
      <c r="F54" s="62" t="n">
        <v>0.1</v>
      </c>
      <c r="G54" s="62" t="n">
        <v>0.1</v>
      </c>
      <c r="H54" s="126" t="n">
        <v>0.1</v>
      </c>
      <c r="I54" s="126" t="n">
        <v>0.1</v>
      </c>
      <c r="J54" s="126" t="n">
        <v>0.1</v>
      </c>
      <c r="K54" s="126" t="n">
        <v>0.3</v>
      </c>
      <c r="L54" s="126" t="n">
        <v>1</v>
      </c>
      <c r="M54" s="126" t="n">
        <v>1</v>
      </c>
      <c r="N54" s="126" t="n">
        <v>0.1</v>
      </c>
      <c r="O54" s="126" t="n">
        <v>0.1</v>
      </c>
      <c r="P54" s="126" t="n">
        <v>0.1</v>
      </c>
      <c r="Q54" s="62" t="n">
        <v>0.1</v>
      </c>
    </row>
    <row r="55" ht="15" customHeight="1" s="87">
      <c r="A55" s="152" t="n"/>
      <c r="B55" s="126" t="n">
        <v>48</v>
      </c>
      <c r="C55" s="102">
        <f>IF(E55&lt;0,1,0)</f>
        <v/>
      </c>
      <c r="D55" s="126">
        <f t="array" ref="D55">INDIRECT(ADDRESS(B55+ROW($D$7),MATCH($D$7,$F$7:$Q$7,0)+5))</f>
        <v/>
      </c>
      <c r="E55" s="66">
        <f>报价及预中标!L49/4</f>
        <v/>
      </c>
      <c r="F55" s="62" t="n">
        <v>0.1</v>
      </c>
      <c r="G55" s="62" t="n">
        <v>0.1</v>
      </c>
      <c r="H55" s="126" t="n">
        <v>0.1</v>
      </c>
      <c r="I55" s="126" t="n">
        <v>0.1</v>
      </c>
      <c r="J55" s="126" t="n">
        <v>0.1</v>
      </c>
      <c r="K55" s="126" t="n">
        <v>0.3</v>
      </c>
      <c r="L55" s="126" t="n">
        <v>1</v>
      </c>
      <c r="M55" s="126" t="n">
        <v>1</v>
      </c>
      <c r="N55" s="126" t="n">
        <v>0.1</v>
      </c>
      <c r="O55" s="126" t="n">
        <v>0.1</v>
      </c>
      <c r="P55" s="126" t="n">
        <v>0.1</v>
      </c>
      <c r="Q55" s="62" t="n">
        <v>0.1</v>
      </c>
    </row>
    <row r="56" ht="15" customHeight="1" s="87">
      <c r="A56" s="126" t="n">
        <v>13</v>
      </c>
      <c r="B56" s="126" t="n">
        <v>49</v>
      </c>
      <c r="C56" s="102">
        <f>IF(E56&lt;0,1,0)</f>
        <v/>
      </c>
      <c r="D56" s="126">
        <f t="array" ref="D56">INDIRECT(ADDRESS(B56+ROW($D$7),MATCH($D$7,$F$7:$Q$7,0)+5))</f>
        <v/>
      </c>
      <c r="E56" s="66">
        <f>报价及预中标!L50/4</f>
        <v/>
      </c>
      <c r="F56" s="62" t="n">
        <v>0.1</v>
      </c>
      <c r="G56" s="62" t="n">
        <v>0.1</v>
      </c>
      <c r="H56" s="126" t="n">
        <v>0.1</v>
      </c>
      <c r="I56" s="126" t="n">
        <v>0.1</v>
      </c>
      <c r="J56" s="126" t="n">
        <v>0.1</v>
      </c>
      <c r="K56" s="126" t="n">
        <v>1</v>
      </c>
      <c r="L56" s="126" t="n">
        <v>1</v>
      </c>
      <c r="M56" s="126" t="n">
        <v>1</v>
      </c>
      <c r="N56" s="126" t="n">
        <v>0.1</v>
      </c>
      <c r="O56" s="126" t="n">
        <v>0.1</v>
      </c>
      <c r="P56" s="126" t="n">
        <v>0.1</v>
      </c>
      <c r="Q56" s="62" t="n">
        <v>0.1</v>
      </c>
    </row>
    <row r="57" ht="15" customHeight="1" s="87">
      <c r="A57" s="151" t="n"/>
      <c r="B57" s="126" t="n">
        <v>50</v>
      </c>
      <c r="C57" s="102">
        <f>IF(E57&lt;0,1,0)</f>
        <v/>
      </c>
      <c r="D57" s="126">
        <f t="array" ref="D57">INDIRECT(ADDRESS(B57+ROW($D$7),MATCH($D$7,$F$7:$Q$7,0)+5))</f>
        <v/>
      </c>
      <c r="E57" s="66">
        <f>报价及预中标!L51/4</f>
        <v/>
      </c>
      <c r="F57" s="62" t="n">
        <v>0.1</v>
      </c>
      <c r="G57" s="62" t="n">
        <v>0.1</v>
      </c>
      <c r="H57" s="126" t="n">
        <v>0.1</v>
      </c>
      <c r="I57" s="126" t="n">
        <v>0.1</v>
      </c>
      <c r="J57" s="126" t="n">
        <v>0.1</v>
      </c>
      <c r="K57" s="126" t="n">
        <v>1</v>
      </c>
      <c r="L57" s="126" t="n">
        <v>1</v>
      </c>
      <c r="M57" s="126" t="n">
        <v>1</v>
      </c>
      <c r="N57" s="126" t="n">
        <v>0.1</v>
      </c>
      <c r="O57" s="126" t="n">
        <v>0.1</v>
      </c>
      <c r="P57" s="126" t="n">
        <v>0.1</v>
      </c>
      <c r="Q57" s="62" t="n">
        <v>0.1</v>
      </c>
    </row>
    <row r="58" ht="15" customHeight="1" s="87">
      <c r="A58" s="151" t="n"/>
      <c r="B58" s="126" t="n">
        <v>51</v>
      </c>
      <c r="C58" s="102">
        <f>IF(E58&lt;0,1,0)</f>
        <v/>
      </c>
      <c r="D58" s="126">
        <f t="array" ref="D58">INDIRECT(ADDRESS(B58+ROW($D$7),MATCH($D$7,$F$7:$Q$7,0)+5))</f>
        <v/>
      </c>
      <c r="E58" s="66">
        <f>报价及预中标!L52/4</f>
        <v/>
      </c>
      <c r="F58" s="62" t="n">
        <v>0.1</v>
      </c>
      <c r="G58" s="62" t="n">
        <v>0.1</v>
      </c>
      <c r="H58" s="126" t="n">
        <v>0.1</v>
      </c>
      <c r="I58" s="126" t="n">
        <v>0.1</v>
      </c>
      <c r="J58" s="126" t="n">
        <v>0.1</v>
      </c>
      <c r="K58" s="126" t="n">
        <v>1</v>
      </c>
      <c r="L58" s="126" t="n">
        <v>1</v>
      </c>
      <c r="M58" s="126" t="n">
        <v>1</v>
      </c>
      <c r="N58" s="126" t="n">
        <v>0.1</v>
      </c>
      <c r="O58" s="126" t="n">
        <v>0.1</v>
      </c>
      <c r="P58" s="126" t="n">
        <v>0.1</v>
      </c>
      <c r="Q58" s="62" t="n">
        <v>0.1</v>
      </c>
    </row>
    <row r="59" ht="15" customHeight="1" s="87">
      <c r="A59" s="152" t="n"/>
      <c r="B59" s="126" t="n">
        <v>52</v>
      </c>
      <c r="C59" s="102">
        <f>IF(E59&lt;0,1,0)</f>
        <v/>
      </c>
      <c r="D59" s="126">
        <f t="array" ref="D59">INDIRECT(ADDRESS(B59+ROW($D$7),MATCH($D$7,$F$7:$Q$7,0)+5))</f>
        <v/>
      </c>
      <c r="E59" s="66">
        <f>报价及预中标!L53/4</f>
        <v/>
      </c>
      <c r="F59" s="62" t="n">
        <v>0.1</v>
      </c>
      <c r="G59" s="62" t="n">
        <v>0.1</v>
      </c>
      <c r="H59" s="126" t="n">
        <v>0.1</v>
      </c>
      <c r="I59" s="126" t="n">
        <v>0.1</v>
      </c>
      <c r="J59" s="126" t="n">
        <v>0.1</v>
      </c>
      <c r="K59" s="126" t="n">
        <v>1</v>
      </c>
      <c r="L59" s="126" t="n">
        <v>1</v>
      </c>
      <c r="M59" s="126" t="n">
        <v>1</v>
      </c>
      <c r="N59" s="126" t="n">
        <v>0.1</v>
      </c>
      <c r="O59" s="126" t="n">
        <v>0.1</v>
      </c>
      <c r="P59" s="126" t="n">
        <v>0.1</v>
      </c>
      <c r="Q59" s="62" t="n">
        <v>0.1</v>
      </c>
    </row>
    <row r="60" ht="15" customHeight="1" s="87">
      <c r="A60" s="126" t="n">
        <v>14</v>
      </c>
      <c r="B60" s="126" t="n">
        <v>53</v>
      </c>
      <c r="C60" s="102">
        <f>IF(E60&lt;0,1,0)</f>
        <v/>
      </c>
      <c r="D60" s="126">
        <f t="array" ref="D60">INDIRECT(ADDRESS(B60+ROW($D$7),MATCH($D$7,$F$7:$Q$7,0)+5))</f>
        <v/>
      </c>
      <c r="E60" s="66">
        <f>报价及预中标!L54/4</f>
        <v/>
      </c>
      <c r="F60" s="62" t="n">
        <v>0.1</v>
      </c>
      <c r="G60" s="62" t="n">
        <v>0.1</v>
      </c>
      <c r="H60" s="126" t="n">
        <v>0.1</v>
      </c>
      <c r="I60" s="126" t="n">
        <v>0.1</v>
      </c>
      <c r="J60" s="126" t="n">
        <v>0.1</v>
      </c>
      <c r="K60" s="126" t="n">
        <v>1</v>
      </c>
      <c r="L60" s="126" t="n">
        <v>1</v>
      </c>
      <c r="M60" s="126" t="n">
        <v>1</v>
      </c>
      <c r="N60" s="126" t="n">
        <v>0.1</v>
      </c>
      <c r="O60" s="126" t="n">
        <v>0.1</v>
      </c>
      <c r="P60" s="126" t="n">
        <v>0.1</v>
      </c>
      <c r="Q60" s="62" t="n">
        <v>0.1</v>
      </c>
    </row>
    <row r="61" ht="15" customHeight="1" s="87">
      <c r="A61" s="151" t="n"/>
      <c r="B61" s="126" t="n">
        <v>54</v>
      </c>
      <c r="C61" s="102">
        <f>IF(E61&lt;0,1,0)</f>
        <v/>
      </c>
      <c r="D61" s="126">
        <f t="array" ref="D61">INDIRECT(ADDRESS(B61+ROW($D$7),MATCH($D$7,$F$7:$Q$7,0)+5))</f>
        <v/>
      </c>
      <c r="E61" s="66">
        <f>报价及预中标!L55/4</f>
        <v/>
      </c>
      <c r="F61" s="62" t="n">
        <v>0.1</v>
      </c>
      <c r="G61" s="62" t="n">
        <v>0.1</v>
      </c>
      <c r="H61" s="126" t="n">
        <v>0.1</v>
      </c>
      <c r="I61" s="126" t="n">
        <v>0.1</v>
      </c>
      <c r="J61" s="126" t="n">
        <v>0.1</v>
      </c>
      <c r="K61" s="126" t="n">
        <v>1</v>
      </c>
      <c r="L61" s="126" t="n">
        <v>1</v>
      </c>
      <c r="M61" s="126" t="n">
        <v>1</v>
      </c>
      <c r="N61" s="126" t="n">
        <v>0.1</v>
      </c>
      <c r="O61" s="126" t="n">
        <v>0.1</v>
      </c>
      <c r="P61" s="126" t="n">
        <v>0.1</v>
      </c>
      <c r="Q61" s="62" t="n">
        <v>0.1</v>
      </c>
    </row>
    <row r="62" ht="15" customHeight="1" s="87">
      <c r="A62" s="151" t="n"/>
      <c r="B62" s="126" t="n">
        <v>55</v>
      </c>
      <c r="C62" s="102">
        <f>IF(E62&lt;0,1,0)</f>
        <v/>
      </c>
      <c r="D62" s="126">
        <f t="array" ref="D62">INDIRECT(ADDRESS(B62+ROW($D$7),MATCH($D$7,$F$7:$Q$7,0)+5))</f>
        <v/>
      </c>
      <c r="E62" s="66">
        <f>报价及预中标!L56/4</f>
        <v/>
      </c>
      <c r="F62" s="62" t="n">
        <v>0.1</v>
      </c>
      <c r="G62" s="62" t="n">
        <v>0.1</v>
      </c>
      <c r="H62" s="126" t="n">
        <v>0.1</v>
      </c>
      <c r="I62" s="126" t="n">
        <v>0.1</v>
      </c>
      <c r="J62" s="126" t="n">
        <v>0.1</v>
      </c>
      <c r="K62" s="126" t="n">
        <v>1</v>
      </c>
      <c r="L62" s="126" t="n">
        <v>1</v>
      </c>
      <c r="M62" s="126" t="n">
        <v>1</v>
      </c>
      <c r="N62" s="126" t="n">
        <v>0.1</v>
      </c>
      <c r="O62" s="126" t="n">
        <v>0.1</v>
      </c>
      <c r="P62" s="126" t="n">
        <v>0.1</v>
      </c>
      <c r="Q62" s="62" t="n">
        <v>0.1</v>
      </c>
    </row>
    <row r="63" ht="15" customHeight="1" s="87">
      <c r="A63" s="152" t="n"/>
      <c r="B63" s="126" t="n">
        <v>56</v>
      </c>
      <c r="C63" s="102">
        <f>IF(E63&lt;0,1,0)</f>
        <v/>
      </c>
      <c r="D63" s="126">
        <f t="array" ref="D63">INDIRECT(ADDRESS(B63+ROW($D$7),MATCH($D$7,$F$7:$Q$7,0)+5))</f>
        <v/>
      </c>
      <c r="E63" s="66">
        <f>报价及预中标!L57/4</f>
        <v/>
      </c>
      <c r="F63" s="62" t="n">
        <v>0.1</v>
      </c>
      <c r="G63" s="62" t="n">
        <v>0.1</v>
      </c>
      <c r="H63" s="126" t="n">
        <v>0.1</v>
      </c>
      <c r="I63" s="126" t="n">
        <v>0.1</v>
      </c>
      <c r="J63" s="126" t="n">
        <v>0.1</v>
      </c>
      <c r="K63" s="126" t="n">
        <v>1</v>
      </c>
      <c r="L63" s="126" t="n">
        <v>1</v>
      </c>
      <c r="M63" s="126" t="n">
        <v>1</v>
      </c>
      <c r="N63" s="126" t="n">
        <v>0.1</v>
      </c>
      <c r="O63" s="126" t="n">
        <v>0.1</v>
      </c>
      <c r="P63" s="126" t="n">
        <v>0.1</v>
      </c>
      <c r="Q63" s="62" t="n">
        <v>0.1</v>
      </c>
    </row>
    <row r="64" ht="15" customHeight="1" s="87">
      <c r="A64" s="126" t="n">
        <v>15</v>
      </c>
      <c r="B64" s="126" t="n">
        <v>57</v>
      </c>
      <c r="C64" s="102">
        <f>IF(E64&lt;0,1,0)</f>
        <v/>
      </c>
      <c r="D64" s="126">
        <f t="array" ref="D64">INDIRECT(ADDRESS(B64+ROW($D$7),MATCH($D$7,$F$7:$Q$7,0)+5))</f>
        <v/>
      </c>
      <c r="E64" s="66">
        <f>报价及预中标!L58/4</f>
        <v/>
      </c>
      <c r="F64" s="62" t="n">
        <v>0.3</v>
      </c>
      <c r="G64" s="62" t="n">
        <v>0.3</v>
      </c>
      <c r="H64" s="126" t="n">
        <v>0.3</v>
      </c>
      <c r="I64" s="126" t="n">
        <v>0.3</v>
      </c>
      <c r="J64" s="126" t="n">
        <v>0.3</v>
      </c>
      <c r="K64" s="126" t="n">
        <v>1</v>
      </c>
      <c r="L64" s="126" t="n">
        <v>1</v>
      </c>
      <c r="M64" s="126" t="n">
        <v>1</v>
      </c>
      <c r="N64" s="126" t="n">
        <v>0.3</v>
      </c>
      <c r="O64" s="126" t="n">
        <v>0.3</v>
      </c>
      <c r="P64" s="126" t="n">
        <v>0.3</v>
      </c>
      <c r="Q64" s="62" t="n">
        <v>0.3</v>
      </c>
    </row>
    <row r="65" ht="15" customHeight="1" s="87">
      <c r="A65" s="151" t="n"/>
      <c r="B65" s="126" t="n">
        <v>58</v>
      </c>
      <c r="C65" s="102">
        <f>IF(E65&lt;0,1,0)</f>
        <v/>
      </c>
      <c r="D65" s="126">
        <f t="array" ref="D65">INDIRECT(ADDRESS(B65+ROW($D$7),MATCH($D$7,$F$7:$Q$7,0)+5))</f>
        <v/>
      </c>
      <c r="E65" s="66">
        <f>报价及预中标!L59/4</f>
        <v/>
      </c>
      <c r="F65" s="62" t="n">
        <v>0.3</v>
      </c>
      <c r="G65" s="62" t="n">
        <v>0.3</v>
      </c>
      <c r="H65" s="126" t="n">
        <v>0.3</v>
      </c>
      <c r="I65" s="126" t="n">
        <v>0.3</v>
      </c>
      <c r="J65" s="126" t="n">
        <v>0.3</v>
      </c>
      <c r="K65" s="126" t="n">
        <v>1</v>
      </c>
      <c r="L65" s="126" t="n">
        <v>1</v>
      </c>
      <c r="M65" s="126" t="n">
        <v>1</v>
      </c>
      <c r="N65" s="126" t="n">
        <v>0.3</v>
      </c>
      <c r="O65" s="126" t="n">
        <v>0.3</v>
      </c>
      <c r="P65" s="126" t="n">
        <v>0.3</v>
      </c>
      <c r="Q65" s="62" t="n">
        <v>0.3</v>
      </c>
    </row>
    <row r="66" ht="15" customHeight="1" s="87">
      <c r="A66" s="151" t="n"/>
      <c r="B66" s="126" t="n">
        <v>59</v>
      </c>
      <c r="C66" s="102">
        <f>IF(E66&lt;0,1,0)</f>
        <v/>
      </c>
      <c r="D66" s="126">
        <f t="array" ref="D66">INDIRECT(ADDRESS(B66+ROW($D$7),MATCH($D$7,$F$7:$Q$7,0)+5))</f>
        <v/>
      </c>
      <c r="E66" s="66">
        <f>报价及预中标!L60/4</f>
        <v/>
      </c>
      <c r="F66" s="62" t="n">
        <v>0.3</v>
      </c>
      <c r="G66" s="62" t="n">
        <v>0.3</v>
      </c>
      <c r="H66" s="126" t="n">
        <v>0.3</v>
      </c>
      <c r="I66" s="126" t="n">
        <v>0.3</v>
      </c>
      <c r="J66" s="126" t="n">
        <v>0.3</v>
      </c>
      <c r="K66" s="126" t="n">
        <v>1</v>
      </c>
      <c r="L66" s="126" t="n">
        <v>1</v>
      </c>
      <c r="M66" s="126" t="n">
        <v>1</v>
      </c>
      <c r="N66" s="126" t="n">
        <v>0.3</v>
      </c>
      <c r="O66" s="126" t="n">
        <v>0.3</v>
      </c>
      <c r="P66" s="126" t="n">
        <v>0.3</v>
      </c>
      <c r="Q66" s="62" t="n">
        <v>0.3</v>
      </c>
    </row>
    <row r="67" ht="15" customHeight="1" s="87">
      <c r="A67" s="152" t="n"/>
      <c r="B67" s="126" t="n">
        <v>60</v>
      </c>
      <c r="C67" s="102">
        <f>IF(E67&lt;0,1,0)</f>
        <v/>
      </c>
      <c r="D67" s="126">
        <f t="array" ref="D67">INDIRECT(ADDRESS(B67+ROW($D$7),MATCH($D$7,$F$7:$Q$7,0)+5))</f>
        <v/>
      </c>
      <c r="E67" s="66">
        <f>报价及预中标!L61/4</f>
        <v/>
      </c>
      <c r="F67" s="62" t="n">
        <v>0.3</v>
      </c>
      <c r="G67" s="62" t="n">
        <v>0.3</v>
      </c>
      <c r="H67" s="126" t="n">
        <v>0.3</v>
      </c>
      <c r="I67" s="126" t="n">
        <v>0.3</v>
      </c>
      <c r="J67" s="126" t="n">
        <v>0.3</v>
      </c>
      <c r="K67" s="126" t="n">
        <v>1</v>
      </c>
      <c r="L67" s="126" t="n">
        <v>1</v>
      </c>
      <c r="M67" s="126" t="n">
        <v>1</v>
      </c>
      <c r="N67" s="126" t="n">
        <v>0.3</v>
      </c>
      <c r="O67" s="126" t="n">
        <v>0.3</v>
      </c>
      <c r="P67" s="126" t="n">
        <v>0.3</v>
      </c>
      <c r="Q67" s="62" t="n">
        <v>0.3</v>
      </c>
    </row>
    <row r="68" ht="15" customHeight="1" s="87">
      <c r="A68" s="126" t="n">
        <v>16</v>
      </c>
      <c r="B68" s="126" t="n">
        <v>61</v>
      </c>
      <c r="C68" s="102">
        <f>IF(E68&lt;0,1,0)</f>
        <v/>
      </c>
      <c r="D68" s="126">
        <f t="array" ref="D68">INDIRECT(ADDRESS(B68+ROW($D$7),MATCH($D$7,$F$7:$Q$7,0)+5))</f>
        <v/>
      </c>
      <c r="E68" s="66">
        <f>报价及预中标!L62/4</f>
        <v/>
      </c>
      <c r="F68" s="62" t="n">
        <v>2</v>
      </c>
      <c r="G68" s="62" t="n">
        <v>2</v>
      </c>
      <c r="H68" s="126" t="n">
        <v>1</v>
      </c>
      <c r="I68" s="126" t="n">
        <v>1</v>
      </c>
      <c r="J68" s="126" t="n">
        <v>1</v>
      </c>
      <c r="K68" s="126" t="n">
        <v>1.7</v>
      </c>
      <c r="L68" s="126" t="n">
        <v>1.7</v>
      </c>
      <c r="M68" s="126" t="n">
        <v>1.7</v>
      </c>
      <c r="N68" s="126" t="n">
        <v>1.7</v>
      </c>
      <c r="O68" s="126" t="n">
        <v>1.7</v>
      </c>
      <c r="P68" s="126" t="n">
        <v>1.7</v>
      </c>
      <c r="Q68" s="62" t="n">
        <v>2</v>
      </c>
    </row>
    <row r="69" ht="15" customHeight="1" s="87">
      <c r="A69" s="151" t="n"/>
      <c r="B69" s="126" t="n">
        <v>62</v>
      </c>
      <c r="C69" s="102">
        <f>IF(E69&lt;0,1,0)</f>
        <v/>
      </c>
      <c r="D69" s="126">
        <f t="array" ref="D69">INDIRECT(ADDRESS(B69+ROW($D$7),MATCH($D$7,$F$7:$Q$7,0)+5))</f>
        <v/>
      </c>
      <c r="E69" s="66">
        <f>报价及预中标!L63/4</f>
        <v/>
      </c>
      <c r="F69" s="62" t="n">
        <v>2</v>
      </c>
      <c r="G69" s="62" t="n">
        <v>2</v>
      </c>
      <c r="H69" s="126" t="n">
        <v>1</v>
      </c>
      <c r="I69" s="126" t="n">
        <v>1</v>
      </c>
      <c r="J69" s="126" t="n">
        <v>1</v>
      </c>
      <c r="K69" s="126" t="n">
        <v>1.7</v>
      </c>
      <c r="L69" s="126" t="n">
        <v>1.7</v>
      </c>
      <c r="M69" s="126" t="n">
        <v>1.7</v>
      </c>
      <c r="N69" s="126" t="n">
        <v>1.7</v>
      </c>
      <c r="O69" s="126" t="n">
        <v>1.7</v>
      </c>
      <c r="P69" s="126" t="n">
        <v>1.7</v>
      </c>
      <c r="Q69" s="62" t="n">
        <v>2</v>
      </c>
    </row>
    <row r="70" ht="15" customHeight="1" s="87">
      <c r="A70" s="151" t="n"/>
      <c r="B70" s="126" t="n">
        <v>63</v>
      </c>
      <c r="C70" s="102">
        <f>IF(E70&lt;0,1,0)</f>
        <v/>
      </c>
      <c r="D70" s="126">
        <f t="array" ref="D70">INDIRECT(ADDRESS(B70+ROW($D$7),MATCH($D$7,$F$7:$Q$7,0)+5))</f>
        <v/>
      </c>
      <c r="E70" s="66">
        <f>报价及预中标!L64/4</f>
        <v/>
      </c>
      <c r="F70" s="62" t="n">
        <v>2</v>
      </c>
      <c r="G70" s="62" t="n">
        <v>2</v>
      </c>
      <c r="H70" s="126" t="n">
        <v>1</v>
      </c>
      <c r="I70" s="126" t="n">
        <v>1</v>
      </c>
      <c r="J70" s="126" t="n">
        <v>1</v>
      </c>
      <c r="K70" s="126" t="n">
        <v>1.7</v>
      </c>
      <c r="L70" s="126" t="n">
        <v>1.7</v>
      </c>
      <c r="M70" s="126" t="n">
        <v>1.7</v>
      </c>
      <c r="N70" s="126" t="n">
        <v>1.7</v>
      </c>
      <c r="O70" s="126" t="n">
        <v>1.7</v>
      </c>
      <c r="P70" s="126" t="n">
        <v>1.7</v>
      </c>
      <c r="Q70" s="62" t="n">
        <v>2</v>
      </c>
    </row>
    <row r="71" ht="15" customHeight="1" s="87">
      <c r="A71" s="152" t="n"/>
      <c r="B71" s="126" t="n">
        <v>64</v>
      </c>
      <c r="C71" s="102">
        <f>IF(E71&lt;0,1,0)</f>
        <v/>
      </c>
      <c r="D71" s="126">
        <f t="array" ref="D71">INDIRECT(ADDRESS(B71+ROW($D$7),MATCH($D$7,$F$7:$Q$7,0)+5))</f>
        <v/>
      </c>
      <c r="E71" s="66">
        <f>报价及预中标!L65/4</f>
        <v/>
      </c>
      <c r="F71" s="62" t="n">
        <v>2</v>
      </c>
      <c r="G71" s="62" t="n">
        <v>2</v>
      </c>
      <c r="H71" s="126" t="n">
        <v>1</v>
      </c>
      <c r="I71" s="126" t="n">
        <v>1</v>
      </c>
      <c r="J71" s="126" t="n">
        <v>1</v>
      </c>
      <c r="K71" s="126" t="n">
        <v>1.7</v>
      </c>
      <c r="L71" s="126" t="n">
        <v>1.7</v>
      </c>
      <c r="M71" s="126" t="n">
        <v>1.7</v>
      </c>
      <c r="N71" s="126" t="n">
        <v>1.7</v>
      </c>
      <c r="O71" s="126" t="n">
        <v>1.7</v>
      </c>
      <c r="P71" s="126" t="n">
        <v>1.7</v>
      </c>
      <c r="Q71" s="62" t="n">
        <v>2</v>
      </c>
    </row>
    <row r="72" ht="15" customHeight="1" s="87">
      <c r="A72" s="126" t="n">
        <v>17</v>
      </c>
      <c r="B72" s="126" t="n">
        <v>65</v>
      </c>
      <c r="C72" s="102">
        <f>IF(E72&lt;0,1,0)</f>
        <v/>
      </c>
      <c r="D72" s="126">
        <f t="array" ref="D72">INDIRECT(ADDRESS(B72+ROW($D$7),MATCH($D$7,$F$7:$Q$7,0)+5))</f>
        <v/>
      </c>
      <c r="E72" s="66">
        <f>报价及预中标!L66/4</f>
        <v/>
      </c>
      <c r="F72" s="62" t="n">
        <v>2</v>
      </c>
      <c r="G72" s="62" t="n">
        <v>2</v>
      </c>
      <c r="H72" s="126" t="n">
        <v>2</v>
      </c>
      <c r="I72" s="126" t="n">
        <v>2</v>
      </c>
      <c r="J72" s="126" t="n">
        <v>2</v>
      </c>
      <c r="K72" s="126" t="n">
        <v>2</v>
      </c>
      <c r="L72" s="126" t="n">
        <v>2</v>
      </c>
      <c r="M72" s="126" t="n">
        <v>2</v>
      </c>
      <c r="N72" s="126" t="n">
        <v>2</v>
      </c>
      <c r="O72" s="126" t="n">
        <v>2</v>
      </c>
      <c r="P72" s="126" t="n">
        <v>2</v>
      </c>
      <c r="Q72" s="62" t="n">
        <v>2</v>
      </c>
    </row>
    <row r="73" ht="15" customHeight="1" s="87">
      <c r="A73" s="151" t="n"/>
      <c r="B73" s="126" t="n">
        <v>66</v>
      </c>
      <c r="C73" s="102">
        <f>IF(E73&lt;0,1,0)</f>
        <v/>
      </c>
      <c r="D73" s="126">
        <f t="array" ref="D73">INDIRECT(ADDRESS(B73+ROW($D$7),MATCH($D$7,$F$7:$Q$7,0)+5))</f>
        <v/>
      </c>
      <c r="E73" s="66">
        <f>报价及预中标!L67/4</f>
        <v/>
      </c>
      <c r="F73" s="62" t="n">
        <v>2</v>
      </c>
      <c r="G73" s="62" t="n">
        <v>2</v>
      </c>
      <c r="H73" s="126" t="n">
        <v>2</v>
      </c>
      <c r="I73" s="126" t="n">
        <v>2</v>
      </c>
      <c r="J73" s="126" t="n">
        <v>2</v>
      </c>
      <c r="K73" s="126" t="n">
        <v>2</v>
      </c>
      <c r="L73" s="126" t="n">
        <v>2</v>
      </c>
      <c r="M73" s="126" t="n">
        <v>2</v>
      </c>
      <c r="N73" s="126" t="n">
        <v>2</v>
      </c>
      <c r="O73" s="126" t="n">
        <v>2</v>
      </c>
      <c r="P73" s="126" t="n">
        <v>2</v>
      </c>
      <c r="Q73" s="62" t="n">
        <v>2</v>
      </c>
    </row>
    <row r="74" ht="15" customHeight="1" s="87">
      <c r="A74" s="151" t="n"/>
      <c r="B74" s="126" t="n">
        <v>67</v>
      </c>
      <c r="C74" s="102">
        <f>IF(E74&lt;0,1,0)</f>
        <v/>
      </c>
      <c r="D74" s="126">
        <f t="array" ref="D74">INDIRECT(ADDRESS(B74+ROW($D$7),MATCH($D$7,$F$7:$Q$7,0)+5))</f>
        <v/>
      </c>
      <c r="E74" s="66">
        <f>报价及预中标!L68/4</f>
        <v/>
      </c>
      <c r="F74" s="62" t="n">
        <v>2</v>
      </c>
      <c r="G74" s="62" t="n">
        <v>2</v>
      </c>
      <c r="H74" s="126" t="n">
        <v>2</v>
      </c>
      <c r="I74" s="126" t="n">
        <v>2</v>
      </c>
      <c r="J74" s="126" t="n">
        <v>2</v>
      </c>
      <c r="K74" s="126" t="n">
        <v>2</v>
      </c>
      <c r="L74" s="126" t="n">
        <v>2</v>
      </c>
      <c r="M74" s="126" t="n">
        <v>2</v>
      </c>
      <c r="N74" s="126" t="n">
        <v>2</v>
      </c>
      <c r="O74" s="126" t="n">
        <v>2</v>
      </c>
      <c r="P74" s="126" t="n">
        <v>2</v>
      </c>
      <c r="Q74" s="62" t="n">
        <v>2</v>
      </c>
    </row>
    <row r="75" ht="15" customHeight="1" s="87">
      <c r="A75" s="152" t="n"/>
      <c r="B75" s="126" t="n">
        <v>68</v>
      </c>
      <c r="C75" s="102">
        <f>IF(E75&lt;0,1,0)</f>
        <v/>
      </c>
      <c r="D75" s="126">
        <f t="array" ref="D75">INDIRECT(ADDRESS(B75+ROW($D$7),MATCH($D$7,$F$7:$Q$7,0)+5))</f>
        <v/>
      </c>
      <c r="E75" s="66">
        <f>报价及预中标!L69/4</f>
        <v/>
      </c>
      <c r="F75" s="62" t="n">
        <v>2</v>
      </c>
      <c r="G75" s="62" t="n">
        <v>2</v>
      </c>
      <c r="H75" s="126" t="n">
        <v>2</v>
      </c>
      <c r="I75" s="126" t="n">
        <v>2</v>
      </c>
      <c r="J75" s="126" t="n">
        <v>2</v>
      </c>
      <c r="K75" s="126" t="n">
        <v>2</v>
      </c>
      <c r="L75" s="126" t="n">
        <v>2</v>
      </c>
      <c r="M75" s="126" t="n">
        <v>2</v>
      </c>
      <c r="N75" s="126" t="n">
        <v>2</v>
      </c>
      <c r="O75" s="126" t="n">
        <v>2</v>
      </c>
      <c r="P75" s="126" t="n">
        <v>2</v>
      </c>
      <c r="Q75" s="62" t="n">
        <v>2</v>
      </c>
    </row>
    <row r="76" ht="15" customHeight="1" s="87">
      <c r="A76" s="126" t="n">
        <v>18</v>
      </c>
      <c r="B76" s="126" t="n">
        <v>69</v>
      </c>
      <c r="C76" s="102">
        <f>IF(E76&lt;0,1,0)</f>
        <v/>
      </c>
      <c r="D76" s="126">
        <f t="array" ref="D76">INDIRECT(ADDRESS(B76+ROW($D$7),MATCH($D$7,$F$7:$Q$7,0)+5))</f>
        <v/>
      </c>
      <c r="E76" s="66">
        <f>报价及预中标!L70/4</f>
        <v/>
      </c>
      <c r="F76" s="62" t="n">
        <v>2</v>
      </c>
      <c r="G76" s="62" t="n">
        <v>2</v>
      </c>
      <c r="H76" s="126" t="n">
        <v>2</v>
      </c>
      <c r="I76" s="126" t="n">
        <v>2</v>
      </c>
      <c r="J76" s="126" t="n">
        <v>2</v>
      </c>
      <c r="K76" s="126" t="n">
        <v>2</v>
      </c>
      <c r="L76" s="126" t="n">
        <v>2</v>
      </c>
      <c r="M76" s="126" t="n">
        <v>2</v>
      </c>
      <c r="N76" s="126" t="n">
        <v>2</v>
      </c>
      <c r="O76" s="126" t="n">
        <v>2</v>
      </c>
      <c r="P76" s="126" t="n">
        <v>2</v>
      </c>
      <c r="Q76" s="62" t="n">
        <v>2</v>
      </c>
    </row>
    <row r="77" ht="15" customHeight="1" s="87">
      <c r="A77" s="151" t="n"/>
      <c r="B77" s="126" t="n">
        <v>70</v>
      </c>
      <c r="C77" s="102">
        <f>IF(E77&lt;0,1,0)</f>
        <v/>
      </c>
      <c r="D77" s="126">
        <f t="array" ref="D77">INDIRECT(ADDRESS(B77+ROW($D$7),MATCH($D$7,$F$7:$Q$7,0)+5))</f>
        <v/>
      </c>
      <c r="E77" s="66">
        <f>报价及预中标!L71/4</f>
        <v/>
      </c>
      <c r="F77" s="62" t="n">
        <v>2</v>
      </c>
      <c r="G77" s="62" t="n">
        <v>2</v>
      </c>
      <c r="H77" s="126" t="n">
        <v>2</v>
      </c>
      <c r="I77" s="126" t="n">
        <v>2</v>
      </c>
      <c r="J77" s="126" t="n">
        <v>2</v>
      </c>
      <c r="K77" s="126" t="n">
        <v>2</v>
      </c>
      <c r="L77" s="126" t="n">
        <v>2</v>
      </c>
      <c r="M77" s="126" t="n">
        <v>2</v>
      </c>
      <c r="N77" s="126" t="n">
        <v>2</v>
      </c>
      <c r="O77" s="126" t="n">
        <v>2</v>
      </c>
      <c r="P77" s="126" t="n">
        <v>2</v>
      </c>
      <c r="Q77" s="62" t="n">
        <v>2</v>
      </c>
    </row>
    <row r="78" ht="15" customHeight="1" s="87">
      <c r="A78" s="151" t="n"/>
      <c r="B78" s="126" t="n">
        <v>71</v>
      </c>
      <c r="C78" s="102">
        <f>IF(E78&lt;0,1,0)</f>
        <v/>
      </c>
      <c r="D78" s="126">
        <f t="array" ref="D78">INDIRECT(ADDRESS(B78+ROW($D$7),MATCH($D$7,$F$7:$Q$7,0)+5))</f>
        <v/>
      </c>
      <c r="E78" s="66">
        <f>报价及预中标!L72/4</f>
        <v/>
      </c>
      <c r="F78" s="62" t="n">
        <v>2</v>
      </c>
      <c r="G78" s="62" t="n">
        <v>2</v>
      </c>
      <c r="H78" s="126" t="n">
        <v>2</v>
      </c>
      <c r="I78" s="126" t="n">
        <v>2</v>
      </c>
      <c r="J78" s="126" t="n">
        <v>2</v>
      </c>
      <c r="K78" s="126" t="n">
        <v>2</v>
      </c>
      <c r="L78" s="126" t="n">
        <v>2</v>
      </c>
      <c r="M78" s="126" t="n">
        <v>2</v>
      </c>
      <c r="N78" s="126" t="n">
        <v>2</v>
      </c>
      <c r="O78" s="126" t="n">
        <v>2</v>
      </c>
      <c r="P78" s="126" t="n">
        <v>2</v>
      </c>
      <c r="Q78" s="62" t="n">
        <v>2</v>
      </c>
    </row>
    <row r="79" ht="15" customHeight="1" s="87">
      <c r="A79" s="152" t="n"/>
      <c r="B79" s="126" t="n">
        <v>72</v>
      </c>
      <c r="C79" s="102">
        <f>IF(E79&lt;0,1,0)</f>
        <v/>
      </c>
      <c r="D79" s="126">
        <f t="array" ref="D79">INDIRECT(ADDRESS(B79+ROW($D$7),MATCH($D$7,$F$7:$Q$7,0)+5))</f>
        <v/>
      </c>
      <c r="E79" s="66">
        <f>报价及预中标!L73/4</f>
        <v/>
      </c>
      <c r="F79" s="62" t="n">
        <v>2</v>
      </c>
      <c r="G79" s="62" t="n">
        <v>2</v>
      </c>
      <c r="H79" s="126" t="n">
        <v>2</v>
      </c>
      <c r="I79" s="126" t="n">
        <v>2</v>
      </c>
      <c r="J79" s="126" t="n">
        <v>2</v>
      </c>
      <c r="K79" s="126" t="n">
        <v>2</v>
      </c>
      <c r="L79" s="126" t="n">
        <v>2</v>
      </c>
      <c r="M79" s="126" t="n">
        <v>2</v>
      </c>
      <c r="N79" s="126" t="n">
        <v>2</v>
      </c>
      <c r="O79" s="126" t="n">
        <v>2</v>
      </c>
      <c r="P79" s="126" t="n">
        <v>2</v>
      </c>
      <c r="Q79" s="62" t="n">
        <v>2</v>
      </c>
    </row>
    <row r="80" ht="15" customHeight="1" s="87">
      <c r="A80" s="126" t="n">
        <v>19</v>
      </c>
      <c r="B80" s="126" t="n">
        <v>73</v>
      </c>
      <c r="C80" s="102">
        <f>IF(E80&lt;0,1,0)</f>
        <v/>
      </c>
      <c r="D80" s="126">
        <f t="array" ref="D80">INDIRECT(ADDRESS(B80+ROW($D$7),MATCH($D$7,$F$7:$Q$7,0)+5))</f>
        <v/>
      </c>
      <c r="E80" s="66">
        <f>报价及预中标!L74/4</f>
        <v/>
      </c>
      <c r="F80" s="62" t="n">
        <v>2</v>
      </c>
      <c r="G80" s="62" t="n">
        <v>2</v>
      </c>
      <c r="H80" s="126" t="n">
        <v>2</v>
      </c>
      <c r="I80" s="126" t="n">
        <v>2</v>
      </c>
      <c r="J80" s="126" t="n">
        <v>2</v>
      </c>
      <c r="K80" s="126" t="n">
        <v>2</v>
      </c>
      <c r="L80" s="126" t="n">
        <v>2</v>
      </c>
      <c r="M80" s="126" t="n">
        <v>2</v>
      </c>
      <c r="N80" s="126" t="n">
        <v>2</v>
      </c>
      <c r="O80" s="126" t="n">
        <v>2</v>
      </c>
      <c r="P80" s="126" t="n">
        <v>2</v>
      </c>
      <c r="Q80" s="62" t="n">
        <v>2</v>
      </c>
    </row>
    <row r="81" ht="15" customHeight="1" s="87">
      <c r="A81" s="151" t="n"/>
      <c r="B81" s="126" t="n">
        <v>74</v>
      </c>
      <c r="C81" s="102">
        <f>IF(E81&lt;0,1,0)</f>
        <v/>
      </c>
      <c r="D81" s="126">
        <f t="array" ref="D81">INDIRECT(ADDRESS(B81+ROW($D$7),MATCH($D$7,$F$7:$Q$7,0)+5))</f>
        <v/>
      </c>
      <c r="E81" s="66">
        <f>报价及预中标!L75/4</f>
        <v/>
      </c>
      <c r="F81" s="62" t="n">
        <v>2</v>
      </c>
      <c r="G81" s="62" t="n">
        <v>2</v>
      </c>
      <c r="H81" s="126" t="n">
        <v>2</v>
      </c>
      <c r="I81" s="126" t="n">
        <v>2</v>
      </c>
      <c r="J81" s="126" t="n">
        <v>2</v>
      </c>
      <c r="K81" s="126" t="n">
        <v>2</v>
      </c>
      <c r="L81" s="126" t="n">
        <v>2</v>
      </c>
      <c r="M81" s="126" t="n">
        <v>2</v>
      </c>
      <c r="N81" s="126" t="n">
        <v>2</v>
      </c>
      <c r="O81" s="126" t="n">
        <v>2</v>
      </c>
      <c r="P81" s="126" t="n">
        <v>2</v>
      </c>
      <c r="Q81" s="62" t="n">
        <v>2</v>
      </c>
    </row>
    <row r="82" ht="15" customHeight="1" s="87">
      <c r="A82" s="151" t="n"/>
      <c r="B82" s="126" t="n">
        <v>75</v>
      </c>
      <c r="C82" s="102">
        <f>IF(E82&lt;0,1,0)</f>
        <v/>
      </c>
      <c r="D82" s="126">
        <f t="array" ref="D82">INDIRECT(ADDRESS(B82+ROW($D$7),MATCH($D$7,$F$7:$Q$7,0)+5))</f>
        <v/>
      </c>
      <c r="E82" s="66">
        <f>报价及预中标!L76/4</f>
        <v/>
      </c>
      <c r="F82" s="62" t="n">
        <v>2</v>
      </c>
      <c r="G82" s="62" t="n">
        <v>2</v>
      </c>
      <c r="H82" s="126" t="n">
        <v>2</v>
      </c>
      <c r="I82" s="126" t="n">
        <v>2</v>
      </c>
      <c r="J82" s="126" t="n">
        <v>2</v>
      </c>
      <c r="K82" s="126" t="n">
        <v>2</v>
      </c>
      <c r="L82" s="126" t="n">
        <v>2</v>
      </c>
      <c r="M82" s="126" t="n">
        <v>2</v>
      </c>
      <c r="N82" s="126" t="n">
        <v>2</v>
      </c>
      <c r="O82" s="126" t="n">
        <v>2</v>
      </c>
      <c r="P82" s="126" t="n">
        <v>2</v>
      </c>
      <c r="Q82" s="62" t="n">
        <v>2</v>
      </c>
    </row>
    <row r="83" ht="15" customHeight="1" s="87">
      <c r="A83" s="152" t="n"/>
      <c r="B83" s="126" t="n">
        <v>76</v>
      </c>
      <c r="C83" s="102">
        <f>IF(E83&lt;0,1,0)</f>
        <v/>
      </c>
      <c r="D83" s="126">
        <f t="array" ref="D83">INDIRECT(ADDRESS(B83+ROW($D$7),MATCH($D$7,$F$7:$Q$7,0)+5))</f>
        <v/>
      </c>
      <c r="E83" s="66">
        <f>报价及预中标!L77/4</f>
        <v/>
      </c>
      <c r="F83" s="62" t="n">
        <v>2</v>
      </c>
      <c r="G83" s="62" t="n">
        <v>2</v>
      </c>
      <c r="H83" s="126" t="n">
        <v>2</v>
      </c>
      <c r="I83" s="126" t="n">
        <v>2</v>
      </c>
      <c r="J83" s="126" t="n">
        <v>2</v>
      </c>
      <c r="K83" s="126" t="n">
        <v>2</v>
      </c>
      <c r="L83" s="126" t="n">
        <v>2</v>
      </c>
      <c r="M83" s="126" t="n">
        <v>2</v>
      </c>
      <c r="N83" s="126" t="n">
        <v>2</v>
      </c>
      <c r="O83" s="126" t="n">
        <v>2</v>
      </c>
      <c r="P83" s="126" t="n">
        <v>2</v>
      </c>
      <c r="Q83" s="62" t="n">
        <v>2</v>
      </c>
    </row>
    <row r="84" ht="15" customHeight="1" s="87">
      <c r="A84" s="126" t="n">
        <v>20</v>
      </c>
      <c r="B84" s="126" t="n">
        <v>77</v>
      </c>
      <c r="C84" s="102">
        <f>IF(E84&lt;0,1,0)</f>
        <v/>
      </c>
      <c r="D84" s="126">
        <f t="array" ref="D84">INDIRECT(ADDRESS(B84+ROW($D$7),MATCH($D$7,$F$7:$Q$7,0)+5))</f>
        <v/>
      </c>
      <c r="E84" s="66">
        <f>报价及预中标!L78/4</f>
        <v/>
      </c>
      <c r="F84" s="62" t="n">
        <v>1.7</v>
      </c>
      <c r="G84" s="62" t="n">
        <v>1.7</v>
      </c>
      <c r="H84" s="126" t="n">
        <v>2</v>
      </c>
      <c r="I84" s="126" t="n">
        <v>2</v>
      </c>
      <c r="J84" s="126" t="n">
        <v>2</v>
      </c>
      <c r="K84" s="126" t="n">
        <v>2</v>
      </c>
      <c r="L84" s="126" t="n">
        <v>2</v>
      </c>
      <c r="M84" s="126" t="n">
        <v>2</v>
      </c>
      <c r="N84" s="126" t="n">
        <v>1.7</v>
      </c>
      <c r="O84" s="126" t="n">
        <v>1.7</v>
      </c>
      <c r="P84" s="126" t="n">
        <v>1.7</v>
      </c>
      <c r="Q84" s="62" t="n">
        <v>1.7</v>
      </c>
    </row>
    <row r="85" ht="15" customHeight="1" s="87">
      <c r="A85" s="151" t="n"/>
      <c r="B85" s="126" t="n">
        <v>78</v>
      </c>
      <c r="C85" s="102">
        <f>IF(E85&lt;0,1,0)</f>
        <v/>
      </c>
      <c r="D85" s="126">
        <f t="array" ref="D85">INDIRECT(ADDRESS(B85+ROW($D$7),MATCH($D$7,$F$7:$Q$7,0)+5))</f>
        <v/>
      </c>
      <c r="E85" s="66">
        <f>报价及预中标!L79/4</f>
        <v/>
      </c>
      <c r="F85" s="62" t="n">
        <v>1.7</v>
      </c>
      <c r="G85" s="62" t="n">
        <v>1.7</v>
      </c>
      <c r="H85" s="126" t="n">
        <v>2</v>
      </c>
      <c r="I85" s="126" t="n">
        <v>2</v>
      </c>
      <c r="J85" s="126" t="n">
        <v>2</v>
      </c>
      <c r="K85" s="126" t="n">
        <v>2</v>
      </c>
      <c r="L85" s="126" t="n">
        <v>2</v>
      </c>
      <c r="M85" s="126" t="n">
        <v>2</v>
      </c>
      <c r="N85" s="126" t="n">
        <v>1.7</v>
      </c>
      <c r="O85" s="126" t="n">
        <v>1.7</v>
      </c>
      <c r="P85" s="126" t="n">
        <v>1.7</v>
      </c>
      <c r="Q85" s="62" t="n">
        <v>1.7</v>
      </c>
    </row>
    <row r="86" ht="15" customHeight="1" s="87">
      <c r="A86" s="151" t="n"/>
      <c r="B86" s="126" t="n">
        <v>79</v>
      </c>
      <c r="C86" s="102">
        <f>IF(E86&lt;0,1,0)</f>
        <v/>
      </c>
      <c r="D86" s="126">
        <f t="array" ref="D86">INDIRECT(ADDRESS(B86+ROW($D$7),MATCH($D$7,$F$7:$Q$7,0)+5))</f>
        <v/>
      </c>
      <c r="E86" s="66">
        <f>报价及预中标!L80/4</f>
        <v/>
      </c>
      <c r="F86" s="62" t="n">
        <v>1.7</v>
      </c>
      <c r="G86" s="62" t="n">
        <v>1.7</v>
      </c>
      <c r="H86" s="126" t="n">
        <v>2</v>
      </c>
      <c r="I86" s="126" t="n">
        <v>2</v>
      </c>
      <c r="J86" s="126" t="n">
        <v>2</v>
      </c>
      <c r="K86" s="126" t="n">
        <v>2</v>
      </c>
      <c r="L86" s="126" t="n">
        <v>2</v>
      </c>
      <c r="M86" s="126" t="n">
        <v>2</v>
      </c>
      <c r="N86" s="126" t="n">
        <v>1.7</v>
      </c>
      <c r="O86" s="126" t="n">
        <v>1.7</v>
      </c>
      <c r="P86" s="126" t="n">
        <v>1.7</v>
      </c>
      <c r="Q86" s="62" t="n">
        <v>1.7</v>
      </c>
    </row>
    <row r="87" ht="15" customHeight="1" s="87">
      <c r="A87" s="152" t="n"/>
      <c r="B87" s="126" t="n">
        <v>80</v>
      </c>
      <c r="C87" s="102">
        <f>IF(E87&lt;0,1,0)</f>
        <v/>
      </c>
      <c r="D87" s="126">
        <f t="array" ref="D87">INDIRECT(ADDRESS(B87+ROW($D$7),MATCH($D$7,$F$7:$Q$7,0)+5))</f>
        <v/>
      </c>
      <c r="E87" s="66">
        <f>报价及预中标!L81/4</f>
        <v/>
      </c>
      <c r="F87" s="62" t="n">
        <v>1.7</v>
      </c>
      <c r="G87" s="62" t="n">
        <v>1.7</v>
      </c>
      <c r="H87" s="126" t="n">
        <v>2</v>
      </c>
      <c r="I87" s="126" t="n">
        <v>2</v>
      </c>
      <c r="J87" s="126" t="n">
        <v>2</v>
      </c>
      <c r="K87" s="126" t="n">
        <v>2</v>
      </c>
      <c r="L87" s="126" t="n">
        <v>2</v>
      </c>
      <c r="M87" s="126" t="n">
        <v>2</v>
      </c>
      <c r="N87" s="126" t="n">
        <v>1.7</v>
      </c>
      <c r="O87" s="126" t="n">
        <v>1.7</v>
      </c>
      <c r="P87" s="126" t="n">
        <v>1.7</v>
      </c>
      <c r="Q87" s="62" t="n">
        <v>1.7</v>
      </c>
    </row>
    <row r="88" ht="15" customHeight="1" s="87">
      <c r="A88" s="126" t="n">
        <v>21</v>
      </c>
      <c r="B88" s="126" t="n">
        <v>81</v>
      </c>
      <c r="C88" s="102">
        <f>IF(E88&lt;0,1,0)</f>
        <v/>
      </c>
      <c r="D88" s="126">
        <f t="array" ref="D88">INDIRECT(ADDRESS(B88+ROW($D$7),MATCH($D$7,$F$7:$Q$7,0)+5))</f>
        <v/>
      </c>
      <c r="E88" s="66">
        <f>报价及预中标!L82/4</f>
        <v/>
      </c>
      <c r="F88" s="62" t="n">
        <v>1.7</v>
      </c>
      <c r="G88" s="62" t="n">
        <v>1.7</v>
      </c>
      <c r="H88" s="126" t="n">
        <v>1.7</v>
      </c>
      <c r="I88" s="126" t="n">
        <v>1.7</v>
      </c>
      <c r="J88" s="126" t="n">
        <v>1.7</v>
      </c>
      <c r="K88" s="126" t="n">
        <v>2</v>
      </c>
      <c r="L88" s="126" t="n">
        <v>2</v>
      </c>
      <c r="M88" s="126" t="n">
        <v>2</v>
      </c>
      <c r="N88" s="126" t="n">
        <v>1.7</v>
      </c>
      <c r="O88" s="126" t="n">
        <v>1.7</v>
      </c>
      <c r="P88" s="126" t="n">
        <v>1.7</v>
      </c>
      <c r="Q88" s="62" t="n">
        <v>1.7</v>
      </c>
    </row>
    <row r="89" ht="15" customHeight="1" s="87">
      <c r="A89" s="151" t="n"/>
      <c r="B89" s="126" t="n">
        <v>82</v>
      </c>
      <c r="C89" s="102">
        <f>IF(E89&lt;0,1,0)</f>
        <v/>
      </c>
      <c r="D89" s="126">
        <f t="array" ref="D89">INDIRECT(ADDRESS(B89+ROW($D$7),MATCH($D$7,$F$7:$Q$7,0)+5))</f>
        <v/>
      </c>
      <c r="E89" s="66">
        <f>报价及预中标!L83/4</f>
        <v/>
      </c>
      <c r="F89" s="62" t="n">
        <v>1.7</v>
      </c>
      <c r="G89" s="62" t="n">
        <v>1.7</v>
      </c>
      <c r="H89" s="126" t="n">
        <v>1.7</v>
      </c>
      <c r="I89" s="126" t="n">
        <v>1.7</v>
      </c>
      <c r="J89" s="126" t="n">
        <v>1.7</v>
      </c>
      <c r="K89" s="126" t="n">
        <v>2</v>
      </c>
      <c r="L89" s="126" t="n">
        <v>2</v>
      </c>
      <c r="M89" s="126" t="n">
        <v>2</v>
      </c>
      <c r="N89" s="126" t="n">
        <v>1.7</v>
      </c>
      <c r="O89" s="126" t="n">
        <v>1.7</v>
      </c>
      <c r="P89" s="126" t="n">
        <v>1.7</v>
      </c>
      <c r="Q89" s="62" t="n">
        <v>1.7</v>
      </c>
    </row>
    <row r="90" ht="15" customHeight="1" s="87">
      <c r="A90" s="151" t="n"/>
      <c r="B90" s="126" t="n">
        <v>83</v>
      </c>
      <c r="C90" s="102">
        <f>IF(E90&lt;0,1,0)</f>
        <v/>
      </c>
      <c r="D90" s="126">
        <f t="array" ref="D90">INDIRECT(ADDRESS(B90+ROW($D$7),MATCH($D$7,$F$7:$Q$7,0)+5))</f>
        <v/>
      </c>
      <c r="E90" s="66">
        <f>报价及预中标!L84/4</f>
        <v/>
      </c>
      <c r="F90" s="62" t="n">
        <v>1.7</v>
      </c>
      <c r="G90" s="62" t="n">
        <v>1.7</v>
      </c>
      <c r="H90" s="126" t="n">
        <v>1.7</v>
      </c>
      <c r="I90" s="126" t="n">
        <v>1.7</v>
      </c>
      <c r="J90" s="126" t="n">
        <v>1.7</v>
      </c>
      <c r="K90" s="126" t="n">
        <v>2</v>
      </c>
      <c r="L90" s="126" t="n">
        <v>2</v>
      </c>
      <c r="M90" s="126" t="n">
        <v>2</v>
      </c>
      <c r="N90" s="126" t="n">
        <v>1.7</v>
      </c>
      <c r="O90" s="126" t="n">
        <v>1.7</v>
      </c>
      <c r="P90" s="126" t="n">
        <v>1.7</v>
      </c>
      <c r="Q90" s="62" t="n">
        <v>1.7</v>
      </c>
    </row>
    <row r="91" ht="15" customHeight="1" s="87">
      <c r="A91" s="152" t="n"/>
      <c r="B91" s="126" t="n">
        <v>84</v>
      </c>
      <c r="C91" s="102">
        <f>IF(E91&lt;0,1,0)</f>
        <v/>
      </c>
      <c r="D91" s="126">
        <f t="array" ref="D91">INDIRECT(ADDRESS(B91+ROW($D$7),MATCH($D$7,$F$7:$Q$7,0)+5))</f>
        <v/>
      </c>
      <c r="E91" s="66">
        <f>报价及预中标!L85/4</f>
        <v/>
      </c>
      <c r="F91" s="62" t="n">
        <v>1.7</v>
      </c>
      <c r="G91" s="62" t="n">
        <v>1.7</v>
      </c>
      <c r="H91" s="126" t="n">
        <v>1.7</v>
      </c>
      <c r="I91" s="126" t="n">
        <v>1.7</v>
      </c>
      <c r="J91" s="126" t="n">
        <v>1.7</v>
      </c>
      <c r="K91" s="126" t="n">
        <v>2</v>
      </c>
      <c r="L91" s="126" t="n">
        <v>2</v>
      </c>
      <c r="M91" s="126" t="n">
        <v>2</v>
      </c>
      <c r="N91" s="126" t="n">
        <v>1.7</v>
      </c>
      <c r="O91" s="126" t="n">
        <v>1.7</v>
      </c>
      <c r="P91" s="126" t="n">
        <v>1.7</v>
      </c>
      <c r="Q91" s="62" t="n">
        <v>1.7</v>
      </c>
    </row>
    <row r="92" ht="15" customHeight="1" s="87">
      <c r="A92" s="126" t="n">
        <v>22</v>
      </c>
      <c r="B92" s="126" t="n">
        <v>85</v>
      </c>
      <c r="C92" s="102">
        <f>IF(E92&lt;0,1,0)</f>
        <v/>
      </c>
      <c r="D92" s="126">
        <f t="array" ref="D92">INDIRECT(ADDRESS(B92+ROW($D$7),MATCH($D$7,$F$7:$Q$7,0)+5))</f>
        <v/>
      </c>
      <c r="E92" s="66">
        <f>报价及预中标!L86/4</f>
        <v/>
      </c>
      <c r="F92" s="62" t="n">
        <v>1</v>
      </c>
      <c r="G92" s="62" t="n">
        <v>1</v>
      </c>
      <c r="H92" s="126" t="n">
        <v>1.7</v>
      </c>
      <c r="I92" s="126" t="n">
        <v>1.7</v>
      </c>
      <c r="J92" s="126" t="n">
        <v>1.7</v>
      </c>
      <c r="K92" s="126" t="n">
        <v>2</v>
      </c>
      <c r="L92" s="126" t="n">
        <v>2</v>
      </c>
      <c r="M92" s="126" t="n">
        <v>2</v>
      </c>
      <c r="N92" s="126" t="n">
        <v>1</v>
      </c>
      <c r="O92" s="126" t="n">
        <v>1</v>
      </c>
      <c r="P92" s="126" t="n">
        <v>1</v>
      </c>
      <c r="Q92" s="62" t="n">
        <v>1</v>
      </c>
    </row>
    <row r="93" ht="15" customHeight="1" s="87">
      <c r="A93" s="151" t="n"/>
      <c r="B93" s="126" t="n">
        <v>86</v>
      </c>
      <c r="C93" s="102">
        <f>IF(E93&lt;0,1,0)</f>
        <v/>
      </c>
      <c r="D93" s="126">
        <f t="array" ref="D93">INDIRECT(ADDRESS(B93+ROW($D$7),MATCH($D$7,$F$7:$Q$7,0)+5))</f>
        <v/>
      </c>
      <c r="E93" s="66">
        <f>报价及预中标!L87/4</f>
        <v/>
      </c>
      <c r="F93" s="62" t="n">
        <v>1</v>
      </c>
      <c r="G93" s="62" t="n">
        <v>1</v>
      </c>
      <c r="H93" s="126" t="n">
        <v>1.7</v>
      </c>
      <c r="I93" s="126" t="n">
        <v>1.7</v>
      </c>
      <c r="J93" s="126" t="n">
        <v>1.7</v>
      </c>
      <c r="K93" s="126" t="n">
        <v>2</v>
      </c>
      <c r="L93" s="126" t="n">
        <v>2</v>
      </c>
      <c r="M93" s="126" t="n">
        <v>2</v>
      </c>
      <c r="N93" s="126" t="n">
        <v>1</v>
      </c>
      <c r="O93" s="126" t="n">
        <v>1</v>
      </c>
      <c r="P93" s="126" t="n">
        <v>1</v>
      </c>
      <c r="Q93" s="62" t="n">
        <v>1</v>
      </c>
    </row>
    <row r="94" ht="15" customHeight="1" s="87">
      <c r="A94" s="151" t="n"/>
      <c r="B94" s="126" t="n">
        <v>87</v>
      </c>
      <c r="C94" s="102">
        <f>IF(E94&lt;0,1,0)</f>
        <v/>
      </c>
      <c r="D94" s="126">
        <f t="array" ref="D94">INDIRECT(ADDRESS(B94+ROW($D$7),MATCH($D$7,$F$7:$Q$7,0)+5))</f>
        <v/>
      </c>
      <c r="E94" s="66">
        <f>报价及预中标!L88/4</f>
        <v/>
      </c>
      <c r="F94" s="62" t="n">
        <v>1</v>
      </c>
      <c r="G94" s="62" t="n">
        <v>1</v>
      </c>
      <c r="H94" s="126" t="n">
        <v>1.7</v>
      </c>
      <c r="I94" s="126" t="n">
        <v>1.7</v>
      </c>
      <c r="J94" s="126" t="n">
        <v>1.7</v>
      </c>
      <c r="K94" s="126" t="n">
        <v>2</v>
      </c>
      <c r="L94" s="126" t="n">
        <v>2</v>
      </c>
      <c r="M94" s="126" t="n">
        <v>2</v>
      </c>
      <c r="N94" s="126" t="n">
        <v>1</v>
      </c>
      <c r="O94" s="126" t="n">
        <v>1</v>
      </c>
      <c r="P94" s="126" t="n">
        <v>1</v>
      </c>
      <c r="Q94" s="62" t="n">
        <v>1</v>
      </c>
    </row>
    <row r="95" ht="15" customHeight="1" s="87">
      <c r="A95" s="152" t="n"/>
      <c r="B95" s="126" t="n">
        <v>88</v>
      </c>
      <c r="C95" s="102">
        <f>IF(E95&lt;0,1,0)</f>
        <v/>
      </c>
      <c r="D95" s="126">
        <f t="array" ref="D95">INDIRECT(ADDRESS(B95+ROW($D$7),MATCH($D$7,$F$7:$Q$7,0)+5))</f>
        <v/>
      </c>
      <c r="E95" s="66">
        <f>报价及预中标!L89/4</f>
        <v/>
      </c>
      <c r="F95" s="62" t="n">
        <v>1</v>
      </c>
      <c r="G95" s="62" t="n">
        <v>1</v>
      </c>
      <c r="H95" s="126" t="n">
        <v>1.7</v>
      </c>
      <c r="I95" s="126" t="n">
        <v>1.7</v>
      </c>
      <c r="J95" s="126" t="n">
        <v>1.7</v>
      </c>
      <c r="K95" s="126" t="n">
        <v>2</v>
      </c>
      <c r="L95" s="126" t="n">
        <v>2</v>
      </c>
      <c r="M95" s="126" t="n">
        <v>2</v>
      </c>
      <c r="N95" s="126" t="n">
        <v>1</v>
      </c>
      <c r="O95" s="126" t="n">
        <v>1</v>
      </c>
      <c r="P95" s="126" t="n">
        <v>1</v>
      </c>
      <c r="Q95" s="62" t="n">
        <v>1</v>
      </c>
    </row>
    <row r="96" ht="15" customHeight="1" s="87">
      <c r="A96" s="126" t="n">
        <v>23</v>
      </c>
      <c r="B96" s="126" t="n">
        <v>89</v>
      </c>
      <c r="C96" s="102">
        <f>IF(E96&lt;0,1,0)</f>
        <v/>
      </c>
      <c r="D96" s="126">
        <f t="array" ref="D96">INDIRECT(ADDRESS(B96+ROW($D$7),MATCH($D$7,$F$7:$Q$7,0)+5))</f>
        <v/>
      </c>
      <c r="E96" s="66">
        <f>报价及预中标!L90/4</f>
        <v/>
      </c>
      <c r="F96" s="62" t="n">
        <v>1</v>
      </c>
      <c r="G96" s="62" t="n">
        <v>1</v>
      </c>
      <c r="H96" s="126" t="n">
        <v>1</v>
      </c>
      <c r="I96" s="126" t="n">
        <v>1</v>
      </c>
      <c r="J96" s="126" t="n">
        <v>1</v>
      </c>
      <c r="K96" s="126" t="n">
        <v>1.7</v>
      </c>
      <c r="L96" s="126" t="n">
        <v>1.7</v>
      </c>
      <c r="M96" s="126" t="n">
        <v>1.7</v>
      </c>
      <c r="N96" s="126" t="n">
        <v>1</v>
      </c>
      <c r="O96" s="126" t="n">
        <v>1</v>
      </c>
      <c r="P96" s="126" t="n">
        <v>1</v>
      </c>
      <c r="Q96" s="62" t="n">
        <v>1</v>
      </c>
    </row>
    <row r="97" ht="15" customHeight="1" s="87">
      <c r="A97" s="151" t="n"/>
      <c r="B97" s="126" t="n">
        <v>90</v>
      </c>
      <c r="C97" s="102">
        <f>IF(E97&lt;0,1,0)</f>
        <v/>
      </c>
      <c r="D97" s="126">
        <f t="array" ref="D97">INDIRECT(ADDRESS(B97+ROW($D$7),MATCH($D$7,$F$7:$Q$7,0)+5))</f>
        <v/>
      </c>
      <c r="E97" s="66">
        <f>报价及预中标!L91/4</f>
        <v/>
      </c>
      <c r="F97" s="62" t="n">
        <v>1</v>
      </c>
      <c r="G97" s="62" t="n">
        <v>1</v>
      </c>
      <c r="H97" s="126" t="n">
        <v>1</v>
      </c>
      <c r="I97" s="126" t="n">
        <v>1</v>
      </c>
      <c r="J97" s="126" t="n">
        <v>1</v>
      </c>
      <c r="K97" s="126" t="n">
        <v>1.7</v>
      </c>
      <c r="L97" s="126" t="n">
        <v>1.7</v>
      </c>
      <c r="M97" s="126" t="n">
        <v>1.7</v>
      </c>
      <c r="N97" s="126" t="n">
        <v>1</v>
      </c>
      <c r="O97" s="126" t="n">
        <v>1</v>
      </c>
      <c r="P97" s="126" t="n">
        <v>1</v>
      </c>
      <c r="Q97" s="62" t="n">
        <v>1</v>
      </c>
    </row>
    <row r="98" ht="15" customHeight="1" s="87">
      <c r="A98" s="151" t="n"/>
      <c r="B98" s="126" t="n">
        <v>91</v>
      </c>
      <c r="C98" s="102">
        <f>IF(E98&lt;0,1,0)</f>
        <v/>
      </c>
      <c r="D98" s="126">
        <f t="array" ref="D98">INDIRECT(ADDRESS(B98+ROW($D$7),MATCH($D$7,$F$7:$Q$7,0)+5))</f>
        <v/>
      </c>
      <c r="E98" s="66">
        <f>报价及预中标!L92/4</f>
        <v/>
      </c>
      <c r="F98" s="62" t="n">
        <v>1</v>
      </c>
      <c r="G98" s="62" t="n">
        <v>1</v>
      </c>
      <c r="H98" s="126" t="n">
        <v>1</v>
      </c>
      <c r="I98" s="126" t="n">
        <v>1</v>
      </c>
      <c r="J98" s="126" t="n">
        <v>1</v>
      </c>
      <c r="K98" s="126" t="n">
        <v>1.7</v>
      </c>
      <c r="L98" s="126" t="n">
        <v>1.7</v>
      </c>
      <c r="M98" s="126" t="n">
        <v>1.7</v>
      </c>
      <c r="N98" s="126" t="n">
        <v>1</v>
      </c>
      <c r="O98" s="126" t="n">
        <v>1</v>
      </c>
      <c r="P98" s="126" t="n">
        <v>1</v>
      </c>
      <c r="Q98" s="62" t="n">
        <v>1</v>
      </c>
    </row>
    <row r="99" ht="15" customHeight="1" s="87">
      <c r="A99" s="152" t="n"/>
      <c r="B99" s="126" t="n">
        <v>92</v>
      </c>
      <c r="C99" s="102">
        <f>IF(E99&lt;0,1,0)</f>
        <v/>
      </c>
      <c r="D99" s="126">
        <f t="array" ref="D99">INDIRECT(ADDRESS(B99+ROW($D$7),MATCH($D$7,$F$7:$Q$7,0)+5))</f>
        <v/>
      </c>
      <c r="E99" s="66">
        <f>报价及预中标!L93/4</f>
        <v/>
      </c>
      <c r="F99" s="62" t="n">
        <v>1</v>
      </c>
      <c r="G99" s="62" t="n">
        <v>1</v>
      </c>
      <c r="H99" s="126" t="n">
        <v>1</v>
      </c>
      <c r="I99" s="126" t="n">
        <v>1</v>
      </c>
      <c r="J99" s="126" t="n">
        <v>1</v>
      </c>
      <c r="K99" s="126" t="n">
        <v>1.7</v>
      </c>
      <c r="L99" s="126" t="n">
        <v>1.7</v>
      </c>
      <c r="M99" s="126" t="n">
        <v>1.7</v>
      </c>
      <c r="N99" s="126" t="n">
        <v>1</v>
      </c>
      <c r="O99" s="126" t="n">
        <v>1</v>
      </c>
      <c r="P99" s="126" t="n">
        <v>1</v>
      </c>
      <c r="Q99" s="62" t="n">
        <v>1</v>
      </c>
    </row>
    <row r="100" ht="15" customHeight="1" s="87">
      <c r="A100" s="126" t="n">
        <v>24</v>
      </c>
      <c r="B100" s="126" t="n">
        <v>93</v>
      </c>
      <c r="C100" s="102">
        <f>IF(E100&lt;0,1,0)</f>
        <v/>
      </c>
      <c r="D100" s="126">
        <f t="array" ref="D100">INDIRECT(ADDRESS(B100+ROW($D$7),MATCH($D$7,$F$7:$Q$7,0)+5))</f>
        <v/>
      </c>
      <c r="E100" s="66">
        <f>报价及预中标!L94/4</f>
        <v/>
      </c>
      <c r="F100" s="62" t="n">
        <v>1</v>
      </c>
      <c r="G100" s="62" t="n">
        <v>1</v>
      </c>
      <c r="H100" s="126" t="n">
        <v>1</v>
      </c>
      <c r="I100" s="126" t="n">
        <v>1</v>
      </c>
      <c r="J100" s="126" t="n">
        <v>1</v>
      </c>
      <c r="K100" s="126" t="n">
        <v>1</v>
      </c>
      <c r="L100" s="126" t="n">
        <v>1</v>
      </c>
      <c r="M100" s="126" t="n">
        <v>1</v>
      </c>
      <c r="N100" s="126" t="n">
        <v>1</v>
      </c>
      <c r="O100" s="126" t="n">
        <v>1</v>
      </c>
      <c r="P100" s="126" t="n">
        <v>1</v>
      </c>
      <c r="Q100" s="62" t="n">
        <v>1</v>
      </c>
    </row>
    <row r="101" ht="15" customHeight="1" s="87">
      <c r="A101" s="151" t="n"/>
      <c r="B101" s="126" t="n">
        <v>94</v>
      </c>
      <c r="C101" s="102">
        <f>IF(E101&lt;0,1,0)</f>
        <v/>
      </c>
      <c r="D101" s="126">
        <f t="array" ref="D101">INDIRECT(ADDRESS(B101+ROW($D$7),MATCH($D$7,$F$7:$Q$7,0)+5))</f>
        <v/>
      </c>
      <c r="E101" s="66">
        <f>报价及预中标!L95/4</f>
        <v/>
      </c>
      <c r="F101" s="62" t="n">
        <v>1</v>
      </c>
      <c r="G101" s="62" t="n">
        <v>1</v>
      </c>
      <c r="H101" s="126" t="n">
        <v>1</v>
      </c>
      <c r="I101" s="126" t="n">
        <v>1</v>
      </c>
      <c r="J101" s="126" t="n">
        <v>1</v>
      </c>
      <c r="K101" s="126" t="n">
        <v>1</v>
      </c>
      <c r="L101" s="126" t="n">
        <v>1</v>
      </c>
      <c r="M101" s="126" t="n">
        <v>1</v>
      </c>
      <c r="N101" s="126" t="n">
        <v>1</v>
      </c>
      <c r="O101" s="126" t="n">
        <v>1</v>
      </c>
      <c r="P101" s="126" t="n">
        <v>1</v>
      </c>
      <c r="Q101" s="62" t="n">
        <v>1</v>
      </c>
    </row>
    <row r="102" ht="15" customHeight="1" s="87">
      <c r="A102" s="151" t="n"/>
      <c r="B102" s="126" t="n">
        <v>95</v>
      </c>
      <c r="C102" s="102">
        <f>IF(E102&lt;0,1,0)</f>
        <v/>
      </c>
      <c r="D102" s="126">
        <f t="array" ref="D102">INDIRECT(ADDRESS(B102+ROW($D$7),MATCH($D$7,$F$7:$Q$7,0)+5))</f>
        <v/>
      </c>
      <c r="E102" s="66">
        <f>报价及预中标!L96/4</f>
        <v/>
      </c>
      <c r="F102" s="62" t="n">
        <v>1</v>
      </c>
      <c r="G102" s="62" t="n">
        <v>1</v>
      </c>
      <c r="H102" s="126" t="n">
        <v>1</v>
      </c>
      <c r="I102" s="126" t="n">
        <v>1</v>
      </c>
      <c r="J102" s="126" t="n">
        <v>1</v>
      </c>
      <c r="K102" s="126" t="n">
        <v>1</v>
      </c>
      <c r="L102" s="126" t="n">
        <v>1</v>
      </c>
      <c r="M102" s="126" t="n">
        <v>1</v>
      </c>
      <c r="N102" s="126" t="n">
        <v>1</v>
      </c>
      <c r="O102" s="126" t="n">
        <v>1</v>
      </c>
      <c r="P102" s="126" t="n">
        <v>1</v>
      </c>
      <c r="Q102" s="62" t="n">
        <v>1</v>
      </c>
    </row>
    <row r="103" ht="15" customHeight="1" s="87" thickBot="1">
      <c r="A103" s="152" t="n"/>
      <c r="B103" s="126" t="n">
        <v>96</v>
      </c>
      <c r="C103" s="102">
        <f>IF(E103&lt;0,1,0)</f>
        <v/>
      </c>
      <c r="D103" s="126">
        <f t="array" ref="D103">INDIRECT(ADDRESS(B103+ROW($D$7),MATCH($D$7,$F$7:$Q$7,0)+5))</f>
        <v/>
      </c>
      <c r="E103" s="66">
        <f>报价及预中标!L97/4</f>
        <v/>
      </c>
      <c r="F103" s="67" t="n">
        <v>1</v>
      </c>
      <c r="G103" s="67" t="n">
        <v>1</v>
      </c>
      <c r="H103" s="68" t="n">
        <v>1</v>
      </c>
      <c r="I103" s="68" t="n">
        <v>1</v>
      </c>
      <c r="J103" s="68" t="n">
        <v>1</v>
      </c>
      <c r="K103" s="68" t="n">
        <v>1</v>
      </c>
      <c r="L103" s="68" t="n">
        <v>1</v>
      </c>
      <c r="M103" s="68" t="n">
        <v>1</v>
      </c>
      <c r="N103" s="68" t="n">
        <v>1</v>
      </c>
      <c r="O103" s="68" t="n">
        <v>1</v>
      </c>
      <c r="P103" s="68" t="n">
        <v>1</v>
      </c>
      <c r="Q103" s="67" t="n">
        <v>1</v>
      </c>
    </row>
  </sheetData>
  <mergeCells count="29">
    <mergeCell ref="A36:A39"/>
    <mergeCell ref="A48:A51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2026-05-20T09:09:16Z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