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assets\"/>
    </mc:Choice>
  </mc:AlternateContent>
  <xr:revisionPtr revIDLastSave="0" documentId="13_ncr:1_{851D27EC-EC9E-4D06-B73B-292F4C9EAF2F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SheetJS" sheetId="1" r:id="rId1"/>
  </sheets>
  <calcPr calcId="191029"/>
</workbook>
</file>

<file path=xl/calcChain.xml><?xml version="1.0" encoding="utf-8"?>
<calcChain xmlns="http://schemas.openxmlformats.org/spreadsheetml/2006/main">
  <c r="J7" i="1" l="1"/>
  <c r="H7" i="1"/>
  <c r="G7" i="1"/>
  <c r="K7" i="1" l="1"/>
  <c r="K3" i="1"/>
  <c r="K4" i="1"/>
  <c r="K5" i="1"/>
  <c r="K6" i="1"/>
  <c r="K2" i="1"/>
</calcChain>
</file>

<file path=xl/sharedStrings.xml><?xml version="1.0" encoding="utf-8"?>
<sst xmlns="http://schemas.openxmlformats.org/spreadsheetml/2006/main" count="20" uniqueCount="12">
  <si>
    <t>日期</t>
  </si>
  <si>
    <t>小时</t>
  </si>
  <si>
    <t>电站名称</t>
  </si>
  <si>
    <t>AGC K1</t>
  </si>
  <si>
    <t>AGC K2</t>
  </si>
  <si>
    <t>AGC K3</t>
  </si>
  <si>
    <t>综合性能指标(Kp)</t>
  </si>
  <si>
    <t>调节深度(MW)</t>
  </si>
  <si>
    <t>2026-05-27</t>
  </si>
  <si>
    <t>苏留润津储能</t>
  </si>
  <si>
    <t>中标价</t>
    <phoneticPr fontId="1" type="noConversion"/>
  </si>
  <si>
    <t>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</si>
</sst>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7" sqref="J7"/>
    </sheetView>
  </sheetViews>
  <sheetFormatPr defaultRowHeight="15.6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10</v>
      </c>
      <c r="K1" t="s">
        <v>11</v>
      </c>
    </row>
    <row r="2" spans="1:11" x14ac:dyDescent="0.25">
      <c r="A2" t="s">
        <v>8</v>
      </c>
      <c r="B2">
        <v>9</v>
      </c>
      <c r="C2" t="s">
        <v>9</v>
      </c>
      <c r="D2">
        <v>1.3</v>
      </c>
      <c r="E2">
        <v>1.7664409999999999</v>
      </c>
      <c r="F2">
        <v>1.5853109999999999</v>
      </c>
      <c r="G2">
        <v>1.833658</v>
      </c>
      <c r="H2">
        <v>203.29</v>
      </c>
      <c r="J2">
        <v>5.97</v>
      </c>
      <c r="K2">
        <f>J2*H2*G2</f>
        <v>2225.4030788753998</v>
      </c>
    </row>
    <row r="3" spans="1:11" x14ac:dyDescent="0.25">
      <c r="A3" t="s">
        <v>8</v>
      </c>
      <c r="B3">
        <v>11</v>
      </c>
      <c r="C3" t="s">
        <v>9</v>
      </c>
      <c r="D3">
        <v>1.3</v>
      </c>
      <c r="E3">
        <v>1.7453700000000001</v>
      </c>
      <c r="F3">
        <v>1.5543210000000001</v>
      </c>
      <c r="G3">
        <v>1.8169979999999999</v>
      </c>
      <c r="H3">
        <v>203.51</v>
      </c>
      <c r="J3">
        <v>8</v>
      </c>
      <c r="K3">
        <f t="shared" ref="K3:K6" si="0">J3*H3*G3</f>
        <v>2958.2181038399999</v>
      </c>
    </row>
    <row r="4" spans="1:11" x14ac:dyDescent="0.25">
      <c r="A4" t="s">
        <v>8</v>
      </c>
      <c r="B4">
        <v>14</v>
      </c>
      <c r="C4" t="s">
        <v>9</v>
      </c>
      <c r="D4">
        <v>1.3</v>
      </c>
      <c r="E4">
        <v>1.7407840000000001</v>
      </c>
      <c r="F4">
        <v>1.6130720000000001</v>
      </c>
      <c r="G4">
        <v>1.830384</v>
      </c>
      <c r="H4">
        <v>182.65</v>
      </c>
      <c r="J4">
        <v>5.97</v>
      </c>
      <c r="K4">
        <f t="shared" si="0"/>
        <v>1995.888236472</v>
      </c>
    </row>
    <row r="5" spans="1:11" x14ac:dyDescent="0.25">
      <c r="A5" t="s">
        <v>8</v>
      </c>
      <c r="B5">
        <v>18</v>
      </c>
      <c r="C5" t="s">
        <v>9</v>
      </c>
      <c r="D5">
        <v>1.3</v>
      </c>
      <c r="E5">
        <v>1.7429030000000001</v>
      </c>
      <c r="F5">
        <v>1.5913980000000001</v>
      </c>
      <c r="G5">
        <v>1.82562</v>
      </c>
      <c r="H5">
        <v>221.87</v>
      </c>
      <c r="J5">
        <v>5.97</v>
      </c>
      <c r="K5">
        <f t="shared" si="0"/>
        <v>2418.1503471179999</v>
      </c>
    </row>
    <row r="6" spans="1:11" x14ac:dyDescent="0.25">
      <c r="A6" t="s">
        <v>8</v>
      </c>
      <c r="B6">
        <v>23</v>
      </c>
      <c r="C6" t="s">
        <v>9</v>
      </c>
      <c r="D6">
        <v>1.3</v>
      </c>
      <c r="E6">
        <v>1.7848390000000001</v>
      </c>
      <c r="F6">
        <v>1.5881719999999999</v>
      </c>
      <c r="G6">
        <v>1.84192</v>
      </c>
      <c r="H6">
        <v>235.22</v>
      </c>
      <c r="J6">
        <v>5.97</v>
      </c>
      <c r="K6">
        <f t="shared" si="0"/>
        <v>2586.540841728</v>
      </c>
    </row>
    <row r="7" spans="1:11" x14ac:dyDescent="0.25">
      <c r="G7">
        <f>AVERAGE(G2:G6)</f>
        <v>1.8297159999999999</v>
      </c>
      <c r="H7">
        <f>AVERAGE(H2:H6)</f>
        <v>209.30799999999999</v>
      </c>
      <c r="J7">
        <f>AVERAGE(J2:J6)</f>
        <v>6.3759999999999994</v>
      </c>
      <c r="K7">
        <f>SUM(K2:K6)</f>
        <v>12184.200608033399</v>
      </c>
    </row>
  </sheetData>
  <phoneticPr fontId="1" type="noConversion"/>
  <pageMargins left="0.7" right="0.7" top="0.75" bottom="0.75" header="0.3" footer="0.3"/>
  <ignoredErrors>
    <ignoredError sqref="A1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PYQ4219</dc:creator>
  <cp:lastModifiedBy>Administrator</cp:lastModifiedBy>
  <dcterms:created xsi:type="dcterms:W3CDTF">2026-06-04T07:44:35Z</dcterms:created>
  <dcterms:modified xsi:type="dcterms:W3CDTF">2026-06-04T07:48:56Z</dcterms:modified>
</cp:coreProperties>
</file>