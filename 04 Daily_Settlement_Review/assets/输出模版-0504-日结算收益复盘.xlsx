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4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百度网盘同步空间\01 电力交易与储能\01 各省项目及政策\04山东\每日策略实例\2026\05月\0504-晴天\"/>
    </mc:Choice>
  </mc:AlternateContent>
  <xr:revisionPtr revIDLastSave="0" documentId="13_ncr:1_{1D3D89D8-4502-435F-9C18-CFE3CEF2F2B5}" xr6:coauthVersionLast="36" xr6:coauthVersionMax="36" xr10:uidLastSave="{00000000-0000-0000-0000-000000000000}"/>
  <bookViews>
    <workbookView xWindow="0" yWindow="0" windowWidth="28800" windowHeight="12252" xr2:uid="{00000000-000D-0000-FFFF-FFFF00000000}"/>
  </bookViews>
  <sheets>
    <sheet name="充放测算" sheetId="1" r:id="rId1"/>
    <sheet name="充电日清算费用" sheetId="6" r:id="rId2"/>
    <sheet name="放电日清算费用" sheetId="7" r:id="rId3"/>
    <sheet name="报价及预中标" sheetId="8" r:id="rId4"/>
    <sheet name="容量分摊系数" sheetId="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</workbook>
</file>

<file path=xl/calcChain.xml><?xml version="1.0" encoding="utf-8"?>
<calcChain xmlns="http://schemas.openxmlformats.org/spreadsheetml/2006/main">
  <c r="O7" i="1" l="1"/>
  <c r="C4" i="1" l="1"/>
  <c r="M97" i="8" l="1"/>
  <c r="L97" i="8"/>
  <c r="I97" i="8"/>
  <c r="M96" i="8"/>
  <c r="L96" i="8"/>
  <c r="I96" i="8"/>
  <c r="M95" i="8"/>
  <c r="L95" i="8"/>
  <c r="I95" i="8"/>
  <c r="M94" i="8"/>
  <c r="L94" i="8"/>
  <c r="I94" i="8"/>
  <c r="M93" i="8"/>
  <c r="L93" i="8"/>
  <c r="I93" i="8"/>
  <c r="M92" i="8"/>
  <c r="L92" i="8"/>
  <c r="I92" i="8"/>
  <c r="M91" i="8"/>
  <c r="L91" i="8"/>
  <c r="I91" i="8"/>
  <c r="M90" i="8"/>
  <c r="L90" i="8"/>
  <c r="I90" i="8"/>
  <c r="M89" i="8"/>
  <c r="L89" i="8"/>
  <c r="I89" i="8"/>
  <c r="M88" i="8"/>
  <c r="L88" i="8"/>
  <c r="I88" i="8"/>
  <c r="M87" i="8"/>
  <c r="L87" i="8"/>
  <c r="I87" i="8"/>
  <c r="M86" i="8"/>
  <c r="L86" i="8"/>
  <c r="I86" i="8"/>
  <c r="M85" i="8"/>
  <c r="L85" i="8"/>
  <c r="I85" i="8"/>
  <c r="M84" i="8"/>
  <c r="L84" i="8"/>
  <c r="I84" i="8"/>
  <c r="M83" i="8"/>
  <c r="L83" i="8"/>
  <c r="I83" i="8"/>
  <c r="M82" i="8"/>
  <c r="L82" i="8"/>
  <c r="I82" i="8"/>
  <c r="M81" i="8"/>
  <c r="L81" i="8"/>
  <c r="I81" i="8"/>
  <c r="M80" i="8"/>
  <c r="L80" i="8"/>
  <c r="I80" i="8"/>
  <c r="M79" i="8"/>
  <c r="L79" i="8"/>
  <c r="I79" i="8"/>
  <c r="M78" i="8"/>
  <c r="L78" i="8"/>
  <c r="I78" i="8"/>
  <c r="M77" i="8"/>
  <c r="L77" i="8"/>
  <c r="I77" i="8"/>
  <c r="M76" i="8"/>
  <c r="L76" i="8"/>
  <c r="I76" i="8"/>
  <c r="M75" i="8"/>
  <c r="L75" i="8"/>
  <c r="I75" i="8"/>
  <c r="M74" i="8"/>
  <c r="L74" i="8"/>
  <c r="I74" i="8"/>
  <c r="M73" i="8"/>
  <c r="L73" i="8"/>
  <c r="I73" i="8"/>
  <c r="M72" i="8"/>
  <c r="L72" i="8"/>
  <c r="I72" i="8"/>
  <c r="M71" i="8"/>
  <c r="L71" i="8"/>
  <c r="I71" i="8"/>
  <c r="M70" i="8"/>
  <c r="L70" i="8"/>
  <c r="I70" i="8"/>
  <c r="M69" i="8"/>
  <c r="L69" i="8"/>
  <c r="I69" i="8"/>
  <c r="M68" i="8"/>
  <c r="L68" i="8"/>
  <c r="I68" i="8"/>
  <c r="M67" i="8"/>
  <c r="L67" i="8"/>
  <c r="I67" i="8"/>
  <c r="M66" i="8"/>
  <c r="L66" i="8"/>
  <c r="I66" i="8"/>
  <c r="M65" i="8"/>
  <c r="L65" i="8"/>
  <c r="I65" i="8"/>
  <c r="M64" i="8"/>
  <c r="L64" i="8"/>
  <c r="I64" i="8"/>
  <c r="M63" i="8"/>
  <c r="L63" i="8"/>
  <c r="I63" i="8"/>
  <c r="M62" i="8"/>
  <c r="L62" i="8"/>
  <c r="I62" i="8"/>
  <c r="M61" i="8"/>
  <c r="L61" i="8"/>
  <c r="I61" i="8"/>
  <c r="M60" i="8"/>
  <c r="L60" i="8"/>
  <c r="I60" i="8"/>
  <c r="M59" i="8"/>
  <c r="L59" i="8"/>
  <c r="I59" i="8"/>
  <c r="M58" i="8"/>
  <c r="L58" i="8"/>
  <c r="I58" i="8"/>
  <c r="M57" i="8"/>
  <c r="L57" i="8"/>
  <c r="I57" i="8"/>
  <c r="M56" i="8"/>
  <c r="L56" i="8"/>
  <c r="I56" i="8"/>
  <c r="M55" i="8"/>
  <c r="L55" i="8"/>
  <c r="I55" i="8"/>
  <c r="M54" i="8"/>
  <c r="L54" i="8"/>
  <c r="I54" i="8"/>
  <c r="M53" i="8"/>
  <c r="L53" i="8"/>
  <c r="I53" i="8"/>
  <c r="M52" i="8"/>
  <c r="L52" i="8"/>
  <c r="I52" i="8"/>
  <c r="M51" i="8"/>
  <c r="L51" i="8"/>
  <c r="I51" i="8"/>
  <c r="M50" i="8"/>
  <c r="L50" i="8"/>
  <c r="I50" i="8"/>
  <c r="M49" i="8"/>
  <c r="L49" i="8"/>
  <c r="I49" i="8"/>
  <c r="M48" i="8"/>
  <c r="L48" i="8"/>
  <c r="I48" i="8"/>
  <c r="M47" i="8"/>
  <c r="L47" i="8"/>
  <c r="I47" i="8"/>
  <c r="M46" i="8"/>
  <c r="L46" i="8"/>
  <c r="I46" i="8"/>
  <c r="M45" i="8"/>
  <c r="L45" i="8"/>
  <c r="I45" i="8"/>
  <c r="M44" i="8"/>
  <c r="L44" i="8"/>
  <c r="I44" i="8"/>
  <c r="M43" i="8"/>
  <c r="L43" i="8"/>
  <c r="I43" i="8"/>
  <c r="M42" i="8"/>
  <c r="L42" i="8"/>
  <c r="I42" i="8"/>
  <c r="M41" i="8"/>
  <c r="L41" i="8"/>
  <c r="I41" i="8"/>
  <c r="M40" i="8"/>
  <c r="L40" i="8"/>
  <c r="I40" i="8"/>
  <c r="M39" i="8"/>
  <c r="L39" i="8"/>
  <c r="I39" i="8"/>
  <c r="M38" i="8"/>
  <c r="L38" i="8"/>
  <c r="I38" i="8"/>
  <c r="M37" i="8"/>
  <c r="L37" i="8"/>
  <c r="I37" i="8"/>
  <c r="M36" i="8"/>
  <c r="L36" i="8"/>
  <c r="I36" i="8"/>
  <c r="M35" i="8"/>
  <c r="L35" i="8"/>
  <c r="I35" i="8"/>
  <c r="M34" i="8"/>
  <c r="L34" i="8"/>
  <c r="I34" i="8"/>
  <c r="M33" i="8"/>
  <c r="L33" i="8"/>
  <c r="I33" i="8"/>
  <c r="M32" i="8"/>
  <c r="L32" i="8"/>
  <c r="I32" i="8"/>
  <c r="M31" i="8"/>
  <c r="L31" i="8"/>
  <c r="I31" i="8"/>
  <c r="M30" i="8"/>
  <c r="L30" i="8"/>
  <c r="I30" i="8"/>
  <c r="M29" i="8"/>
  <c r="L29" i="8"/>
  <c r="I29" i="8"/>
  <c r="M28" i="8"/>
  <c r="L28" i="8"/>
  <c r="I28" i="8"/>
  <c r="M27" i="8"/>
  <c r="L27" i="8"/>
  <c r="I27" i="8"/>
  <c r="D27" i="8" a="1"/>
  <c r="D27" i="8" s="1"/>
  <c r="B27" i="8"/>
  <c r="M26" i="8"/>
  <c r="L26" i="8"/>
  <c r="I26" i="8"/>
  <c r="M25" i="8"/>
  <c r="L25" i="8"/>
  <c r="I25" i="8"/>
  <c r="M24" i="8"/>
  <c r="L24" i="8"/>
  <c r="I24" i="8"/>
  <c r="M23" i="8"/>
  <c r="L23" i="8"/>
  <c r="I23" i="8"/>
  <c r="M22" i="8"/>
  <c r="L22" i="8"/>
  <c r="I22" i="8"/>
  <c r="M21" i="8"/>
  <c r="L21" i="8"/>
  <c r="I21" i="8"/>
  <c r="M20" i="8"/>
  <c r="L20" i="8"/>
  <c r="I20" i="8"/>
  <c r="M19" i="8"/>
  <c r="L19" i="8"/>
  <c r="I19" i="8"/>
  <c r="M18" i="8"/>
  <c r="L18" i="8"/>
  <c r="I18" i="8"/>
  <c r="M17" i="8"/>
  <c r="L17" i="8"/>
  <c r="I17" i="8"/>
  <c r="M16" i="8"/>
  <c r="L16" i="8"/>
  <c r="I16" i="8"/>
  <c r="M15" i="8"/>
  <c r="L15" i="8"/>
  <c r="I15" i="8"/>
  <c r="M14" i="8"/>
  <c r="L14" i="8"/>
  <c r="I14" i="8"/>
  <c r="M13" i="8"/>
  <c r="L13" i="8"/>
  <c r="I13" i="8"/>
  <c r="M12" i="8"/>
  <c r="L12" i="8"/>
  <c r="I12" i="8"/>
  <c r="M11" i="8"/>
  <c r="L11" i="8"/>
  <c r="I11" i="8"/>
  <c r="M10" i="8"/>
  <c r="L10" i="8"/>
  <c r="I10" i="8"/>
  <c r="M9" i="8"/>
  <c r="L9" i="8"/>
  <c r="I9" i="8"/>
  <c r="M8" i="8"/>
  <c r="L8" i="8"/>
  <c r="I8" i="8"/>
  <c r="M7" i="8"/>
  <c r="L7" i="8"/>
  <c r="I7" i="8"/>
  <c r="M6" i="8"/>
  <c r="L6" i="8"/>
  <c r="I6" i="8"/>
  <c r="M5" i="8"/>
  <c r="L5" i="8"/>
  <c r="I5" i="8"/>
  <c r="M4" i="8"/>
  <c r="L4" i="8"/>
  <c r="I4" i="8"/>
  <c r="M3" i="8"/>
  <c r="L3" i="8"/>
  <c r="I3" i="8"/>
  <c r="M2" i="8"/>
  <c r="D25" i="8" s="1"/>
  <c r="L2" i="8"/>
  <c r="B25" i="8" s="1"/>
  <c r="I2" i="8"/>
  <c r="B26" i="8" l="1"/>
  <c r="D28" i="8"/>
  <c r="D26" i="8"/>
  <c r="B28" i="8" s="1"/>
  <c r="D30" i="8" l="1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C26" i="9" s="1"/>
  <c r="E27" i="9"/>
  <c r="E28" i="9"/>
  <c r="C28" i="9" s="1"/>
  <c r="E29" i="9"/>
  <c r="C29" i="9" s="1"/>
  <c r="E30" i="9"/>
  <c r="C30" i="9" s="1"/>
  <c r="E31" i="9"/>
  <c r="E32" i="9"/>
  <c r="E33" i="9"/>
  <c r="E34" i="9"/>
  <c r="C34" i="9" s="1"/>
  <c r="E35" i="9"/>
  <c r="E36" i="9"/>
  <c r="E37" i="9"/>
  <c r="C37" i="9" s="1"/>
  <c r="E38" i="9"/>
  <c r="C38" i="9" s="1"/>
  <c r="E39" i="9"/>
  <c r="E40" i="9"/>
  <c r="E41" i="9"/>
  <c r="E42" i="9"/>
  <c r="E43" i="9"/>
  <c r="C43" i="9" s="1"/>
  <c r="E44" i="9"/>
  <c r="E45" i="9"/>
  <c r="C45" i="9" s="1"/>
  <c r="E46" i="9"/>
  <c r="C46" i="9" s="1"/>
  <c r="E47" i="9"/>
  <c r="E48" i="9"/>
  <c r="E49" i="9"/>
  <c r="E50" i="9"/>
  <c r="E51" i="9"/>
  <c r="E52" i="9"/>
  <c r="E53" i="9"/>
  <c r="C53" i="9" s="1"/>
  <c r="E54" i="9"/>
  <c r="C54" i="9" s="1"/>
  <c r="E55" i="9"/>
  <c r="C55" i="9" s="1"/>
  <c r="E56" i="9"/>
  <c r="E57" i="9"/>
  <c r="E58" i="9"/>
  <c r="E59" i="9"/>
  <c r="C59" i="9" s="1"/>
  <c r="E60" i="9"/>
  <c r="E61" i="9"/>
  <c r="C61" i="9" s="1"/>
  <c r="E62" i="9"/>
  <c r="C62" i="9" s="1"/>
  <c r="E63" i="9"/>
  <c r="E64" i="9"/>
  <c r="E65" i="9"/>
  <c r="E66" i="9"/>
  <c r="E67" i="9"/>
  <c r="E68" i="9"/>
  <c r="E69" i="9"/>
  <c r="C69" i="9" s="1"/>
  <c r="E70" i="9"/>
  <c r="C70" i="9" s="1"/>
  <c r="E71" i="9"/>
  <c r="C71" i="9" s="1"/>
  <c r="E72" i="9"/>
  <c r="E73" i="9"/>
  <c r="E74" i="9"/>
  <c r="E75" i="9"/>
  <c r="C75" i="9" s="1"/>
  <c r="E76" i="9"/>
  <c r="E77" i="9"/>
  <c r="C77" i="9" s="1"/>
  <c r="E78" i="9"/>
  <c r="C78" i="9" s="1"/>
  <c r="E79" i="9"/>
  <c r="E80" i="9"/>
  <c r="E81" i="9"/>
  <c r="E82" i="9"/>
  <c r="E83" i="9"/>
  <c r="C83" i="9" s="1"/>
  <c r="E84" i="9"/>
  <c r="E85" i="9"/>
  <c r="C85" i="9" s="1"/>
  <c r="E86" i="9"/>
  <c r="C86" i="9" s="1"/>
  <c r="E87" i="9"/>
  <c r="C87" i="9" s="1"/>
  <c r="E88" i="9"/>
  <c r="E89" i="9"/>
  <c r="E90" i="9"/>
  <c r="E91" i="9"/>
  <c r="C91" i="9" s="1"/>
  <c r="E92" i="9"/>
  <c r="E93" i="9"/>
  <c r="C93" i="9" s="1"/>
  <c r="E94" i="9"/>
  <c r="C94" i="9" s="1"/>
  <c r="E95" i="9"/>
  <c r="C95" i="9" s="1"/>
  <c r="E96" i="9"/>
  <c r="E97" i="9"/>
  <c r="E98" i="9"/>
  <c r="E99" i="9"/>
  <c r="E100" i="9"/>
  <c r="E101" i="9"/>
  <c r="C101" i="9" s="1"/>
  <c r="E102" i="9"/>
  <c r="C102" i="9" s="1"/>
  <c r="E103" i="9"/>
  <c r="C103" i="9" s="1"/>
  <c r="E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7" i="9"/>
  <c r="C31" i="9"/>
  <c r="C32" i="9"/>
  <c r="C33" i="9"/>
  <c r="C35" i="9"/>
  <c r="C36" i="9"/>
  <c r="C39" i="9"/>
  <c r="C40" i="9"/>
  <c r="C41" i="9"/>
  <c r="C42" i="9"/>
  <c r="C44" i="9"/>
  <c r="C47" i="9"/>
  <c r="C48" i="9"/>
  <c r="C49" i="9"/>
  <c r="C50" i="9"/>
  <c r="C51" i="9"/>
  <c r="C52" i="9"/>
  <c r="C56" i="9"/>
  <c r="C57" i="9"/>
  <c r="C58" i="9"/>
  <c r="C60" i="9"/>
  <c r="C63" i="9"/>
  <c r="C64" i="9"/>
  <c r="C65" i="9"/>
  <c r="C66" i="9"/>
  <c r="C67" i="9"/>
  <c r="C68" i="9"/>
  <c r="C72" i="9"/>
  <c r="C73" i="9"/>
  <c r="C74" i="9"/>
  <c r="C76" i="9"/>
  <c r="C79" i="9"/>
  <c r="C80" i="9"/>
  <c r="C81" i="9"/>
  <c r="C82" i="9"/>
  <c r="C84" i="9"/>
  <c r="C88" i="9"/>
  <c r="C89" i="9"/>
  <c r="C90" i="9"/>
  <c r="C92" i="9"/>
  <c r="C96" i="9"/>
  <c r="C97" i="9"/>
  <c r="C98" i="9"/>
  <c r="C99" i="9"/>
  <c r="C100" i="9"/>
  <c r="C8" i="9"/>
  <c r="D103" i="9" a="1"/>
  <c r="D95" i="9" a="1"/>
  <c r="D20" i="9" a="1"/>
  <c r="D41" i="9" a="1"/>
  <c r="D36" i="9" a="1"/>
  <c r="D92" i="9" a="1"/>
  <c r="D88" i="9" a="1"/>
  <c r="D58" i="9" a="1"/>
  <c r="D97" i="9" a="1"/>
  <c r="D73" i="9" a="1"/>
  <c r="D64" i="9" a="1"/>
  <c r="D18" i="9" a="1"/>
  <c r="D32" i="9" a="1"/>
  <c r="D13" i="9" a="1"/>
  <c r="D19" i="9" a="1"/>
  <c r="D98" i="9" a="1"/>
  <c r="D79" i="9" a="1"/>
  <c r="D25" i="9" a="1"/>
  <c r="D37" i="9" a="1"/>
  <c r="D51" i="9" a="1"/>
  <c r="D49" i="9" a="1"/>
  <c r="D11" i="9" a="1"/>
  <c r="D10" i="9" a="1"/>
  <c r="D101" i="9" a="1"/>
  <c r="D71" i="9" a="1"/>
  <c r="D44" i="9" a="1"/>
  <c r="D52" i="9" a="1"/>
  <c r="D29" i="9" a="1"/>
  <c r="D56" i="9" a="1"/>
  <c r="D99" i="9" a="1"/>
  <c r="D17" i="9" a="1"/>
  <c r="D66" i="9" a="1"/>
  <c r="D27" i="9" a="1"/>
  <c r="D55" i="9" a="1"/>
  <c r="D40" i="9" a="1"/>
  <c r="D63" i="9" a="1"/>
  <c r="D34" i="9" a="1"/>
  <c r="D48" i="9" a="1"/>
  <c r="D65" i="9" a="1"/>
  <c r="D83" i="9" a="1"/>
  <c r="D86" i="9" a="1"/>
  <c r="D90" i="9" a="1"/>
  <c r="D91" i="9" a="1"/>
  <c r="D60" i="9" a="1"/>
  <c r="D74" i="9" a="1"/>
  <c r="D16" i="9" a="1"/>
  <c r="D61" i="9" a="1"/>
  <c r="D30" i="9" a="1"/>
  <c r="D47" i="9" a="1"/>
  <c r="D14" i="9" a="1"/>
  <c r="D12" i="9" a="1"/>
  <c r="D70" i="9" a="1"/>
  <c r="D54" i="9" a="1"/>
  <c r="D45" i="9" a="1"/>
  <c r="D89" i="9" a="1"/>
  <c r="D76" i="9" a="1"/>
  <c r="D75" i="9" a="1"/>
  <c r="D26" i="9" a="1"/>
  <c r="D23" i="9" a="1"/>
  <c r="D67" i="9" a="1"/>
  <c r="D87" i="9" a="1"/>
  <c r="D33" i="9" a="1"/>
  <c r="D96" i="9" a="1"/>
  <c r="D94" i="9" a="1"/>
  <c r="D82" i="9" a="1"/>
  <c r="D8" i="9" a="1"/>
  <c r="D59" i="9" a="1"/>
  <c r="D102" i="9" a="1"/>
  <c r="D21" i="9" a="1"/>
  <c r="D84" i="9" a="1"/>
  <c r="D15" i="9" a="1"/>
  <c r="D38" i="9" a="1"/>
  <c r="D80" i="9" a="1"/>
  <c r="D100" i="9" a="1"/>
  <c r="D53" i="9" a="1"/>
  <c r="D50" i="9" a="1"/>
  <c r="D42" i="9" a="1"/>
  <c r="D22" i="9" a="1"/>
  <c r="D39" i="9" a="1"/>
  <c r="D9" i="9" a="1"/>
  <c r="D28" i="9" a="1"/>
  <c r="D72" i="9" a="1"/>
  <c r="D68" i="9" a="1"/>
  <c r="D78" i="9" a="1"/>
  <c r="D81" i="9" a="1"/>
  <c r="D93" i="9" a="1"/>
  <c r="D31" i="9" a="1"/>
  <c r="D85" i="9" a="1"/>
  <c r="D46" i="9" a="1"/>
  <c r="D35" i="9" a="1"/>
  <c r="D69" i="9" a="1"/>
  <c r="D57" i="9" a="1"/>
  <c r="D43" i="9" a="1"/>
  <c r="D24" i="9" a="1"/>
  <c r="D77" i="9" a="1"/>
  <c r="D62" i="9" a="1"/>
  <c r="D8" i="9" l="1"/>
  <c r="D12" i="9"/>
  <c r="D14" i="9"/>
  <c r="D16" i="9"/>
  <c r="D18" i="9"/>
  <c r="D24" i="9"/>
  <c r="D26" i="9"/>
  <c r="D28" i="9"/>
  <c r="D30" i="9"/>
  <c r="D32" i="9"/>
  <c r="D34" i="9"/>
  <c r="D36" i="9"/>
  <c r="D38" i="9"/>
  <c r="D40" i="9"/>
  <c r="D42" i="9"/>
  <c r="D44" i="9"/>
  <c r="D46" i="9"/>
  <c r="D48" i="9"/>
  <c r="D50" i="9"/>
  <c r="D52" i="9"/>
  <c r="D54" i="9"/>
  <c r="D56" i="9"/>
  <c r="D58" i="9"/>
  <c r="D60" i="9"/>
  <c r="D62" i="9"/>
  <c r="D64" i="9"/>
  <c r="D66" i="9"/>
  <c r="D68" i="9"/>
  <c r="D70" i="9"/>
  <c r="D72" i="9"/>
  <c r="D74" i="9"/>
  <c r="D76" i="9"/>
  <c r="D78" i="9"/>
  <c r="D80" i="9"/>
  <c r="D82" i="9"/>
  <c r="D84" i="9"/>
  <c r="D86" i="9"/>
  <c r="D88" i="9"/>
  <c r="D90" i="9"/>
  <c r="D92" i="9"/>
  <c r="D94" i="9"/>
  <c r="D96" i="9"/>
  <c r="D98" i="9"/>
  <c r="D100" i="9"/>
  <c r="D102" i="9"/>
  <c r="D20" i="9"/>
  <c r="D10" i="9"/>
  <c r="D22" i="9"/>
  <c r="D9" i="9"/>
  <c r="D11" i="9"/>
  <c r="D17" i="9"/>
  <c r="D19" i="9"/>
  <c r="D21" i="9"/>
  <c r="D23" i="9"/>
  <c r="D25" i="9"/>
  <c r="D27" i="9"/>
  <c r="D29" i="9"/>
  <c r="D33" i="9"/>
  <c r="D37" i="9"/>
  <c r="D39" i="9"/>
  <c r="D41" i="9"/>
  <c r="D43" i="9"/>
  <c r="D45" i="9"/>
  <c r="D47" i="9"/>
  <c r="D49" i="9"/>
  <c r="D51" i="9"/>
  <c r="D53" i="9"/>
  <c r="D55" i="9"/>
  <c r="D57" i="9"/>
  <c r="D59" i="9"/>
  <c r="D61" i="9"/>
  <c r="D63" i="9"/>
  <c r="D65" i="9"/>
  <c r="D67" i="9"/>
  <c r="D69" i="9"/>
  <c r="D71" i="9"/>
  <c r="D73" i="9"/>
  <c r="D75" i="9"/>
  <c r="D77" i="9"/>
  <c r="D79" i="9"/>
  <c r="D81" i="9"/>
  <c r="D83" i="9"/>
  <c r="D85" i="9"/>
  <c r="D87" i="9"/>
  <c r="D89" i="9"/>
  <c r="D91" i="9"/>
  <c r="D93" i="9"/>
  <c r="D95" i="9"/>
  <c r="D97" i="9"/>
  <c r="D99" i="9"/>
  <c r="D101" i="9"/>
  <c r="D103" i="9"/>
  <c r="D15" i="9"/>
  <c r="D35" i="9"/>
  <c r="D13" i="9"/>
  <c r="D31" i="9"/>
  <c r="G3" i="9" l="1" a="1"/>
  <c r="G3" i="9" s="1"/>
  <c r="C3" i="9" a="1"/>
  <c r="C3" i="9" s="1"/>
  <c r="L4" i="1" l="1"/>
  <c r="M4" i="1"/>
  <c r="N4" i="1"/>
  <c r="O6" i="1" s="1"/>
  <c r="O8" i="1" s="1"/>
  <c r="A4" i="1"/>
  <c r="B4" i="1"/>
  <c r="P4" i="1" l="1"/>
  <c r="Q4" i="1"/>
  <c r="K13" i="1"/>
  <c r="K12" i="1"/>
  <c r="K11" i="1"/>
  <c r="K10" i="1"/>
  <c r="K9" i="1"/>
  <c r="K8" i="1"/>
  <c r="K7" i="1"/>
  <c r="K6" i="1"/>
  <c r="H4" i="1" l="1"/>
  <c r="G4" i="1"/>
  <c r="F4" i="1"/>
  <c r="E4" i="1"/>
  <c r="D4" i="1"/>
  <c r="I4" i="1" l="1"/>
  <c r="K4" i="1" s="1"/>
  <c r="O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GOLDWIND</author>
  </authors>
  <commentList>
    <comment ref="J12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GOLDWIND:</t>
        </r>
        <r>
          <rPr>
            <sz val="9"/>
            <rFont val="宋体"/>
            <family val="3"/>
            <charset val="134"/>
          </rPr>
          <t xml:space="preserve">
月度费用除以月度充电电量。以下两个值均如此计算。</t>
        </r>
      </text>
    </comment>
  </commentList>
</comments>
</file>

<file path=xl/sharedStrings.xml><?xml version="1.0" encoding="utf-8"?>
<sst xmlns="http://schemas.openxmlformats.org/spreadsheetml/2006/main" count="429" uniqueCount="355">
  <si>
    <t>储能每日充放测算</t>
  </si>
  <si>
    <t>充电支出</t>
  </si>
  <si>
    <t>放电收入</t>
  </si>
  <si>
    <t>现货收益</t>
  </si>
  <si>
    <t>其他</t>
  </si>
  <si>
    <t>充电均价
(元/MWh)</t>
  </si>
  <si>
    <t>充电电量(MWh)</t>
  </si>
  <si>
    <t>交易充电
费用(元)</t>
  </si>
  <si>
    <t>优发优购(元)</t>
  </si>
  <si>
    <t>上网线损(元)</t>
  </si>
  <si>
    <t>输配电费(元)</t>
  </si>
  <si>
    <t>政府基金(元)</t>
  </si>
  <si>
    <t>系统运行(元)</t>
  </si>
  <si>
    <t>容量分摊(元)</t>
  </si>
  <si>
    <t>容量分摊
系数</t>
  </si>
  <si>
    <t>充电总
费用(元)</t>
  </si>
  <si>
    <t>放电均价
(元/MWh)</t>
  </si>
  <si>
    <t>放电电量(MWh)</t>
  </si>
  <si>
    <t>放电电费
(元)</t>
  </si>
  <si>
    <t>（元）</t>
  </si>
  <si>
    <t>综合效率</t>
  </si>
  <si>
    <t>充放价差
(元/MWh)</t>
  </si>
  <si>
    <t>说明</t>
  </si>
  <si>
    <t>根据预测电价，输入充电均价，放电均价。根据充电时段计算出对于的容量分摊系数，计入容量分摊。</t>
  </si>
  <si>
    <t>充电均价（元 / MWh）输入限制：-100 至 800；</t>
  </si>
  <si>
    <t xml:space="preserve">输配电价（元 / MWh）设置：收取损耗部分输配电价； </t>
  </si>
  <si>
    <t>政府核定</t>
  </si>
  <si>
    <t>政府基金（元 /M Wh）设置：收取损耗部分输配电价；</t>
  </si>
  <si>
    <t>综合效率设置：60% 至 100%；</t>
  </si>
  <si>
    <t>放电均价（元 / MWh）输入限制：100 至 1500；</t>
  </si>
  <si>
    <t>优发优购曲线匹配偏差标准：暂以上月替代；</t>
  </si>
  <si>
    <t>上月均值</t>
  </si>
  <si>
    <t>上网环节线损费用；</t>
  </si>
  <si>
    <t>系统运行费用；</t>
  </si>
  <si>
    <t xml:space="preserve"> 容量分摊：按季度分为4种类型，详见附表；</t>
  </si>
  <si>
    <t>根据选择的充电时段，计算容量分摊系数。</t>
  </si>
  <si>
    <t>假设</t>
  </si>
  <si>
    <t>时点序号</t>
  </si>
  <si>
    <t/>
  </si>
  <si>
    <t>时点</t>
  </si>
  <si>
    <t>统一结算日前</t>
  </si>
  <si>
    <t>真实充电中标</t>
  </si>
  <si>
    <t>真实放电中标</t>
  </si>
  <si>
    <t>充放电曲线</t>
  </si>
  <si>
    <t>1. 中标按最大值中标，如[-100,-95],按-100中标，[0,95]，按95中标</t>
  </si>
  <si>
    <t>20250922 0015</t>
  </si>
  <si>
    <t>20250922 0030</t>
  </si>
  <si>
    <t>20250922 0045</t>
  </si>
  <si>
    <t>序号</t>
  </si>
  <si>
    <t>类型</t>
  </si>
  <si>
    <t>开始出力（MW）</t>
  </si>
  <si>
    <t>结束出力（MW）</t>
  </si>
  <si>
    <t>报价（元/MWh）</t>
  </si>
  <si>
    <t>20250922 0100</t>
  </si>
  <si>
    <t>充电</t>
  </si>
  <si>
    <t>20250922 0115</t>
  </si>
  <si>
    <t>20250922 0130</t>
  </si>
  <si>
    <t>20250922 0145</t>
  </si>
  <si>
    <t>20250922 0200</t>
  </si>
  <si>
    <t>20250922 0215</t>
  </si>
  <si>
    <t>放电</t>
  </si>
  <si>
    <t>20250922 0230</t>
  </si>
  <si>
    <t>20250922 0245</t>
  </si>
  <si>
    <t>20250922 0300</t>
  </si>
  <si>
    <t>20250922 0315</t>
  </si>
  <si>
    <t>20250922 0330</t>
  </si>
  <si>
    <t>20250922 0345</t>
  </si>
  <si>
    <t>20250922 0400</t>
  </si>
  <si>
    <t>初始电量（MWh)</t>
  </si>
  <si>
    <t>20250922 0415</t>
  </si>
  <si>
    <t>额定装机（MW）</t>
  </si>
  <si>
    <t>20250922 0430</t>
  </si>
  <si>
    <t>最大电量（MWh)</t>
  </si>
  <si>
    <t>20250922 0445</t>
  </si>
  <si>
    <t>综合使用效率</t>
  </si>
  <si>
    <t>20250922 0500</t>
  </si>
  <si>
    <t>20250922 0515</t>
  </si>
  <si>
    <t>20250922 0530</t>
  </si>
  <si>
    <t>20250922 0545</t>
  </si>
  <si>
    <t>充电电量（MWh)</t>
  </si>
  <si>
    <t>放电电量（MWh)</t>
  </si>
  <si>
    <t>20250922 0600</t>
  </si>
  <si>
    <t>充电均价(元/MWh）</t>
  </si>
  <si>
    <t>放电均价(元/MWh）</t>
  </si>
  <si>
    <t>20250922 0615</t>
  </si>
  <si>
    <t>充电费用（元,正数代表收入）</t>
  </si>
  <si>
    <t>放电收益（元,正数代表收入）</t>
  </si>
  <si>
    <t>20250922 0630</t>
  </si>
  <si>
    <t>充放电价差(元/MWh）</t>
  </si>
  <si>
    <t>充放电收益(元/MWh）</t>
  </si>
  <si>
    <t>20250922 0645</t>
  </si>
  <si>
    <t>20250922 0700</t>
  </si>
  <si>
    <t>20250922 0715</t>
  </si>
  <si>
    <t>20250922 0730</t>
  </si>
  <si>
    <t>20250922 0745</t>
  </si>
  <si>
    <t>20250922 0800</t>
  </si>
  <si>
    <t>20250922 0815</t>
  </si>
  <si>
    <t>20250922 0830</t>
  </si>
  <si>
    <t>20250922 0845</t>
  </si>
  <si>
    <t>20250922 0900</t>
  </si>
  <si>
    <t>20250922 0915</t>
  </si>
  <si>
    <t>20250922 0930</t>
  </si>
  <si>
    <t>20250922 0945</t>
  </si>
  <si>
    <t>20250922 1000</t>
  </si>
  <si>
    <t>20250922 1015</t>
  </si>
  <si>
    <t>20250922 1030</t>
  </si>
  <si>
    <t>20250922 1045</t>
  </si>
  <si>
    <t>20250922 1100</t>
  </si>
  <si>
    <t>20250922 1115</t>
  </si>
  <si>
    <t>20250922 1130</t>
  </si>
  <si>
    <t>20250922 1145</t>
  </si>
  <si>
    <t>20250922 1200</t>
  </si>
  <si>
    <t>20250922 1215</t>
  </si>
  <si>
    <t>20250922 1230</t>
  </si>
  <si>
    <t>20250922 1245</t>
  </si>
  <si>
    <t>20250922 1300</t>
  </si>
  <si>
    <t>20250922 1315</t>
  </si>
  <si>
    <t>20250922 1330</t>
  </si>
  <si>
    <t>20250922 1345</t>
  </si>
  <si>
    <t>20250922 1400</t>
  </si>
  <si>
    <t>20250922 1415</t>
  </si>
  <si>
    <t>20250922 1430</t>
  </si>
  <si>
    <t>20250922 1445</t>
  </si>
  <si>
    <t>20250922 1500</t>
  </si>
  <si>
    <t>20250922 1515</t>
  </si>
  <si>
    <t>20250922 1530</t>
  </si>
  <si>
    <t>20250922 1545</t>
  </si>
  <si>
    <t>20250922 1600</t>
  </si>
  <si>
    <t>20250922 1615</t>
  </si>
  <si>
    <t>20250922 1630</t>
  </si>
  <si>
    <t>20250922 1645</t>
  </si>
  <si>
    <t>20250922 1700</t>
  </si>
  <si>
    <t>20250922 1715</t>
  </si>
  <si>
    <t>20250922 1730</t>
  </si>
  <si>
    <t>20250922 1745</t>
  </si>
  <si>
    <t>20250922 1800</t>
  </si>
  <si>
    <t>20250922 1815</t>
  </si>
  <si>
    <t>20250922 1830</t>
  </si>
  <si>
    <t>20250922 1845</t>
  </si>
  <si>
    <t>20250922 1900</t>
  </si>
  <si>
    <t>20250922 1915</t>
  </si>
  <si>
    <t>20250922 1930</t>
  </si>
  <si>
    <t>20250922 1945</t>
  </si>
  <si>
    <t>20250922 2000</t>
  </si>
  <si>
    <t>20250922 2015</t>
  </si>
  <si>
    <t>20250922 2030</t>
  </si>
  <si>
    <t>20250922 2045</t>
  </si>
  <si>
    <t>20250922 2100</t>
  </si>
  <si>
    <t>20250922 2115</t>
  </si>
  <si>
    <t>20250922 2130</t>
  </si>
  <si>
    <t>20250922 2145</t>
  </si>
  <si>
    <t>20250922 2200</t>
  </si>
  <si>
    <t>20250922 2215</t>
  </si>
  <si>
    <t>20250922 2230</t>
  </si>
  <si>
    <t>20250922 2245</t>
  </si>
  <si>
    <t>20250922 2300</t>
  </si>
  <si>
    <t>20250922 2315</t>
  </si>
  <si>
    <t>20250922 2330</t>
  </si>
  <si>
    <t>20250922 2345</t>
  </si>
  <si>
    <t>20250922 2400</t>
  </si>
  <si>
    <t>容量电价</t>
  </si>
  <si>
    <t>容量分摊--算数平均
系数</t>
  </si>
  <si>
    <t>容量分摊系数--电量加权</t>
  </si>
  <si>
    <t>刻钟点</t>
  </si>
  <si>
    <t>是否充电</t>
  </si>
  <si>
    <t>当前月份</t>
  </si>
  <si>
    <t>充电电量</t>
  </si>
  <si>
    <t>7月</t>
  </si>
  <si>
    <t>1月</t>
  </si>
  <si>
    <t>2月</t>
  </si>
  <si>
    <t>3月</t>
  </si>
  <si>
    <t>4月</t>
  </si>
  <si>
    <t>5月</t>
  </si>
  <si>
    <t>6月</t>
  </si>
  <si>
    <t>8月</t>
  </si>
  <si>
    <t>9月</t>
  </si>
  <si>
    <t>10月</t>
  </si>
  <si>
    <t>11月</t>
  </si>
  <si>
    <t>12月</t>
  </si>
  <si>
    <t>节点日前电价</t>
  </si>
  <si>
    <t>报价(元/MWh)</t>
  </si>
  <si>
    <t>容量分摊系数（2026年）</t>
    <phoneticPr fontId="9" type="noConversion"/>
  </si>
  <si>
    <t>德州润津储能科技有限公司(用电):</t>
  </si>
  <si>
    <t>单位：兆瓦时、元/兆瓦时、元</t>
  </si>
  <si>
    <t>时段</t>
  </si>
  <si>
    <t>省内实时市场结算</t>
  </si>
  <si>
    <t>省内日前市场结算</t>
  </si>
  <si>
    <t>省内中长期结算</t>
  </si>
  <si>
    <t>跨省跨区直接交易结算</t>
  </si>
  <si>
    <t>运行成本类费用</t>
  </si>
  <si>
    <t>市场偏差类费用</t>
  </si>
  <si>
    <t>辅助服务费用</t>
  </si>
  <si>
    <t>总计</t>
  </si>
  <si>
    <t>实时用电量</t>
  </si>
  <si>
    <t>实时市场电价</t>
  </si>
  <si>
    <t>实时电能量电费</t>
  </si>
  <si>
    <t>日前出清电量</t>
  </si>
  <si>
    <t>日前市场出清电价</t>
  </si>
  <si>
    <t>实时市场统一结算点电价</t>
  </si>
  <si>
    <t>日前电能量电费</t>
  </si>
  <si>
    <t>中长期合约电量</t>
  </si>
  <si>
    <t>中长期合约电价</t>
  </si>
  <si>
    <t>中长期结算参考点现货市场电价</t>
  </si>
  <si>
    <t>中长期合约电费</t>
  </si>
  <si>
    <t>银东双边电量</t>
  </si>
  <si>
    <t>银东双边价格</t>
  </si>
  <si>
    <t>银东双边电费</t>
  </si>
  <si>
    <t>银东竞价电量</t>
  </si>
  <si>
    <t>银东竞价价格</t>
  </si>
  <si>
    <t>银东竞价电费</t>
  </si>
  <si>
    <t>运行成本补偿费用</t>
  </si>
  <si>
    <t>运行成本补偿费用分摊</t>
  </si>
  <si>
    <t>市场超额收益回收返还</t>
  </si>
  <si>
    <t>调频辅助服务费用分摊</t>
  </si>
  <si>
    <t>总结算电量</t>
  </si>
  <si>
    <t>总结算均价</t>
  </si>
  <si>
    <t>总结算费用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</si>
  <si>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</si>
  <si>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</si>
  <si>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</si>
  <si>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</si>
  <si>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</si>
  <si>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</si>
  <si>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</si>
  <si>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</si>
  <si>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</si>
  <si>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</si>
  <si>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</si>
  <si>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</si>
  <si>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</si>
  <si>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</si>
  <si>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</si>
  <si>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</si>
  <si>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</si>
  <si>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</si>
  <si>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-</t>
  </si>
  <si>
    <t>19:00</t>
  </si>
  <si>
    <t>20:00</t>
  </si>
  <si>
    <t>21:00</t>
  </si>
  <si>
    <t>22:00</t>
  </si>
  <si>
    <t>23:00</t>
  </si>
  <si>
    <t>24:00</t>
  </si>
  <si>
    <t>合计</t>
  </si>
  <si>
    <t>德州润津储能科技有限公司(发电):</t>
  </si>
  <si>
    <t>跨省跨区结算</t>
  </si>
  <si>
    <t>非市场结算</t>
  </si>
  <si>
    <t>调试期结算</t>
  </si>
  <si>
    <t>运行成本补偿及分摊</t>
  </si>
  <si>
    <t>供热考核及返还</t>
  </si>
  <si>
    <t>市场超额收益回收</t>
  </si>
  <si>
    <t>调频辅助服务</t>
  </si>
  <si>
    <t>爬坡辅助服务</t>
  </si>
  <si>
    <t>总结算电量及费用</t>
  </si>
  <si>
    <t>省间中长期结算电量</t>
  </si>
  <si>
    <t>省间中长期结算价格</t>
  </si>
  <si>
    <t>省间中长期结算电费</t>
  </si>
  <si>
    <t>省间日前结算电量</t>
  </si>
  <si>
    <t>省间日前结算价格</t>
  </si>
  <si>
    <t>省间日前结算电费</t>
  </si>
  <si>
    <t>省间应急外送结算电量</t>
  </si>
  <si>
    <t>省间应急外送结算价格</t>
  </si>
  <si>
    <t>省间应急外送结算电费</t>
  </si>
  <si>
    <t>非市场结算电量</t>
  </si>
  <si>
    <t>非市场结算价格</t>
  </si>
  <si>
    <t>非市场电能量电费</t>
  </si>
  <si>
    <t>调试期结算电量</t>
  </si>
  <si>
    <t>实际上网电量</t>
  </si>
  <si>
    <t>实时市场节点电价</t>
  </si>
  <si>
    <t>中长期合约固定价格</t>
  </si>
  <si>
    <t>运行成本分摊费用</t>
  </si>
  <si>
    <t>供热考核费用</t>
  </si>
  <si>
    <t>供热返还费用</t>
  </si>
  <si>
    <t>调频辅助服务补偿费用</t>
  </si>
  <si>
    <t>调频辅助服务分摊费用</t>
  </si>
  <si>
    <t>爬坡辅助服务补偿费用</t>
  </si>
  <si>
    <t>爬坡辅助服务考核费用</t>
  </si>
  <si>
    <t>爬坡辅助服务分摊费用</t>
  </si>
  <si>
    <t>00:15</t>
  </si>
  <si>
    <t>00:30</t>
  </si>
  <si>
    <t>00:45</t>
  </si>
  <si>
    <t>01:15</t>
  </si>
  <si>
    <t>01:30</t>
  </si>
  <si>
    <t>01:45</t>
  </si>
  <si>
    <t>02:15</t>
  </si>
  <si>
    <t>02:30</t>
  </si>
  <si>
    <t>02:45</t>
  </si>
  <si>
    <t>03:15</t>
  </si>
  <si>
    <t>03:30</t>
  </si>
  <si>
    <t>03:45</t>
  </si>
  <si>
    <t>04:15</t>
  </si>
  <si>
    <t>04:30</t>
  </si>
  <si>
    <t>04:45</t>
  </si>
  <si>
    <t>05:15</t>
  </si>
  <si>
    <t>05:30</t>
  </si>
  <si>
    <t>05:45</t>
  </si>
  <si>
    <t>06:15</t>
  </si>
  <si>
    <t>06:30</t>
  </si>
  <si>
    <t>06:45</t>
  </si>
  <si>
    <t>07:15</t>
  </si>
  <si>
    <t>07:30</t>
  </si>
  <si>
    <t>07:45</t>
  </si>
  <si>
    <t>08:15</t>
  </si>
  <si>
    <t>08:30</t>
  </si>
  <si>
    <t>08:45</t>
  </si>
  <si>
    <t>09:15</t>
  </si>
  <si>
    <t>09:30</t>
  </si>
  <si>
    <t>09:45</t>
  </si>
  <si>
    <t>10:15</t>
  </si>
  <si>
    <t>10:30</t>
  </si>
  <si>
    <t>10:45</t>
  </si>
  <si>
    <t>11:15</t>
  </si>
  <si>
    <t>11:30</t>
  </si>
  <si>
    <t>11:45</t>
  </si>
  <si>
    <t>12:15</t>
  </si>
  <si>
    <t>12:30</t>
  </si>
  <si>
    <t>12:45</t>
  </si>
  <si>
    <t>13:15</t>
  </si>
  <si>
    <t>13:30</t>
  </si>
  <si>
    <t>13:45</t>
  </si>
  <si>
    <t>14:15</t>
  </si>
  <si>
    <t>14:30</t>
  </si>
  <si>
    <t>14:45</t>
  </si>
  <si>
    <t>15:15</t>
  </si>
  <si>
    <t>15:30</t>
  </si>
  <si>
    <t>15:45</t>
  </si>
  <si>
    <t>16:15</t>
  </si>
  <si>
    <t>16:30</t>
  </si>
  <si>
    <t>16:45</t>
  </si>
  <si>
    <t>17:15</t>
  </si>
  <si>
    <t>17:30</t>
  </si>
  <si>
    <t>17:45</t>
  </si>
  <si>
    <t>18:15</t>
  </si>
  <si>
    <t>18:30</t>
  </si>
  <si>
    <t>18:45</t>
  </si>
  <si>
    <t>19:15</t>
  </si>
  <si>
    <t>19:30</t>
  </si>
  <si>
    <t>19:45</t>
  </si>
  <si>
    <t>20:15</t>
  </si>
  <si>
    <t>20:30</t>
  </si>
  <si>
    <t>20:45</t>
  </si>
  <si>
    <t>21:15</t>
  </si>
  <si>
    <t>21:30</t>
  </si>
  <si>
    <t>21:45</t>
  </si>
  <si>
    <t>22:15</t>
  </si>
  <si>
    <t>22:30</t>
  </si>
  <si>
    <t>22:45</t>
  </si>
  <si>
    <t>23:15</t>
  </si>
  <si>
    <t>23:30</t>
  </si>
  <si>
    <t>23:45</t>
  </si>
  <si>
    <t>3月</t>
    <phoneticPr fontId="9" type="noConversion"/>
  </si>
  <si>
    <t>清分单收益</t>
    <phoneticPr fontId="9" type="noConversion"/>
  </si>
  <si>
    <t>调频收益</t>
    <phoneticPr fontId="9" type="noConversion"/>
  </si>
  <si>
    <t>价差收益</t>
    <phoneticPr fontId="9" type="noConversion"/>
  </si>
  <si>
    <r>
      <rPr>
        <b/>
        <sz val="16"/>
        <color rgb="FF000000"/>
        <rFont val="SimSun"/>
        <charset val="134"/>
      </rPr>
      <t>2026</t>
    </r>
    <r>
      <rPr>
        <b/>
        <sz val="16"/>
        <color rgb="FF000000"/>
        <rFont val="SimSun"/>
        <charset val="134"/>
      </rPr>
      <t>年</t>
    </r>
    <r>
      <rPr>
        <b/>
        <sz val="16"/>
        <color rgb="FF000000"/>
        <rFont val="SimSun"/>
        <charset val="134"/>
      </rPr>
      <t>5</t>
    </r>
    <r>
      <rPr>
        <b/>
        <sz val="16"/>
        <color rgb="FF000000"/>
        <rFont val="SimSun"/>
        <charset val="134"/>
      </rPr>
      <t>月</t>
    </r>
    <r>
      <rPr>
        <b/>
        <sz val="16"/>
        <color rgb="FF000000"/>
        <rFont val="SimSun"/>
        <charset val="134"/>
      </rPr>
      <t>4</t>
    </r>
    <r>
      <rPr>
        <b/>
        <sz val="16"/>
        <color rgb="FF000000"/>
        <rFont val="SimSun"/>
        <charset val="134"/>
      </rPr>
      <t>日</t>
    </r>
    <r>
      <rPr>
        <b/>
        <sz val="16"/>
        <color rgb="FF000000"/>
        <rFont val="SimSun"/>
        <charset val="134"/>
      </rPr>
      <t>日清算临时结果单（发电侧）</t>
    </r>
  </si>
  <si>
    <r>
      <rPr>
        <b/>
        <sz val="14"/>
        <color rgb="FF000000"/>
        <rFont val="SimSun"/>
        <charset val="134"/>
      </rPr>
      <t>2026</t>
    </r>
    <r>
      <rPr>
        <b/>
        <sz val="14"/>
        <color rgb="FF000000"/>
        <rFont val="SimSun"/>
        <charset val="134"/>
      </rPr>
      <t>年</t>
    </r>
    <r>
      <rPr>
        <b/>
        <sz val="14"/>
        <color rgb="FF000000"/>
        <rFont val="SimSun"/>
        <charset val="134"/>
      </rPr>
      <t>5</t>
    </r>
    <r>
      <rPr>
        <b/>
        <sz val="14"/>
        <color rgb="FF000000"/>
        <rFont val="SimSun"/>
        <charset val="134"/>
      </rPr>
      <t>月</t>
    </r>
    <r>
      <rPr>
        <b/>
        <sz val="14"/>
        <color rgb="FF000000"/>
        <rFont val="SimSun"/>
        <charset val="134"/>
      </rPr>
      <t>4</t>
    </r>
    <r>
      <rPr>
        <b/>
        <sz val="14"/>
        <color rgb="FF000000"/>
        <rFont val="SimSun"/>
        <charset val="134"/>
      </rPr>
      <t>日</t>
    </r>
    <r>
      <rPr>
        <b/>
        <sz val="14"/>
        <color rgb="FF000000"/>
        <rFont val="SimSun"/>
        <charset val="134"/>
      </rPr>
      <t>日清算临时结果单（售电侧）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</si>
</sst>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#,##0.000"/>
    <numFmt numFmtId="178" formatCode="#0.000"/>
    <numFmt numFmtId="179" formatCode="0.00_);[Red]\(0.00\)"/>
  </numFmts>
  <fonts count="22">
    <font>
      <sz val="11"/>
      <color theme="1"/>
      <name val="等线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8"/>
      <color theme="1"/>
      <name val="微软雅黑"/>
      <family val="2"/>
      <charset val="134"/>
    </font>
    <font>
      <sz val="7"/>
      <color theme="1"/>
      <name val="微软雅黑"/>
      <family val="2"/>
      <charset val="134"/>
    </font>
    <font>
      <sz val="11"/>
      <color indexed="8"/>
      <name val="等线"/>
      <family val="2"/>
      <charset val="1"/>
      <scheme val="minor"/>
    </font>
    <font>
      <b/>
      <sz val="9"/>
      <name val="黑体"/>
      <family val="3"/>
      <charset val="134"/>
    </font>
    <font>
      <b/>
      <sz val="22"/>
      <name val="黑体"/>
      <family val="3"/>
      <charset val="134"/>
    </font>
    <font>
      <b/>
      <sz val="14"/>
      <color rgb="FF000000"/>
      <name val="SimSun"/>
      <charset val="134"/>
    </font>
    <font>
      <b/>
      <sz val="14"/>
      <name val="SimSun"/>
      <charset val="134"/>
    </font>
    <font>
      <b/>
      <sz val="9"/>
      <name val="SimSun"/>
      <charset val="134"/>
    </font>
    <font>
      <b/>
      <sz val="27"/>
      <name val="SimSun"/>
      <charset val="134"/>
    </font>
    <font>
      <b/>
      <sz val="16"/>
      <color rgb="FF000000"/>
      <name val="SimSun"/>
      <charset val="134"/>
    </font>
    <font>
      <sz val="9"/>
      <name val="SimSun"/>
      <charset val="134"/>
    </font>
    <font>
      <b/>
      <sz val="10"/>
      <name val="黑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FCF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C00000"/>
      </left>
      <right/>
      <top style="thick">
        <color rgb="FFC00000"/>
      </top>
      <bottom style="thick">
        <color rgb="FFC00000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 style="thick">
        <color theme="3"/>
      </bottom>
      <diagonal/>
    </border>
    <border>
      <left/>
      <right/>
      <top style="thick">
        <color theme="3"/>
      </top>
      <bottom style="thick">
        <color theme="3"/>
      </bottom>
      <diagonal/>
    </border>
    <border>
      <left/>
      <right style="thick">
        <color theme="3"/>
      </right>
      <top style="thick">
        <color theme="3"/>
      </top>
      <bottom style="thick">
        <color theme="3"/>
      </bottom>
      <diagonal/>
    </border>
    <border>
      <left/>
      <right/>
      <top style="thin">
        <color theme="0" tint="-0.34998626667073579"/>
      </top>
      <bottom/>
      <diagonal/>
    </border>
    <border>
      <left style="thick">
        <color rgb="FFC00000"/>
      </left>
      <right style="thick">
        <color rgb="FFC00000"/>
      </right>
      <top/>
      <bottom style="thick">
        <color rgb="FFC0000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 style="thick">
        <color rgb="FFC0000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n">
        <color theme="0" tint="-0.34998626667073579"/>
      </left>
      <right style="thick">
        <color rgb="FFC00000"/>
      </right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rgb="FFC00000"/>
      </left>
      <right style="thin">
        <color theme="0" tint="-0.34998626667073579"/>
      </right>
      <top style="thin">
        <color theme="0" tint="-0.34998626667073579"/>
      </top>
      <bottom style="thick">
        <color rgb="FFC0000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ck">
        <color rgb="FFC00000"/>
      </bottom>
      <diagonal/>
    </border>
    <border>
      <left style="thick">
        <color rgb="FFC00000"/>
      </left>
      <right/>
      <top/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/>
      <right style="thick">
        <color rgb="FFC00000"/>
      </right>
      <top/>
      <bottom/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/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/>
      <diagonal/>
    </border>
    <border>
      <left/>
      <right style="thick">
        <color theme="3"/>
      </right>
      <top/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 style="medium">
        <color rgb="FFE7ECF1"/>
      </right>
      <top/>
      <bottom/>
      <diagonal/>
    </border>
    <border>
      <left/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/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/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 style="medium">
        <color rgb="FFE7ECF1"/>
      </left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/>
      <bottom/>
      <diagonal/>
    </border>
    <border>
      <left style="medium">
        <color rgb="FFE7ECF1"/>
      </left>
      <right style="medium">
        <color rgb="FFEAEAEA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8" fillId="0" borderId="0" applyFont="0" applyFill="0" applyBorder="0" applyAlignment="0" applyProtection="0">
      <alignment vertical="center"/>
    </xf>
    <xf numFmtId="0" fontId="1" fillId="0" borderId="0"/>
    <xf numFmtId="0" fontId="12" fillId="0" borderId="0">
      <alignment vertical="center"/>
    </xf>
    <xf numFmtId="0" fontId="5" fillId="0" borderId="0"/>
  </cellStyleXfs>
  <cellXfs count="129">
    <xf numFmtId="0" fontId="0" fillId="0" borderId="0" xfId="0"/>
    <xf numFmtId="0" fontId="1" fillId="0" borderId="0" xfId="2" applyNumberFormat="1"/>
    <xf numFmtId="0" fontId="0" fillId="0" borderId="1" xfId="0" applyBorder="1" applyAlignment="1">
      <alignment horizontal="center" vertical="center"/>
    </xf>
    <xf numFmtId="0" fontId="1" fillId="0" borderId="0" xfId="2" applyNumberFormat="1" applyAlignment="1">
      <alignment horizontal="center" vertical="center"/>
    </xf>
    <xf numFmtId="0" fontId="1" fillId="0" borderId="12" xfId="2" applyNumberFormat="1" applyBorder="1" applyAlignment="1">
      <alignment horizontal="center" vertical="center"/>
    </xf>
    <xf numFmtId="0" fontId="1" fillId="0" borderId="13" xfId="2" applyNumberFormat="1" applyBorder="1" applyAlignment="1">
      <alignment horizontal="center" vertical="center"/>
    </xf>
    <xf numFmtId="0" fontId="1" fillId="0" borderId="20" xfId="2" applyNumberFormat="1" applyBorder="1" applyAlignment="1">
      <alignment horizontal="center" vertical="center"/>
    </xf>
    <xf numFmtId="0" fontId="1" fillId="0" borderId="21" xfId="2" applyNumberFormat="1" applyBorder="1" applyAlignment="1">
      <alignment horizontal="center" vertical="center"/>
    </xf>
    <xf numFmtId="0" fontId="1" fillId="0" borderId="22" xfId="2" applyNumberFormat="1" applyBorder="1" applyAlignment="1">
      <alignment horizontal="center" vertical="center"/>
    </xf>
    <xf numFmtId="0" fontId="1" fillId="0" borderId="12" xfId="2" applyNumberFormat="1" applyBorder="1"/>
    <xf numFmtId="0" fontId="1" fillId="0" borderId="16" xfId="2" applyNumberFormat="1" applyBorder="1"/>
    <xf numFmtId="0" fontId="1" fillId="0" borderId="20" xfId="2" applyNumberFormat="1" applyBorder="1"/>
    <xf numFmtId="0" fontId="1" fillId="0" borderId="23" xfId="2" applyNumberFormat="1" applyBorder="1"/>
    <xf numFmtId="0" fontId="1" fillId="0" borderId="21" xfId="2" applyNumberFormat="1" applyBorder="1"/>
    <xf numFmtId="9" fontId="1" fillId="0" borderId="24" xfId="2" applyNumberFormat="1" applyBorder="1"/>
    <xf numFmtId="0" fontId="1" fillId="0" borderId="25" xfId="2" applyNumberFormat="1" applyBorder="1"/>
    <xf numFmtId="0" fontId="1" fillId="0" borderId="26" xfId="2" applyNumberFormat="1" applyBorder="1"/>
    <xf numFmtId="3" fontId="1" fillId="0" borderId="27" xfId="2" applyNumberFormat="1" applyBorder="1"/>
    <xf numFmtId="0" fontId="1" fillId="0" borderId="28" xfId="2" applyNumberFormat="1" applyBorder="1"/>
    <xf numFmtId="4" fontId="1" fillId="0" borderId="0" xfId="2" applyNumberFormat="1" applyBorder="1" applyAlignment="1">
      <alignment horizontal="right"/>
    </xf>
    <xf numFmtId="4" fontId="1" fillId="0" borderId="29" xfId="2" applyNumberFormat="1" applyBorder="1"/>
    <xf numFmtId="3" fontId="1" fillId="0" borderId="0" xfId="2" applyNumberFormat="1" applyBorder="1"/>
    <xf numFmtId="3" fontId="1" fillId="0" borderId="29" xfId="2" applyNumberFormat="1" applyBorder="1"/>
    <xf numFmtId="0" fontId="1" fillId="0" borderId="30" xfId="2" applyNumberFormat="1" applyBorder="1"/>
    <xf numFmtId="176" fontId="1" fillId="0" borderId="31" xfId="2" applyNumberFormat="1" applyBorder="1" applyAlignment="1"/>
    <xf numFmtId="0" fontId="1" fillId="0" borderId="31" xfId="2" applyNumberFormat="1" applyBorder="1" applyAlignment="1"/>
    <xf numFmtId="3" fontId="1" fillId="0" borderId="32" xfId="2" applyNumberFormat="1" applyBorder="1" applyAlignment="1"/>
    <xf numFmtId="0" fontId="1" fillId="0" borderId="0" xfId="2" applyNumberFormat="1" applyFont="1"/>
    <xf numFmtId="0" fontId="1" fillId="0" borderId="0" xfId="2" applyNumberFormat="1" applyAlignment="1">
      <alignment horizontal="center"/>
    </xf>
    <xf numFmtId="0" fontId="1" fillId="0" borderId="16" xfId="2" applyNumberFormat="1" applyBorder="1" applyAlignment="1">
      <alignment horizontal="center" vertical="center"/>
    </xf>
    <xf numFmtId="0" fontId="1" fillId="0" borderId="23" xfId="2" applyNumberFormat="1" applyBorder="1" applyAlignment="1">
      <alignment horizontal="center" vertical="center"/>
    </xf>
    <xf numFmtId="0" fontId="1" fillId="0" borderId="24" xfId="2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applyFont="1"/>
    <xf numFmtId="0" fontId="3" fillId="0" borderId="0" xfId="0" applyFont="1"/>
    <xf numFmtId="0" fontId="0" fillId="4" borderId="1" xfId="0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0" xfId="0" applyFont="1"/>
    <xf numFmtId="2" fontId="0" fillId="0" borderId="1" xfId="0" applyNumberFormat="1" applyFont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" fontId="1" fillId="0" borderId="23" xfId="2" applyNumberFormat="1" applyFont="1" applyBorder="1" applyAlignment="1">
      <alignment horizontal="center" vertical="center"/>
    </xf>
    <xf numFmtId="0" fontId="5" fillId="0" borderId="0" xfId="0" applyFont="1"/>
    <xf numFmtId="2" fontId="1" fillId="0" borderId="0" xfId="2" applyNumberForma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5" fillId="0" borderId="0" xfId="0" applyFont="1" applyBorder="1"/>
    <xf numFmtId="0" fontId="5" fillId="0" borderId="2" xfId="4" applyBorder="1" applyAlignment="1"/>
    <xf numFmtId="0" fontId="5" fillId="0" borderId="3" xfId="4" applyBorder="1" applyAlignment="1"/>
    <xf numFmtId="0" fontId="5" fillId="0" borderId="4" xfId="4" applyBorder="1" applyAlignment="1"/>
    <xf numFmtId="0" fontId="5" fillId="0" borderId="0" xfId="4" applyAlignment="1"/>
    <xf numFmtId="0" fontId="5" fillId="0" borderId="0" xfId="4" applyAlignment="1">
      <alignment horizontal="center" vertical="center"/>
    </xf>
    <xf numFmtId="0" fontId="5" fillId="0" borderId="5" xfId="4" applyBorder="1" applyAlignment="1"/>
    <xf numFmtId="0" fontId="5" fillId="0" borderId="6" xfId="4" applyBorder="1" applyAlignment="1"/>
    <xf numFmtId="0" fontId="5" fillId="0" borderId="7" xfId="4" applyBorder="1" applyAlignment="1"/>
    <xf numFmtId="0" fontId="5" fillId="0" borderId="0" xfId="4" applyAlignment="1">
      <alignment horizontal="center"/>
    </xf>
    <xf numFmtId="0" fontId="5" fillId="0" borderId="1" xfId="4" applyBorder="1" applyAlignment="1">
      <alignment horizontal="center" vertical="center"/>
    </xf>
    <xf numFmtId="0" fontId="5" fillId="2" borderId="9" xfId="4" applyFont="1" applyFill="1" applyBorder="1" applyAlignment="1">
      <alignment horizontal="center" vertical="center"/>
    </xf>
    <xf numFmtId="0" fontId="5" fillId="0" borderId="14" xfId="4" applyBorder="1" applyAlignment="1">
      <alignment horizontal="center" vertical="center"/>
    </xf>
    <xf numFmtId="0" fontId="5" fillId="0" borderId="10" xfId="4" applyBorder="1" applyAlignment="1">
      <alignment horizontal="center" vertical="center"/>
    </xf>
    <xf numFmtId="0" fontId="5" fillId="0" borderId="17" xfId="4" applyBorder="1" applyAlignment="1">
      <alignment horizontal="center" vertical="center"/>
    </xf>
    <xf numFmtId="0" fontId="5" fillId="0" borderId="11" xfId="4" applyBorder="1" applyAlignment="1">
      <alignment horizontal="center" vertical="center"/>
    </xf>
    <xf numFmtId="0" fontId="5" fillId="0" borderId="15" xfId="4" applyBorder="1" applyAlignment="1">
      <alignment horizontal="center" vertical="center"/>
    </xf>
    <xf numFmtId="0" fontId="5" fillId="0" borderId="18" xfId="4" applyBorder="1" applyAlignment="1">
      <alignment horizontal="center" vertical="center"/>
    </xf>
    <xf numFmtId="0" fontId="5" fillId="0" borderId="19" xfId="4" applyBorder="1" applyAlignment="1">
      <alignment horizontal="center" vertical="center"/>
    </xf>
    <xf numFmtId="0" fontId="0" fillId="0" borderId="0" xfId="0" applyAlignment="1">
      <alignment vertical="center"/>
    </xf>
    <xf numFmtId="0" fontId="13" fillId="8" borderId="0" xfId="0" applyFont="1" applyFill="1" applyBorder="1" applyAlignment="1">
      <alignment vertical="center" wrapText="1"/>
    </xf>
    <xf numFmtId="0" fontId="20" fillId="8" borderId="0" xfId="0" applyFont="1" applyFill="1" applyBorder="1" applyAlignment="1">
      <alignment vertical="center" wrapText="1"/>
    </xf>
    <xf numFmtId="0" fontId="17" fillId="8" borderId="0" xfId="0" applyFont="1" applyFill="1" applyBorder="1" applyAlignment="1">
      <alignment horizontal="right" vertical="center" wrapText="1"/>
    </xf>
    <xf numFmtId="0" fontId="17" fillId="0" borderId="0" xfId="0" applyFont="1" applyBorder="1" applyAlignment="1">
      <alignment horizontal="right" vertical="center" wrapText="1"/>
    </xf>
    <xf numFmtId="177" fontId="21" fillId="11" borderId="43" xfId="0" applyNumberFormat="1" applyFont="1" applyFill="1" applyBorder="1" applyAlignment="1">
      <alignment horizontal="center" vertical="center" wrapText="1"/>
    </xf>
    <xf numFmtId="0" fontId="13" fillId="8" borderId="43" xfId="0" applyFont="1" applyFill="1" applyBorder="1" applyAlignment="1">
      <alignment horizontal="center" vertical="center" wrapText="1"/>
    </xf>
    <xf numFmtId="177" fontId="13" fillId="8" borderId="43" xfId="0" applyNumberFormat="1" applyFont="1" applyFill="1" applyBorder="1" applyAlignment="1">
      <alignment horizontal="center" vertical="center" wrapText="1"/>
    </xf>
    <xf numFmtId="4" fontId="13" fillId="8" borderId="43" xfId="0" applyNumberFormat="1" applyFont="1" applyFill="1" applyBorder="1" applyAlignment="1">
      <alignment horizontal="center" vertical="center" wrapText="1"/>
    </xf>
    <xf numFmtId="177" fontId="20" fillId="0" borderId="43" xfId="0" applyNumberFormat="1" applyFont="1" applyBorder="1" applyAlignment="1">
      <alignment vertical="center" wrapText="1"/>
    </xf>
    <xf numFmtId="4" fontId="20" fillId="0" borderId="43" xfId="0" applyNumberFormat="1" applyFont="1" applyBorder="1" applyAlignment="1">
      <alignment vertical="center" wrapText="1"/>
    </xf>
    <xf numFmtId="0" fontId="13" fillId="10" borderId="43" xfId="0" applyFont="1" applyFill="1" applyBorder="1" applyAlignment="1">
      <alignment horizontal="center" vertical="center" wrapText="1"/>
    </xf>
    <xf numFmtId="177" fontId="13" fillId="10" borderId="43" xfId="0" applyNumberFormat="1" applyFont="1" applyFill="1" applyBorder="1" applyAlignment="1">
      <alignment horizontal="center" vertical="center" wrapText="1"/>
    </xf>
    <xf numFmtId="4" fontId="13" fillId="10" borderId="43" xfId="0" applyNumberFormat="1" applyFont="1" applyFill="1" applyBorder="1" applyAlignment="1">
      <alignment horizontal="center" vertical="center" wrapText="1"/>
    </xf>
    <xf numFmtId="177" fontId="20" fillId="10" borderId="43" xfId="0" applyNumberFormat="1" applyFont="1" applyFill="1" applyBorder="1" applyAlignment="1">
      <alignment vertical="center" wrapText="1"/>
    </xf>
    <xf numFmtId="4" fontId="20" fillId="10" borderId="43" xfId="0" applyNumberFormat="1" applyFont="1" applyFill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1" fillId="0" borderId="0" xfId="0" applyNumberFormat="1" applyFont="1" applyFill="1" applyAlignment="1"/>
    <xf numFmtId="0" fontId="0" fillId="0" borderId="0" xfId="0" applyNumberFormat="1"/>
    <xf numFmtId="0" fontId="10" fillId="6" borderId="39" xfId="0" applyFont="1" applyFill="1" applyBorder="1" applyAlignment="1">
      <alignment horizontal="center" vertical="center" wrapText="1"/>
    </xf>
    <xf numFmtId="0" fontId="10" fillId="6" borderId="40" xfId="0" applyFont="1" applyFill="1" applyBorder="1" applyAlignment="1">
      <alignment horizontal="center" vertical="center" wrapText="1"/>
    </xf>
    <xf numFmtId="0" fontId="10" fillId="6" borderId="34" xfId="0" applyFont="1" applyFill="1" applyBorder="1" applyAlignment="1">
      <alignment horizontal="center" vertical="center" wrapText="1"/>
    </xf>
    <xf numFmtId="0" fontId="11" fillId="6" borderId="42" xfId="0" applyFont="1" applyFill="1" applyBorder="1" applyAlignment="1">
      <alignment horizontal="center" vertical="center" wrapText="1"/>
    </xf>
    <xf numFmtId="0" fontId="11" fillId="6" borderId="41" xfId="0" applyFont="1" applyFill="1" applyBorder="1" applyAlignment="1">
      <alignment horizontal="center" vertical="center" wrapText="1"/>
    </xf>
    <xf numFmtId="0" fontId="11" fillId="6" borderId="33" xfId="0" applyFont="1" applyFill="1" applyBorder="1" applyAlignment="1">
      <alignment horizontal="center" vertical="center" wrapText="1"/>
    </xf>
    <xf numFmtId="0" fontId="11" fillId="7" borderId="35" xfId="0" applyFont="1" applyFill="1" applyBorder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11" fillId="6" borderId="36" xfId="0" applyFont="1" applyFill="1" applyBorder="1" applyAlignment="1">
      <alignment horizontal="center" vertical="center" wrapText="1"/>
    </xf>
    <xf numFmtId="0" fontId="11" fillId="6" borderId="34" xfId="0" applyFont="1" applyFill="1" applyBorder="1" applyAlignment="1">
      <alignment horizontal="center" vertical="center" wrapText="1"/>
    </xf>
    <xf numFmtId="0" fontId="11" fillId="7" borderId="36" xfId="0" applyFont="1" applyFill="1" applyBorder="1" applyAlignment="1">
      <alignment horizontal="center" vertical="center" wrapText="1"/>
    </xf>
    <xf numFmtId="0" fontId="11" fillId="7" borderId="34" xfId="0" applyFont="1" applyFill="1" applyBorder="1" applyAlignment="1">
      <alignment horizontal="center" vertical="center" wrapText="1"/>
    </xf>
    <xf numFmtId="0" fontId="11" fillId="6" borderId="37" xfId="0" applyFont="1" applyFill="1" applyBorder="1" applyAlignment="1">
      <alignment horizontal="center" vertical="center" wrapText="1"/>
    </xf>
    <xf numFmtId="0" fontId="11" fillId="6" borderId="38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4" fontId="0" fillId="0" borderId="0" xfId="0" applyNumberFormat="1"/>
    <xf numFmtId="176" fontId="0" fillId="0" borderId="0" xfId="0" applyNumberFormat="1"/>
    <xf numFmtId="0" fontId="5" fillId="0" borderId="0" xfId="0" applyFont="1" applyFill="1" applyBorder="1"/>
    <xf numFmtId="177" fontId="13" fillId="9" borderId="43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vertical="center" wrapText="1"/>
    </xf>
    <xf numFmtId="0" fontId="21" fillId="11" borderId="4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13" fillId="0" borderId="43" xfId="0" applyNumberFormat="1" applyFont="1" applyBorder="1" applyAlignment="1">
      <alignment horizontal="center" vertical="center" wrapText="1"/>
    </xf>
    <xf numFmtId="178" fontId="13" fillId="10" borderId="43" xfId="0" applyNumberFormat="1" applyFont="1" applyFill="1" applyBorder="1" applyAlignment="1">
      <alignment horizontal="center" vertical="center" wrapText="1"/>
    </xf>
    <xf numFmtId="177" fontId="13" fillId="9" borderId="43" xfId="0" applyNumberFormat="1" applyFont="1" applyFill="1" applyBorder="1" applyAlignment="1">
      <alignment horizontal="center" vertical="center" wrapText="1"/>
    </xf>
    <xf numFmtId="0" fontId="13" fillId="9" borderId="43" xfId="0" applyFont="1" applyFill="1" applyBorder="1" applyAlignment="1">
      <alignment horizontal="center" vertical="center" wrapText="1"/>
    </xf>
    <xf numFmtId="49" fontId="14" fillId="0" borderId="0" xfId="0" applyNumberFormat="1" applyFont="1" applyBorder="1" applyAlignment="1">
      <alignment vertical="center" wrapText="1"/>
    </xf>
    <xf numFmtId="0" fontId="16" fillId="8" borderId="0" xfId="0" applyFont="1" applyFill="1" applyBorder="1" applyAlignment="1">
      <alignment horizontal="left" vertical="center" wrapText="1"/>
    </xf>
    <xf numFmtId="0" fontId="20" fillId="0" borderId="0" xfId="0" applyFont="1" applyBorder="1" applyAlignment="1">
      <alignment vertical="center" wrapText="1"/>
    </xf>
    <xf numFmtId="0" fontId="18" fillId="0" borderId="0" xfId="0" applyFont="1" applyBorder="1" applyAlignment="1">
      <alignment horizontal="center" vertical="center" wrapText="1"/>
    </xf>
    <xf numFmtId="0" fontId="21" fillId="11" borderId="43" xfId="0" applyFont="1" applyFill="1" applyBorder="1" applyAlignment="1">
      <alignment horizontal="center" vertical="center" wrapText="1"/>
    </xf>
    <xf numFmtId="0" fontId="5" fillId="0" borderId="12" xfId="4" applyFont="1" applyBorder="1" applyAlignment="1">
      <alignment horizontal="center" vertical="center"/>
    </xf>
    <xf numFmtId="0" fontId="5" fillId="0" borderId="13" xfId="4" applyBorder="1" applyAlignment="1">
      <alignment horizontal="center" vertical="center"/>
    </xf>
    <xf numFmtId="0" fontId="5" fillId="0" borderId="16" xfId="4" applyBorder="1" applyAlignment="1">
      <alignment horizontal="center" vertical="center"/>
    </xf>
    <xf numFmtId="0" fontId="5" fillId="0" borderId="10" xfId="4" applyBorder="1" applyAlignment="1">
      <alignment horizontal="center" vertical="center"/>
    </xf>
    <xf numFmtId="0" fontId="5" fillId="0" borderId="8" xfId="4" applyBorder="1" applyAlignment="1">
      <alignment horizontal="center" vertical="center"/>
    </xf>
    <xf numFmtId="0" fontId="5" fillId="0" borderId="0" xfId="4" applyAlignment="1">
      <alignment horizontal="center" vertical="center"/>
    </xf>
  </cellXfs>
  <cellStyles count="5">
    <cellStyle name="百分比" xfId="1" builtinId="5"/>
    <cellStyle name="常规" xfId="0" builtinId="0"/>
    <cellStyle name="常规 2" xfId="2" xr:uid="{00000000-0005-0000-0000-000031000000}"/>
    <cellStyle name="常规 3" xfId="3" xr:uid="{600DA741-C9EE-47DE-B295-7978A6E2B6EC}"/>
    <cellStyle name="常规 4" xfId="4" xr:uid="{187609C8-0637-4122-8755-8CCC692568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充电日清算费用!$Z$5:$Z$28</c:f>
              <c:numCache>
                <c:formatCode>#,##0.000</c:formatCode>
                <c:ptCount val="24"/>
                <c:pt idx="0">
                  <c:v>0.26400000000000001</c:v>
                </c:pt>
                <c:pt idx="1">
                  <c:v>0.26400000000000001</c:v>
                </c:pt>
                <c:pt idx="2">
                  <c:v>0.26400000000000001</c:v>
                </c:pt>
                <c:pt idx="3">
                  <c:v>0.26400000000000001</c:v>
                </c:pt>
                <c:pt idx="4">
                  <c:v>0.26400000000000001</c:v>
                </c:pt>
                <c:pt idx="5">
                  <c:v>0.52800000000000002</c:v>
                </c:pt>
                <c:pt idx="6">
                  <c:v>0.26400000000000001</c:v>
                </c:pt>
                <c:pt idx="7">
                  <c:v>0.35199999999999998</c:v>
                </c:pt>
                <c:pt idx="8">
                  <c:v>0.26400000000000001</c:v>
                </c:pt>
                <c:pt idx="9">
                  <c:v>0.26400000000000001</c:v>
                </c:pt>
                <c:pt idx="10">
                  <c:v>0.35199999999999998</c:v>
                </c:pt>
                <c:pt idx="11">
                  <c:v>5.726</c:v>
                </c:pt>
                <c:pt idx="12">
                  <c:v>63.417999999999999</c:v>
                </c:pt>
                <c:pt idx="13">
                  <c:v>97.504000000000005</c:v>
                </c:pt>
                <c:pt idx="14">
                  <c:v>13.565</c:v>
                </c:pt>
                <c:pt idx="15">
                  <c:v>5.2850000000000001</c:v>
                </c:pt>
                <c:pt idx="16">
                  <c:v>0.52900000000000003</c:v>
                </c:pt>
                <c:pt idx="17">
                  <c:v>0.35299999999999998</c:v>
                </c:pt>
                <c:pt idx="18">
                  <c:v>0.26400000000000001</c:v>
                </c:pt>
                <c:pt idx="19">
                  <c:v>0</c:v>
                </c:pt>
                <c:pt idx="20">
                  <c:v>0.17599999999999999</c:v>
                </c:pt>
                <c:pt idx="21">
                  <c:v>0.52800000000000002</c:v>
                </c:pt>
                <c:pt idx="22">
                  <c:v>0.26400000000000001</c:v>
                </c:pt>
                <c:pt idx="23">
                  <c:v>0.26400000000000001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BD-45A8-8F3E-5943E3EB0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335423"/>
        <c:axId val="218762543"/>
      </c:lineChart>
      <c:catAx>
        <c:axId val="187833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8762543"/>
        <c:crosses val="autoZero"/>
        <c:auto val="1"/>
        <c:lblAlgn val="ctr"/>
        <c:lblOffset val="100"/>
        <c:noMultiLvlLbl val="0"/>
      </c:catAx>
      <c:valAx>
        <c:axId val="21876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7833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放电日清算费用!$AJ$5:$AJ$100</c:f>
              <c:numCache>
                <c:formatCode>#,##0.000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10.638</c:v>
                </c:pt>
                <c:pt idx="76">
                  <c:v>22.951000000000001</c:v>
                </c:pt>
                <c:pt idx="77">
                  <c:v>22.859000000000002</c:v>
                </c:pt>
                <c:pt idx="78">
                  <c:v>22.859000000000002</c:v>
                </c:pt>
                <c:pt idx="79">
                  <c:v>22.859000000000002</c:v>
                </c:pt>
                <c:pt idx="80">
                  <c:v>22.859000000000002</c:v>
                </c:pt>
                <c:pt idx="81">
                  <c:v>22.859000000000002</c:v>
                </c:pt>
                <c:pt idx="82">
                  <c:v>11.693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1.758</c:v>
                </c:pt>
                <c:pt idx="90">
                  <c:v>1.9339999999999999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5-4D83-A79E-B77848BA6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671487"/>
        <c:axId val="220177039"/>
      </c:lineChart>
      <c:catAx>
        <c:axId val="6467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177039"/>
        <c:crosses val="autoZero"/>
        <c:auto val="1"/>
        <c:lblAlgn val="ctr"/>
        <c:lblOffset val="100"/>
        <c:noMultiLvlLbl val="0"/>
      </c:catAx>
      <c:valAx>
        <c:axId val="2201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71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-95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-12.6</c:v>
                </c:pt>
                <c:pt idx="53">
                  <c:v>-12.6</c:v>
                </c:pt>
                <c:pt idx="54">
                  <c:v>-12.6</c:v>
                </c:pt>
                <c:pt idx="55">
                  <c:v>-12.6</c:v>
                </c:pt>
                <c:pt idx="56">
                  <c:v>-12.6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12.33</c:v>
                </c:pt>
                <c:pt idx="79">
                  <c:v>75.47</c:v>
                </c:pt>
                <c:pt idx="80">
                  <c:v>75.47</c:v>
                </c:pt>
                <c:pt idx="81">
                  <c:v>75.47</c:v>
                </c:pt>
                <c:pt idx="82">
                  <c:v>75.47</c:v>
                </c:pt>
                <c:pt idx="83">
                  <c:v>75.47</c:v>
                </c:pt>
                <c:pt idx="84">
                  <c:v>75.47</c:v>
                </c:pt>
                <c:pt idx="85">
                  <c:v>75.47</c:v>
                </c:pt>
                <c:pt idx="86">
                  <c:v>75.47</c:v>
                </c:pt>
                <c:pt idx="87">
                  <c:v>75.47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D-4752-B8D3-8BEE7C4D0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报价及预中标!$J$2:$J$97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B-43E4-8B01-E5823337FD8D}"/>
            </c:ext>
          </c:extLst>
        </c:ser>
        <c:ser>
          <c:idx val="1"/>
          <c:order val="1"/>
          <c:tx>
            <c:strRef>
              <c:f>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报价及预中标!$K$2:$K$97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B-43E4-8B01-E5823337F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[2]报价及预中标!$N$2:$N$97</c:f>
              <c:numCache>
                <c:formatCode>General</c:formatCode>
                <c:ptCount val="96"/>
                <c:pt idx="0">
                  <c:v>-0.01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-27.5</c:v>
                </c:pt>
                <c:pt idx="46">
                  <c:v>-27.5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38.119999999999997</c:v>
                </c:pt>
                <c:pt idx="69">
                  <c:v>38.119999999999997</c:v>
                </c:pt>
                <c:pt idx="70">
                  <c:v>38.119999999999997</c:v>
                </c:pt>
                <c:pt idx="71">
                  <c:v>38.119999999999997</c:v>
                </c:pt>
                <c:pt idx="72">
                  <c:v>38.119999999999997</c:v>
                </c:pt>
                <c:pt idx="73">
                  <c:v>38.119999999999997</c:v>
                </c:pt>
                <c:pt idx="74">
                  <c:v>38.119999999999997</c:v>
                </c:pt>
                <c:pt idx="75">
                  <c:v>38.119999999999997</c:v>
                </c:pt>
                <c:pt idx="76">
                  <c:v>38.119999999999997</c:v>
                </c:pt>
                <c:pt idx="77">
                  <c:v>38.119999999999997</c:v>
                </c:pt>
                <c:pt idx="78">
                  <c:v>38.119999999999997</c:v>
                </c:pt>
                <c:pt idx="79">
                  <c:v>38.119999999999997</c:v>
                </c:pt>
                <c:pt idx="80">
                  <c:v>38.119999999999997</c:v>
                </c:pt>
                <c:pt idx="81">
                  <c:v>38.119999999999997</c:v>
                </c:pt>
                <c:pt idx="82">
                  <c:v>38.119999999999997</c:v>
                </c:pt>
                <c:pt idx="83">
                  <c:v>38.119999999999997</c:v>
                </c:pt>
                <c:pt idx="84">
                  <c:v>38.119999999999997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4-4496-A8EB-356162452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[2]报价及预中标!$J$2:$J$97</c:f>
              <c:numCache>
                <c:formatCode>General</c:formatCode>
                <c:ptCount val="96"/>
                <c:pt idx="0">
                  <c:v>65.63</c:v>
                </c:pt>
                <c:pt idx="1">
                  <c:v>65.63</c:v>
                </c:pt>
                <c:pt idx="2">
                  <c:v>65.61</c:v>
                </c:pt>
                <c:pt idx="3">
                  <c:v>65.61</c:v>
                </c:pt>
                <c:pt idx="4">
                  <c:v>65.61</c:v>
                </c:pt>
                <c:pt idx="5">
                  <c:v>65.61</c:v>
                </c:pt>
                <c:pt idx="6">
                  <c:v>65.61</c:v>
                </c:pt>
                <c:pt idx="7">
                  <c:v>32.299999999999997</c:v>
                </c:pt>
                <c:pt idx="8">
                  <c:v>98.92</c:v>
                </c:pt>
                <c:pt idx="9">
                  <c:v>99.53</c:v>
                </c:pt>
                <c:pt idx="10">
                  <c:v>65.62</c:v>
                </c:pt>
                <c:pt idx="11">
                  <c:v>65.63</c:v>
                </c:pt>
                <c:pt idx="12">
                  <c:v>65.63</c:v>
                </c:pt>
                <c:pt idx="13">
                  <c:v>65.61</c:v>
                </c:pt>
                <c:pt idx="14">
                  <c:v>65.61</c:v>
                </c:pt>
                <c:pt idx="15">
                  <c:v>65.61</c:v>
                </c:pt>
                <c:pt idx="16">
                  <c:v>65.61</c:v>
                </c:pt>
                <c:pt idx="17">
                  <c:v>65.61</c:v>
                </c:pt>
                <c:pt idx="18">
                  <c:v>65.64</c:v>
                </c:pt>
                <c:pt idx="19">
                  <c:v>76.8</c:v>
                </c:pt>
                <c:pt idx="20">
                  <c:v>148.86000000000001</c:v>
                </c:pt>
                <c:pt idx="21">
                  <c:v>65.63</c:v>
                </c:pt>
                <c:pt idx="22">
                  <c:v>65.63</c:v>
                </c:pt>
                <c:pt idx="23">
                  <c:v>65.61</c:v>
                </c:pt>
                <c:pt idx="24">
                  <c:v>65.61</c:v>
                </c:pt>
                <c:pt idx="25">
                  <c:v>65.61</c:v>
                </c:pt>
                <c:pt idx="26">
                  <c:v>116.05</c:v>
                </c:pt>
                <c:pt idx="27">
                  <c:v>240.39</c:v>
                </c:pt>
                <c:pt idx="28">
                  <c:v>177.86</c:v>
                </c:pt>
                <c:pt idx="29">
                  <c:v>264.25</c:v>
                </c:pt>
                <c:pt idx="30">
                  <c:v>263.98</c:v>
                </c:pt>
                <c:pt idx="31">
                  <c:v>252.32</c:v>
                </c:pt>
                <c:pt idx="32">
                  <c:v>257.99</c:v>
                </c:pt>
                <c:pt idx="33">
                  <c:v>257.27999999999997</c:v>
                </c:pt>
                <c:pt idx="34">
                  <c:v>199.05</c:v>
                </c:pt>
                <c:pt idx="35">
                  <c:v>80</c:v>
                </c:pt>
                <c:pt idx="36">
                  <c:v>247.99</c:v>
                </c:pt>
                <c:pt idx="37">
                  <c:v>24</c:v>
                </c:pt>
                <c:pt idx="38">
                  <c:v>-66</c:v>
                </c:pt>
                <c:pt idx="39">
                  <c:v>-100</c:v>
                </c:pt>
                <c:pt idx="40">
                  <c:v>-100</c:v>
                </c:pt>
                <c:pt idx="41">
                  <c:v>-100</c:v>
                </c:pt>
                <c:pt idx="42">
                  <c:v>-100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-80</c:v>
                </c:pt>
                <c:pt idx="56">
                  <c:v>-100</c:v>
                </c:pt>
                <c:pt idx="57">
                  <c:v>-100</c:v>
                </c:pt>
                <c:pt idx="58">
                  <c:v>-30</c:v>
                </c:pt>
                <c:pt idx="59">
                  <c:v>99.2</c:v>
                </c:pt>
                <c:pt idx="60">
                  <c:v>264.39999999999998</c:v>
                </c:pt>
                <c:pt idx="61">
                  <c:v>380</c:v>
                </c:pt>
                <c:pt idx="62">
                  <c:v>453.69</c:v>
                </c:pt>
                <c:pt idx="63">
                  <c:v>480</c:v>
                </c:pt>
                <c:pt idx="64">
                  <c:v>491</c:v>
                </c:pt>
                <c:pt idx="65">
                  <c:v>502.5</c:v>
                </c:pt>
                <c:pt idx="66">
                  <c:v>507.19</c:v>
                </c:pt>
                <c:pt idx="67">
                  <c:v>500.56</c:v>
                </c:pt>
                <c:pt idx="68">
                  <c:v>496.25</c:v>
                </c:pt>
                <c:pt idx="69">
                  <c:v>496.25</c:v>
                </c:pt>
                <c:pt idx="70">
                  <c:v>496.25</c:v>
                </c:pt>
                <c:pt idx="71">
                  <c:v>496.25</c:v>
                </c:pt>
                <c:pt idx="72">
                  <c:v>496.25</c:v>
                </c:pt>
                <c:pt idx="73">
                  <c:v>496.25</c:v>
                </c:pt>
                <c:pt idx="74">
                  <c:v>496.25</c:v>
                </c:pt>
                <c:pt idx="75">
                  <c:v>496.25</c:v>
                </c:pt>
                <c:pt idx="76">
                  <c:v>496.25</c:v>
                </c:pt>
                <c:pt idx="77">
                  <c:v>496.25</c:v>
                </c:pt>
                <c:pt idx="78">
                  <c:v>496.25</c:v>
                </c:pt>
                <c:pt idx="79">
                  <c:v>496.25</c:v>
                </c:pt>
                <c:pt idx="80">
                  <c:v>496.25</c:v>
                </c:pt>
                <c:pt idx="81">
                  <c:v>496.25</c:v>
                </c:pt>
                <c:pt idx="82">
                  <c:v>496.25</c:v>
                </c:pt>
                <c:pt idx="83">
                  <c:v>496.25</c:v>
                </c:pt>
                <c:pt idx="84">
                  <c:v>496.25</c:v>
                </c:pt>
                <c:pt idx="85">
                  <c:v>496.25</c:v>
                </c:pt>
                <c:pt idx="86">
                  <c:v>496.25</c:v>
                </c:pt>
                <c:pt idx="87">
                  <c:v>496.25</c:v>
                </c:pt>
                <c:pt idx="88">
                  <c:v>496.25</c:v>
                </c:pt>
                <c:pt idx="89">
                  <c:v>496.25</c:v>
                </c:pt>
                <c:pt idx="90">
                  <c:v>496.25</c:v>
                </c:pt>
                <c:pt idx="91">
                  <c:v>494.89</c:v>
                </c:pt>
                <c:pt idx="92">
                  <c:v>496.25</c:v>
                </c:pt>
                <c:pt idx="93">
                  <c:v>487.5</c:v>
                </c:pt>
                <c:pt idx="94">
                  <c:v>477</c:v>
                </c:pt>
                <c:pt idx="95">
                  <c:v>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F-40D2-8008-1E56FCA736E0}"/>
            </c:ext>
          </c:extLst>
        </c:ser>
        <c:ser>
          <c:idx val="1"/>
          <c:order val="1"/>
          <c:tx>
            <c:strRef>
              <c:f>[2]报价及预中标!$K$1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[2]报价及预中标!$K$2:$K$97</c:f>
              <c:numCache>
                <c:formatCode>General</c:formatCode>
                <c:ptCount val="96"/>
                <c:pt idx="0">
                  <c:v>65.63</c:v>
                </c:pt>
                <c:pt idx="1">
                  <c:v>65.63</c:v>
                </c:pt>
                <c:pt idx="2">
                  <c:v>65.61</c:v>
                </c:pt>
                <c:pt idx="3">
                  <c:v>65.61</c:v>
                </c:pt>
                <c:pt idx="4">
                  <c:v>65.61</c:v>
                </c:pt>
                <c:pt idx="5">
                  <c:v>65.61</c:v>
                </c:pt>
                <c:pt idx="6">
                  <c:v>65.61</c:v>
                </c:pt>
                <c:pt idx="7">
                  <c:v>32.299999999999997</c:v>
                </c:pt>
                <c:pt idx="8">
                  <c:v>98.92</c:v>
                </c:pt>
                <c:pt idx="9">
                  <c:v>99.53</c:v>
                </c:pt>
                <c:pt idx="10">
                  <c:v>65.62</c:v>
                </c:pt>
                <c:pt idx="11">
                  <c:v>65.63</c:v>
                </c:pt>
                <c:pt idx="12">
                  <c:v>65.63</c:v>
                </c:pt>
                <c:pt idx="13">
                  <c:v>65.61</c:v>
                </c:pt>
                <c:pt idx="14">
                  <c:v>65.61</c:v>
                </c:pt>
                <c:pt idx="15">
                  <c:v>65.61</c:v>
                </c:pt>
                <c:pt idx="16">
                  <c:v>65.61</c:v>
                </c:pt>
                <c:pt idx="17">
                  <c:v>65.61</c:v>
                </c:pt>
                <c:pt idx="18">
                  <c:v>65.64</c:v>
                </c:pt>
                <c:pt idx="19">
                  <c:v>76.8</c:v>
                </c:pt>
                <c:pt idx="20">
                  <c:v>148.86000000000001</c:v>
                </c:pt>
                <c:pt idx="21">
                  <c:v>65.63</c:v>
                </c:pt>
                <c:pt idx="22">
                  <c:v>65.63</c:v>
                </c:pt>
                <c:pt idx="23">
                  <c:v>65.61</c:v>
                </c:pt>
                <c:pt idx="24">
                  <c:v>65.61</c:v>
                </c:pt>
                <c:pt idx="25">
                  <c:v>65.61</c:v>
                </c:pt>
                <c:pt idx="26">
                  <c:v>116.05</c:v>
                </c:pt>
                <c:pt idx="27">
                  <c:v>240.39</c:v>
                </c:pt>
                <c:pt idx="28">
                  <c:v>177.86</c:v>
                </c:pt>
                <c:pt idx="29">
                  <c:v>264.25</c:v>
                </c:pt>
                <c:pt idx="30">
                  <c:v>263.98</c:v>
                </c:pt>
                <c:pt idx="31">
                  <c:v>252.32</c:v>
                </c:pt>
                <c:pt idx="32">
                  <c:v>257.99</c:v>
                </c:pt>
                <c:pt idx="33">
                  <c:v>257.27999999999997</c:v>
                </c:pt>
                <c:pt idx="34">
                  <c:v>199.05</c:v>
                </c:pt>
                <c:pt idx="35">
                  <c:v>80</c:v>
                </c:pt>
                <c:pt idx="36">
                  <c:v>247.99</c:v>
                </c:pt>
                <c:pt idx="37">
                  <c:v>24</c:v>
                </c:pt>
                <c:pt idx="38">
                  <c:v>-66</c:v>
                </c:pt>
                <c:pt idx="39">
                  <c:v>-100</c:v>
                </c:pt>
                <c:pt idx="40">
                  <c:v>-100</c:v>
                </c:pt>
                <c:pt idx="41">
                  <c:v>-100</c:v>
                </c:pt>
                <c:pt idx="42">
                  <c:v>-100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-80</c:v>
                </c:pt>
                <c:pt idx="56">
                  <c:v>-100</c:v>
                </c:pt>
                <c:pt idx="57">
                  <c:v>-100</c:v>
                </c:pt>
                <c:pt idx="58">
                  <c:v>-30</c:v>
                </c:pt>
                <c:pt idx="59">
                  <c:v>99.2</c:v>
                </c:pt>
                <c:pt idx="60">
                  <c:v>264.39999999999998</c:v>
                </c:pt>
                <c:pt idx="61">
                  <c:v>380</c:v>
                </c:pt>
                <c:pt idx="62">
                  <c:v>453.69</c:v>
                </c:pt>
                <c:pt idx="63">
                  <c:v>480</c:v>
                </c:pt>
                <c:pt idx="64">
                  <c:v>491</c:v>
                </c:pt>
                <c:pt idx="65">
                  <c:v>502.5</c:v>
                </c:pt>
                <c:pt idx="66">
                  <c:v>507.19</c:v>
                </c:pt>
                <c:pt idx="67">
                  <c:v>500.56</c:v>
                </c:pt>
                <c:pt idx="68">
                  <c:v>496.25</c:v>
                </c:pt>
                <c:pt idx="69">
                  <c:v>496.25</c:v>
                </c:pt>
                <c:pt idx="70">
                  <c:v>496.25</c:v>
                </c:pt>
                <c:pt idx="71">
                  <c:v>496.25</c:v>
                </c:pt>
                <c:pt idx="72">
                  <c:v>496.25</c:v>
                </c:pt>
                <c:pt idx="73">
                  <c:v>496.25</c:v>
                </c:pt>
                <c:pt idx="74">
                  <c:v>496.25</c:v>
                </c:pt>
                <c:pt idx="75">
                  <c:v>496.25</c:v>
                </c:pt>
                <c:pt idx="76">
                  <c:v>496.25</c:v>
                </c:pt>
                <c:pt idx="77">
                  <c:v>496.25</c:v>
                </c:pt>
                <c:pt idx="78">
                  <c:v>496.25</c:v>
                </c:pt>
                <c:pt idx="79">
                  <c:v>496.25</c:v>
                </c:pt>
                <c:pt idx="80">
                  <c:v>496.25</c:v>
                </c:pt>
                <c:pt idx="81">
                  <c:v>496.25</c:v>
                </c:pt>
                <c:pt idx="82">
                  <c:v>496.25</c:v>
                </c:pt>
                <c:pt idx="83">
                  <c:v>496.25</c:v>
                </c:pt>
                <c:pt idx="84">
                  <c:v>496.25</c:v>
                </c:pt>
                <c:pt idx="85">
                  <c:v>496.25</c:v>
                </c:pt>
                <c:pt idx="86">
                  <c:v>496.25</c:v>
                </c:pt>
                <c:pt idx="87">
                  <c:v>496.25</c:v>
                </c:pt>
                <c:pt idx="88">
                  <c:v>496.25</c:v>
                </c:pt>
                <c:pt idx="89">
                  <c:v>496.25</c:v>
                </c:pt>
                <c:pt idx="90">
                  <c:v>496.25</c:v>
                </c:pt>
                <c:pt idx="91">
                  <c:v>494.89</c:v>
                </c:pt>
                <c:pt idx="92">
                  <c:v>496.25</c:v>
                </c:pt>
                <c:pt idx="93">
                  <c:v>487.5</c:v>
                </c:pt>
                <c:pt idx="94">
                  <c:v>477</c:v>
                </c:pt>
                <c:pt idx="95">
                  <c:v>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9F-40D2-8008-1E56FCA73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18.010000000000002</c:v>
                </c:pt>
                <c:pt idx="32">
                  <c:v>18.010000000000002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-95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-13.33</c:v>
                </c:pt>
                <c:pt idx="54">
                  <c:v>-13.33</c:v>
                </c:pt>
                <c:pt idx="55">
                  <c:v>-13.33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95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11.09</c:v>
                </c:pt>
                <c:pt idx="72">
                  <c:v>11.09</c:v>
                </c:pt>
                <c:pt idx="73">
                  <c:v>11.09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95</c:v>
                </c:pt>
                <c:pt idx="85">
                  <c:v>58.36</c:v>
                </c:pt>
                <c:pt idx="86">
                  <c:v>58.36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-40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4-4196-864B-13E51B619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[3]报价及预中标!$J$1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[3]报价及预中标!$J$2:$J$97</c:f>
              <c:numCache>
                <c:formatCode>General</c:formatCode>
                <c:ptCount val="96"/>
                <c:pt idx="0">
                  <c:v>450</c:v>
                </c:pt>
                <c:pt idx="1">
                  <c:v>443.75</c:v>
                </c:pt>
                <c:pt idx="2">
                  <c:v>440</c:v>
                </c:pt>
                <c:pt idx="3">
                  <c:v>435</c:v>
                </c:pt>
                <c:pt idx="4">
                  <c:v>435</c:v>
                </c:pt>
                <c:pt idx="5">
                  <c:v>431</c:v>
                </c:pt>
                <c:pt idx="6">
                  <c:v>428</c:v>
                </c:pt>
                <c:pt idx="7">
                  <c:v>424</c:v>
                </c:pt>
                <c:pt idx="8">
                  <c:v>451</c:v>
                </c:pt>
                <c:pt idx="9">
                  <c:v>451</c:v>
                </c:pt>
                <c:pt idx="10">
                  <c:v>445</c:v>
                </c:pt>
                <c:pt idx="11">
                  <c:v>436.67</c:v>
                </c:pt>
                <c:pt idx="12">
                  <c:v>435</c:v>
                </c:pt>
                <c:pt idx="13">
                  <c:v>432</c:v>
                </c:pt>
                <c:pt idx="14">
                  <c:v>426</c:v>
                </c:pt>
                <c:pt idx="15">
                  <c:v>427</c:v>
                </c:pt>
                <c:pt idx="16">
                  <c:v>421</c:v>
                </c:pt>
                <c:pt idx="17">
                  <c:v>418</c:v>
                </c:pt>
                <c:pt idx="18">
                  <c:v>422</c:v>
                </c:pt>
                <c:pt idx="19">
                  <c:v>428</c:v>
                </c:pt>
                <c:pt idx="20">
                  <c:v>438.69</c:v>
                </c:pt>
                <c:pt idx="21">
                  <c:v>426</c:v>
                </c:pt>
                <c:pt idx="22">
                  <c:v>412.6</c:v>
                </c:pt>
                <c:pt idx="23">
                  <c:v>398</c:v>
                </c:pt>
                <c:pt idx="24">
                  <c:v>396.4</c:v>
                </c:pt>
                <c:pt idx="25">
                  <c:v>420.6</c:v>
                </c:pt>
                <c:pt idx="26">
                  <c:v>435</c:v>
                </c:pt>
                <c:pt idx="27">
                  <c:v>438.8</c:v>
                </c:pt>
                <c:pt idx="28">
                  <c:v>458</c:v>
                </c:pt>
                <c:pt idx="29">
                  <c:v>468</c:v>
                </c:pt>
                <c:pt idx="30">
                  <c:v>492.5</c:v>
                </c:pt>
                <c:pt idx="31">
                  <c:v>504.38</c:v>
                </c:pt>
                <c:pt idx="32">
                  <c:v>504.38</c:v>
                </c:pt>
                <c:pt idx="33">
                  <c:v>490.38</c:v>
                </c:pt>
                <c:pt idx="34">
                  <c:v>466.7</c:v>
                </c:pt>
                <c:pt idx="35">
                  <c:v>447.06</c:v>
                </c:pt>
                <c:pt idx="36">
                  <c:v>398.24</c:v>
                </c:pt>
                <c:pt idx="37">
                  <c:v>332.16</c:v>
                </c:pt>
                <c:pt idx="38">
                  <c:v>84.8</c:v>
                </c:pt>
                <c:pt idx="39">
                  <c:v>74.8</c:v>
                </c:pt>
                <c:pt idx="40">
                  <c:v>49.6</c:v>
                </c:pt>
                <c:pt idx="41">
                  <c:v>90</c:v>
                </c:pt>
                <c:pt idx="42">
                  <c:v>-57.2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-100</c:v>
                </c:pt>
                <c:pt idx="56">
                  <c:v>-100</c:v>
                </c:pt>
                <c:pt idx="57">
                  <c:v>-100</c:v>
                </c:pt>
                <c:pt idx="58">
                  <c:v>-100</c:v>
                </c:pt>
                <c:pt idx="59">
                  <c:v>-100</c:v>
                </c:pt>
                <c:pt idx="60">
                  <c:v>69.14</c:v>
                </c:pt>
                <c:pt idx="61">
                  <c:v>309.26</c:v>
                </c:pt>
                <c:pt idx="62">
                  <c:v>362.9</c:v>
                </c:pt>
                <c:pt idx="63">
                  <c:v>422</c:v>
                </c:pt>
                <c:pt idx="64">
                  <c:v>444</c:v>
                </c:pt>
                <c:pt idx="65">
                  <c:v>454</c:v>
                </c:pt>
                <c:pt idx="66">
                  <c:v>456</c:v>
                </c:pt>
                <c:pt idx="67">
                  <c:v>453.02</c:v>
                </c:pt>
                <c:pt idx="68">
                  <c:v>408.75</c:v>
                </c:pt>
                <c:pt idx="69">
                  <c:v>364</c:v>
                </c:pt>
                <c:pt idx="70">
                  <c:v>293.60000000000002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  <c:pt idx="76">
                  <c:v>260</c:v>
                </c:pt>
                <c:pt idx="77">
                  <c:v>260</c:v>
                </c:pt>
                <c:pt idx="78">
                  <c:v>260</c:v>
                </c:pt>
                <c:pt idx="79">
                  <c:v>260</c:v>
                </c:pt>
                <c:pt idx="80">
                  <c:v>260</c:v>
                </c:pt>
                <c:pt idx="81">
                  <c:v>260</c:v>
                </c:pt>
                <c:pt idx="82">
                  <c:v>260</c:v>
                </c:pt>
                <c:pt idx="83">
                  <c:v>260</c:v>
                </c:pt>
                <c:pt idx="84">
                  <c:v>260</c:v>
                </c:pt>
                <c:pt idx="85">
                  <c:v>260</c:v>
                </c:pt>
                <c:pt idx="86">
                  <c:v>260</c:v>
                </c:pt>
                <c:pt idx="87">
                  <c:v>260</c:v>
                </c:pt>
                <c:pt idx="88">
                  <c:v>276</c:v>
                </c:pt>
                <c:pt idx="89">
                  <c:v>244</c:v>
                </c:pt>
                <c:pt idx="90">
                  <c:v>92</c:v>
                </c:pt>
                <c:pt idx="91">
                  <c:v>0</c:v>
                </c:pt>
                <c:pt idx="92">
                  <c:v>144.80000000000001</c:v>
                </c:pt>
                <c:pt idx="93">
                  <c:v>0</c:v>
                </c:pt>
                <c:pt idx="94">
                  <c:v>-100</c:v>
                </c:pt>
                <c:pt idx="95">
                  <c:v>-100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2-4100-9A84-BAE853E4BA17}"/>
            </c:ext>
          </c:extLst>
        </c:ser>
        <c:ser>
          <c:idx val="1"/>
          <c:order val="1"/>
          <c:tx>
            <c:strRef>
              <c:f>[3]报价及预中标!$K$1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[3]报价及预中标!$K$2:$K$97</c:f>
              <c:numCache>
                <c:formatCode>General</c:formatCode>
                <c:ptCount val="96"/>
                <c:pt idx="0">
                  <c:v>450</c:v>
                </c:pt>
                <c:pt idx="1">
                  <c:v>443.75</c:v>
                </c:pt>
                <c:pt idx="2">
                  <c:v>440</c:v>
                </c:pt>
                <c:pt idx="3">
                  <c:v>435</c:v>
                </c:pt>
                <c:pt idx="4">
                  <c:v>435</c:v>
                </c:pt>
                <c:pt idx="5">
                  <c:v>431</c:v>
                </c:pt>
                <c:pt idx="6">
                  <c:v>428</c:v>
                </c:pt>
                <c:pt idx="7">
                  <c:v>424</c:v>
                </c:pt>
                <c:pt idx="8">
                  <c:v>451</c:v>
                </c:pt>
                <c:pt idx="9">
                  <c:v>451</c:v>
                </c:pt>
                <c:pt idx="10">
                  <c:v>445</c:v>
                </c:pt>
                <c:pt idx="11">
                  <c:v>436.67</c:v>
                </c:pt>
                <c:pt idx="12">
                  <c:v>435</c:v>
                </c:pt>
                <c:pt idx="13">
                  <c:v>432</c:v>
                </c:pt>
                <c:pt idx="14">
                  <c:v>426</c:v>
                </c:pt>
                <c:pt idx="15">
                  <c:v>427</c:v>
                </c:pt>
                <c:pt idx="16">
                  <c:v>421</c:v>
                </c:pt>
                <c:pt idx="17">
                  <c:v>418</c:v>
                </c:pt>
                <c:pt idx="18">
                  <c:v>422</c:v>
                </c:pt>
                <c:pt idx="19">
                  <c:v>428</c:v>
                </c:pt>
                <c:pt idx="20">
                  <c:v>438.69</c:v>
                </c:pt>
                <c:pt idx="21">
                  <c:v>426</c:v>
                </c:pt>
                <c:pt idx="22">
                  <c:v>412.6</c:v>
                </c:pt>
                <c:pt idx="23">
                  <c:v>398</c:v>
                </c:pt>
                <c:pt idx="24">
                  <c:v>396.4</c:v>
                </c:pt>
                <c:pt idx="25">
                  <c:v>420.6</c:v>
                </c:pt>
                <c:pt idx="26">
                  <c:v>435</c:v>
                </c:pt>
                <c:pt idx="27">
                  <c:v>438.8</c:v>
                </c:pt>
                <c:pt idx="28">
                  <c:v>458</c:v>
                </c:pt>
                <c:pt idx="29">
                  <c:v>468</c:v>
                </c:pt>
                <c:pt idx="30">
                  <c:v>492.5</c:v>
                </c:pt>
                <c:pt idx="31">
                  <c:v>504.38</c:v>
                </c:pt>
                <c:pt idx="32">
                  <c:v>504.38</c:v>
                </c:pt>
                <c:pt idx="33">
                  <c:v>490.38</c:v>
                </c:pt>
                <c:pt idx="34">
                  <c:v>466.7</c:v>
                </c:pt>
                <c:pt idx="35">
                  <c:v>447.06</c:v>
                </c:pt>
                <c:pt idx="36">
                  <c:v>398.24</c:v>
                </c:pt>
                <c:pt idx="37">
                  <c:v>332.16</c:v>
                </c:pt>
                <c:pt idx="38">
                  <c:v>84.8</c:v>
                </c:pt>
                <c:pt idx="39">
                  <c:v>74.8</c:v>
                </c:pt>
                <c:pt idx="40">
                  <c:v>49.6</c:v>
                </c:pt>
                <c:pt idx="41">
                  <c:v>90</c:v>
                </c:pt>
                <c:pt idx="42">
                  <c:v>-57.2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-100</c:v>
                </c:pt>
                <c:pt idx="56">
                  <c:v>-100</c:v>
                </c:pt>
                <c:pt idx="57">
                  <c:v>-100</c:v>
                </c:pt>
                <c:pt idx="58">
                  <c:v>-100</c:v>
                </c:pt>
                <c:pt idx="59">
                  <c:v>-100</c:v>
                </c:pt>
                <c:pt idx="60">
                  <c:v>69.14</c:v>
                </c:pt>
                <c:pt idx="61">
                  <c:v>309.26</c:v>
                </c:pt>
                <c:pt idx="62">
                  <c:v>362.9</c:v>
                </c:pt>
                <c:pt idx="63">
                  <c:v>422</c:v>
                </c:pt>
                <c:pt idx="64">
                  <c:v>444</c:v>
                </c:pt>
                <c:pt idx="65">
                  <c:v>454</c:v>
                </c:pt>
                <c:pt idx="66">
                  <c:v>456</c:v>
                </c:pt>
                <c:pt idx="67">
                  <c:v>453.02</c:v>
                </c:pt>
                <c:pt idx="68">
                  <c:v>408.75</c:v>
                </c:pt>
                <c:pt idx="69">
                  <c:v>364</c:v>
                </c:pt>
                <c:pt idx="70">
                  <c:v>293.60000000000002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  <c:pt idx="76">
                  <c:v>260</c:v>
                </c:pt>
                <c:pt idx="77">
                  <c:v>260</c:v>
                </c:pt>
                <c:pt idx="78">
                  <c:v>260</c:v>
                </c:pt>
                <c:pt idx="79">
                  <c:v>260</c:v>
                </c:pt>
                <c:pt idx="80">
                  <c:v>260</c:v>
                </c:pt>
                <c:pt idx="81">
                  <c:v>260</c:v>
                </c:pt>
                <c:pt idx="82">
                  <c:v>260</c:v>
                </c:pt>
                <c:pt idx="83">
                  <c:v>260</c:v>
                </c:pt>
                <c:pt idx="84">
                  <c:v>260</c:v>
                </c:pt>
                <c:pt idx="85">
                  <c:v>260</c:v>
                </c:pt>
                <c:pt idx="86">
                  <c:v>260</c:v>
                </c:pt>
                <c:pt idx="87">
                  <c:v>260</c:v>
                </c:pt>
                <c:pt idx="88">
                  <c:v>276</c:v>
                </c:pt>
                <c:pt idx="89">
                  <c:v>244</c:v>
                </c:pt>
                <c:pt idx="90">
                  <c:v>92</c:v>
                </c:pt>
                <c:pt idx="91">
                  <c:v>0</c:v>
                </c:pt>
                <c:pt idx="92">
                  <c:v>144.80000000000001</c:v>
                </c:pt>
                <c:pt idx="93">
                  <c:v>0</c:v>
                </c:pt>
                <c:pt idx="94">
                  <c:v>-100</c:v>
                </c:pt>
                <c:pt idx="95">
                  <c:v>-100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32-4100-9A84-BAE853E4B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-95</c:v>
                </c:pt>
                <c:pt idx="7">
                  <c:v>-95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-72.849999999999994</c:v>
                </c:pt>
                <c:pt idx="16">
                  <c:v>-95</c:v>
                </c:pt>
                <c:pt idx="17">
                  <c:v>-31.5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83.42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-85.62</c:v>
                </c:pt>
                <c:pt idx="52">
                  <c:v>-59.85</c:v>
                </c:pt>
                <c:pt idx="53">
                  <c:v>-59.85</c:v>
                </c:pt>
                <c:pt idx="54">
                  <c:v>-59.85</c:v>
                </c:pt>
                <c:pt idx="55">
                  <c:v>-59.85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42.35</c:v>
                </c:pt>
                <c:pt idx="70">
                  <c:v>42.35</c:v>
                </c:pt>
                <c:pt idx="71">
                  <c:v>42.35</c:v>
                </c:pt>
                <c:pt idx="72">
                  <c:v>42.35</c:v>
                </c:pt>
                <c:pt idx="73">
                  <c:v>42.35</c:v>
                </c:pt>
                <c:pt idx="74">
                  <c:v>42.35</c:v>
                </c:pt>
                <c:pt idx="75">
                  <c:v>42.35</c:v>
                </c:pt>
                <c:pt idx="76">
                  <c:v>42.35</c:v>
                </c:pt>
                <c:pt idx="77">
                  <c:v>42.35</c:v>
                </c:pt>
                <c:pt idx="78">
                  <c:v>42.35</c:v>
                </c:pt>
                <c:pt idx="79">
                  <c:v>42.35</c:v>
                </c:pt>
                <c:pt idx="80">
                  <c:v>42.35</c:v>
                </c:pt>
                <c:pt idx="81">
                  <c:v>42.35</c:v>
                </c:pt>
                <c:pt idx="82">
                  <c:v>42.35</c:v>
                </c:pt>
                <c:pt idx="83">
                  <c:v>42.35</c:v>
                </c:pt>
                <c:pt idx="84">
                  <c:v>42.35</c:v>
                </c:pt>
                <c:pt idx="85">
                  <c:v>42.35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1-4E69-9769-D0D7E798B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[4]报价及预中标!$J$1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[4]报价及预中标!$J$2:$J$97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-80</c:v>
                </c:pt>
                <c:pt idx="4">
                  <c:v>-80</c:v>
                </c:pt>
                <c:pt idx="5">
                  <c:v>-80</c:v>
                </c:pt>
                <c:pt idx="6">
                  <c:v>-80.13</c:v>
                </c:pt>
                <c:pt idx="7">
                  <c:v>-80.13</c:v>
                </c:pt>
                <c:pt idx="8">
                  <c:v>-80.13</c:v>
                </c:pt>
                <c:pt idx="9">
                  <c:v>-80</c:v>
                </c:pt>
                <c:pt idx="10">
                  <c:v>-80</c:v>
                </c:pt>
                <c:pt idx="11">
                  <c:v>-80</c:v>
                </c:pt>
                <c:pt idx="12">
                  <c:v>-80</c:v>
                </c:pt>
                <c:pt idx="13">
                  <c:v>-80.13</c:v>
                </c:pt>
                <c:pt idx="14">
                  <c:v>-80.13</c:v>
                </c:pt>
                <c:pt idx="15">
                  <c:v>-80.13</c:v>
                </c:pt>
                <c:pt idx="16">
                  <c:v>-80.13</c:v>
                </c:pt>
                <c:pt idx="17">
                  <c:v>-80.13</c:v>
                </c:pt>
                <c:pt idx="18">
                  <c:v>-80</c:v>
                </c:pt>
                <c:pt idx="19">
                  <c:v>-80</c:v>
                </c:pt>
                <c:pt idx="20">
                  <c:v>-80</c:v>
                </c:pt>
                <c:pt idx="21">
                  <c:v>-80</c:v>
                </c:pt>
                <c:pt idx="22">
                  <c:v>-80</c:v>
                </c:pt>
                <c:pt idx="23">
                  <c:v>-80</c:v>
                </c:pt>
                <c:pt idx="24">
                  <c:v>-80</c:v>
                </c:pt>
                <c:pt idx="25">
                  <c:v>-80</c:v>
                </c:pt>
                <c:pt idx="26">
                  <c:v>-80</c:v>
                </c:pt>
                <c:pt idx="27">
                  <c:v>-80</c:v>
                </c:pt>
                <c:pt idx="28">
                  <c:v>-80</c:v>
                </c:pt>
                <c:pt idx="29">
                  <c:v>-80.56</c:v>
                </c:pt>
                <c:pt idx="30">
                  <c:v>0</c:v>
                </c:pt>
                <c:pt idx="31">
                  <c:v>144.80000000000001</c:v>
                </c:pt>
                <c:pt idx="32">
                  <c:v>55.65</c:v>
                </c:pt>
                <c:pt idx="33">
                  <c:v>108.94</c:v>
                </c:pt>
                <c:pt idx="34">
                  <c:v>-80</c:v>
                </c:pt>
                <c:pt idx="35">
                  <c:v>-80</c:v>
                </c:pt>
                <c:pt idx="36">
                  <c:v>-80</c:v>
                </c:pt>
                <c:pt idx="37">
                  <c:v>-80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-80</c:v>
                </c:pt>
                <c:pt idx="42">
                  <c:v>-80.13</c:v>
                </c:pt>
                <c:pt idx="43">
                  <c:v>-80</c:v>
                </c:pt>
                <c:pt idx="44">
                  <c:v>-80.27</c:v>
                </c:pt>
                <c:pt idx="45">
                  <c:v>-80.13</c:v>
                </c:pt>
                <c:pt idx="46">
                  <c:v>-80.13</c:v>
                </c:pt>
                <c:pt idx="47">
                  <c:v>-80.13</c:v>
                </c:pt>
                <c:pt idx="48">
                  <c:v>-80.13</c:v>
                </c:pt>
                <c:pt idx="49">
                  <c:v>-80.13</c:v>
                </c:pt>
                <c:pt idx="50">
                  <c:v>-80.13</c:v>
                </c:pt>
                <c:pt idx="51">
                  <c:v>-80.13</c:v>
                </c:pt>
                <c:pt idx="52">
                  <c:v>-80.13</c:v>
                </c:pt>
                <c:pt idx="53">
                  <c:v>-80.13</c:v>
                </c:pt>
                <c:pt idx="54">
                  <c:v>-80.13</c:v>
                </c:pt>
                <c:pt idx="55">
                  <c:v>-80.27</c:v>
                </c:pt>
                <c:pt idx="56">
                  <c:v>-80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-80</c:v>
                </c:pt>
                <c:pt idx="61">
                  <c:v>412</c:v>
                </c:pt>
                <c:pt idx="62">
                  <c:v>500</c:v>
                </c:pt>
                <c:pt idx="63">
                  <c:v>546.72</c:v>
                </c:pt>
                <c:pt idx="64">
                  <c:v>606.91999999999996</c:v>
                </c:pt>
                <c:pt idx="65">
                  <c:v>626.25</c:v>
                </c:pt>
                <c:pt idx="66">
                  <c:v>635</c:v>
                </c:pt>
                <c:pt idx="67">
                  <c:v>630.63</c:v>
                </c:pt>
                <c:pt idx="68">
                  <c:v>593</c:v>
                </c:pt>
                <c:pt idx="69">
                  <c:v>545.62</c:v>
                </c:pt>
                <c:pt idx="70">
                  <c:v>542.88</c:v>
                </c:pt>
                <c:pt idx="71">
                  <c:v>542.88</c:v>
                </c:pt>
                <c:pt idx="72">
                  <c:v>542.88</c:v>
                </c:pt>
                <c:pt idx="73">
                  <c:v>542.88</c:v>
                </c:pt>
                <c:pt idx="74">
                  <c:v>542.88</c:v>
                </c:pt>
                <c:pt idx="75">
                  <c:v>542.88</c:v>
                </c:pt>
                <c:pt idx="76">
                  <c:v>542.88</c:v>
                </c:pt>
                <c:pt idx="77">
                  <c:v>542.88</c:v>
                </c:pt>
                <c:pt idx="78">
                  <c:v>542.88</c:v>
                </c:pt>
                <c:pt idx="79">
                  <c:v>542.88</c:v>
                </c:pt>
                <c:pt idx="80">
                  <c:v>542.88</c:v>
                </c:pt>
                <c:pt idx="81">
                  <c:v>542.88</c:v>
                </c:pt>
                <c:pt idx="82">
                  <c:v>542.88</c:v>
                </c:pt>
                <c:pt idx="83">
                  <c:v>542.88</c:v>
                </c:pt>
                <c:pt idx="84">
                  <c:v>542.88</c:v>
                </c:pt>
                <c:pt idx="85">
                  <c:v>542.88</c:v>
                </c:pt>
                <c:pt idx="86">
                  <c:v>542.88</c:v>
                </c:pt>
                <c:pt idx="87">
                  <c:v>542.88</c:v>
                </c:pt>
                <c:pt idx="88">
                  <c:v>542.88</c:v>
                </c:pt>
                <c:pt idx="89">
                  <c:v>542.88</c:v>
                </c:pt>
                <c:pt idx="90">
                  <c:v>542.88</c:v>
                </c:pt>
                <c:pt idx="91">
                  <c:v>541</c:v>
                </c:pt>
                <c:pt idx="92">
                  <c:v>542.88</c:v>
                </c:pt>
                <c:pt idx="93">
                  <c:v>535.9</c:v>
                </c:pt>
                <c:pt idx="94">
                  <c:v>486</c:v>
                </c:pt>
                <c:pt idx="95">
                  <c:v>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8-4E11-8ED8-36F6B5EAC313}"/>
            </c:ext>
          </c:extLst>
        </c:ser>
        <c:ser>
          <c:idx val="1"/>
          <c:order val="1"/>
          <c:tx>
            <c:strRef>
              <c:f>[4]报价及预中标!$K$1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[4]报价及预中标!$K$2:$K$97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-80</c:v>
                </c:pt>
                <c:pt idx="4">
                  <c:v>-80</c:v>
                </c:pt>
                <c:pt idx="5">
                  <c:v>-80</c:v>
                </c:pt>
                <c:pt idx="6">
                  <c:v>-80.13</c:v>
                </c:pt>
                <c:pt idx="7">
                  <c:v>-80.13</c:v>
                </c:pt>
                <c:pt idx="8">
                  <c:v>-80.13</c:v>
                </c:pt>
                <c:pt idx="9">
                  <c:v>-80</c:v>
                </c:pt>
                <c:pt idx="10">
                  <c:v>-80</c:v>
                </c:pt>
                <c:pt idx="11">
                  <c:v>-80</c:v>
                </c:pt>
                <c:pt idx="12">
                  <c:v>-80</c:v>
                </c:pt>
                <c:pt idx="13">
                  <c:v>-80.13</c:v>
                </c:pt>
                <c:pt idx="14">
                  <c:v>-80.13</c:v>
                </c:pt>
                <c:pt idx="15">
                  <c:v>-80.13</c:v>
                </c:pt>
                <c:pt idx="16">
                  <c:v>-80.13</c:v>
                </c:pt>
                <c:pt idx="17">
                  <c:v>-80.13</c:v>
                </c:pt>
                <c:pt idx="18">
                  <c:v>-80</c:v>
                </c:pt>
                <c:pt idx="19">
                  <c:v>-80</c:v>
                </c:pt>
                <c:pt idx="20">
                  <c:v>-80</c:v>
                </c:pt>
                <c:pt idx="21">
                  <c:v>-80</c:v>
                </c:pt>
                <c:pt idx="22">
                  <c:v>-80</c:v>
                </c:pt>
                <c:pt idx="23">
                  <c:v>-80</c:v>
                </c:pt>
                <c:pt idx="24">
                  <c:v>-80</c:v>
                </c:pt>
                <c:pt idx="25">
                  <c:v>-80</c:v>
                </c:pt>
                <c:pt idx="26">
                  <c:v>-80</c:v>
                </c:pt>
                <c:pt idx="27">
                  <c:v>-80</c:v>
                </c:pt>
                <c:pt idx="28">
                  <c:v>-80</c:v>
                </c:pt>
                <c:pt idx="29">
                  <c:v>-80.56</c:v>
                </c:pt>
                <c:pt idx="30">
                  <c:v>0</c:v>
                </c:pt>
                <c:pt idx="31">
                  <c:v>144.80000000000001</c:v>
                </c:pt>
                <c:pt idx="32">
                  <c:v>55.65</c:v>
                </c:pt>
                <c:pt idx="33">
                  <c:v>108.94</c:v>
                </c:pt>
                <c:pt idx="34">
                  <c:v>-80</c:v>
                </c:pt>
                <c:pt idx="35">
                  <c:v>-80</c:v>
                </c:pt>
                <c:pt idx="36">
                  <c:v>-80</c:v>
                </c:pt>
                <c:pt idx="37">
                  <c:v>-80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-80</c:v>
                </c:pt>
                <c:pt idx="42">
                  <c:v>-80.13</c:v>
                </c:pt>
                <c:pt idx="43">
                  <c:v>-80</c:v>
                </c:pt>
                <c:pt idx="44">
                  <c:v>-80.27</c:v>
                </c:pt>
                <c:pt idx="45">
                  <c:v>-80.13</c:v>
                </c:pt>
                <c:pt idx="46">
                  <c:v>-80.13</c:v>
                </c:pt>
                <c:pt idx="47">
                  <c:v>-80.13</c:v>
                </c:pt>
                <c:pt idx="48">
                  <c:v>-80.13</c:v>
                </c:pt>
                <c:pt idx="49">
                  <c:v>-80.13</c:v>
                </c:pt>
                <c:pt idx="50">
                  <c:v>-80.13</c:v>
                </c:pt>
                <c:pt idx="51">
                  <c:v>-80.13</c:v>
                </c:pt>
                <c:pt idx="52">
                  <c:v>-80.13</c:v>
                </c:pt>
                <c:pt idx="53">
                  <c:v>-80.13</c:v>
                </c:pt>
                <c:pt idx="54">
                  <c:v>-80.13</c:v>
                </c:pt>
                <c:pt idx="55">
                  <c:v>-80.27</c:v>
                </c:pt>
                <c:pt idx="56">
                  <c:v>-80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-80</c:v>
                </c:pt>
                <c:pt idx="61">
                  <c:v>412</c:v>
                </c:pt>
                <c:pt idx="62">
                  <c:v>500</c:v>
                </c:pt>
                <c:pt idx="63">
                  <c:v>546.72</c:v>
                </c:pt>
                <c:pt idx="64">
                  <c:v>606.91999999999996</c:v>
                </c:pt>
                <c:pt idx="65">
                  <c:v>626.25</c:v>
                </c:pt>
                <c:pt idx="66">
                  <c:v>635</c:v>
                </c:pt>
                <c:pt idx="67">
                  <c:v>630.63</c:v>
                </c:pt>
                <c:pt idx="68">
                  <c:v>593</c:v>
                </c:pt>
                <c:pt idx="69">
                  <c:v>545.62</c:v>
                </c:pt>
                <c:pt idx="70">
                  <c:v>542.88</c:v>
                </c:pt>
                <c:pt idx="71">
                  <c:v>542.88</c:v>
                </c:pt>
                <c:pt idx="72">
                  <c:v>542.88</c:v>
                </c:pt>
                <c:pt idx="73">
                  <c:v>542.88</c:v>
                </c:pt>
                <c:pt idx="74">
                  <c:v>542.88</c:v>
                </c:pt>
                <c:pt idx="75">
                  <c:v>542.88</c:v>
                </c:pt>
                <c:pt idx="76">
                  <c:v>542.88</c:v>
                </c:pt>
                <c:pt idx="77">
                  <c:v>542.88</c:v>
                </c:pt>
                <c:pt idx="78">
                  <c:v>542.88</c:v>
                </c:pt>
                <c:pt idx="79">
                  <c:v>542.88</c:v>
                </c:pt>
                <c:pt idx="80">
                  <c:v>542.88</c:v>
                </c:pt>
                <c:pt idx="81">
                  <c:v>542.88</c:v>
                </c:pt>
                <c:pt idx="82">
                  <c:v>542.88</c:v>
                </c:pt>
                <c:pt idx="83">
                  <c:v>542.88</c:v>
                </c:pt>
                <c:pt idx="84">
                  <c:v>542.88</c:v>
                </c:pt>
                <c:pt idx="85">
                  <c:v>542.88</c:v>
                </c:pt>
                <c:pt idx="86">
                  <c:v>542.88</c:v>
                </c:pt>
                <c:pt idx="87">
                  <c:v>542.88</c:v>
                </c:pt>
                <c:pt idx="88">
                  <c:v>542.88</c:v>
                </c:pt>
                <c:pt idx="89">
                  <c:v>542.88</c:v>
                </c:pt>
                <c:pt idx="90">
                  <c:v>542.88</c:v>
                </c:pt>
                <c:pt idx="91">
                  <c:v>541</c:v>
                </c:pt>
                <c:pt idx="92">
                  <c:v>542.88</c:v>
                </c:pt>
                <c:pt idx="93">
                  <c:v>535.9</c:v>
                </c:pt>
                <c:pt idx="94">
                  <c:v>486</c:v>
                </c:pt>
                <c:pt idx="95">
                  <c:v>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A8-4E11-8ED8-36F6B5EAC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[5]报价及预中标!$N$1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-55.38</c:v>
                </c:pt>
                <c:pt idx="15">
                  <c:v>-55.38</c:v>
                </c:pt>
                <c:pt idx="16">
                  <c:v>-55.38</c:v>
                </c:pt>
                <c:pt idx="17">
                  <c:v>-55.38</c:v>
                </c:pt>
                <c:pt idx="18">
                  <c:v>-55.38</c:v>
                </c:pt>
                <c:pt idx="19">
                  <c:v>-55.38</c:v>
                </c:pt>
                <c:pt idx="20">
                  <c:v>-55.38</c:v>
                </c:pt>
                <c:pt idx="21">
                  <c:v>-55.38</c:v>
                </c:pt>
                <c:pt idx="22">
                  <c:v>-55.38</c:v>
                </c:pt>
                <c:pt idx="23">
                  <c:v>-55.38</c:v>
                </c:pt>
                <c:pt idx="24">
                  <c:v>-55.38</c:v>
                </c:pt>
                <c:pt idx="25">
                  <c:v>-55.38</c:v>
                </c:pt>
                <c:pt idx="26">
                  <c:v>-55.38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92.57</c:v>
                </c:pt>
                <c:pt idx="40">
                  <c:v>92.57</c:v>
                </c:pt>
                <c:pt idx="41">
                  <c:v>92.57</c:v>
                </c:pt>
                <c:pt idx="42">
                  <c:v>92.57</c:v>
                </c:pt>
                <c:pt idx="43">
                  <c:v>92.57</c:v>
                </c:pt>
                <c:pt idx="44">
                  <c:v>92.57</c:v>
                </c:pt>
                <c:pt idx="45">
                  <c:v>92.57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AC-42B3-94D6-6AA0B3C20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[5]报价及预中标!$J$1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[5]报价及预中标!$J$2:$J$97</c:f>
              <c:numCache>
                <c:formatCode>General</c:formatCode>
                <c:ptCount val="96"/>
                <c:pt idx="0">
                  <c:v>89.24</c:v>
                </c:pt>
                <c:pt idx="1">
                  <c:v>85.59</c:v>
                </c:pt>
                <c:pt idx="2">
                  <c:v>85.59</c:v>
                </c:pt>
                <c:pt idx="3">
                  <c:v>85.59</c:v>
                </c:pt>
                <c:pt idx="4">
                  <c:v>85.59</c:v>
                </c:pt>
                <c:pt idx="5">
                  <c:v>85.59</c:v>
                </c:pt>
                <c:pt idx="6">
                  <c:v>85.58</c:v>
                </c:pt>
                <c:pt idx="7">
                  <c:v>11.49</c:v>
                </c:pt>
                <c:pt idx="8">
                  <c:v>-88.69</c:v>
                </c:pt>
                <c:pt idx="9">
                  <c:v>-81.67</c:v>
                </c:pt>
                <c:pt idx="10">
                  <c:v>-81.67</c:v>
                </c:pt>
                <c:pt idx="11">
                  <c:v>-80</c:v>
                </c:pt>
                <c:pt idx="12">
                  <c:v>85.36</c:v>
                </c:pt>
                <c:pt idx="13">
                  <c:v>85.59</c:v>
                </c:pt>
                <c:pt idx="14">
                  <c:v>85.59</c:v>
                </c:pt>
                <c:pt idx="15">
                  <c:v>85.59</c:v>
                </c:pt>
                <c:pt idx="16">
                  <c:v>85.59</c:v>
                </c:pt>
                <c:pt idx="17">
                  <c:v>85.59</c:v>
                </c:pt>
                <c:pt idx="18">
                  <c:v>85.59</c:v>
                </c:pt>
                <c:pt idx="19">
                  <c:v>85.59</c:v>
                </c:pt>
                <c:pt idx="20">
                  <c:v>85.59</c:v>
                </c:pt>
                <c:pt idx="21">
                  <c:v>85.59</c:v>
                </c:pt>
                <c:pt idx="22">
                  <c:v>85.59</c:v>
                </c:pt>
                <c:pt idx="23">
                  <c:v>85.59</c:v>
                </c:pt>
                <c:pt idx="24">
                  <c:v>85.59</c:v>
                </c:pt>
                <c:pt idx="25">
                  <c:v>85.59</c:v>
                </c:pt>
                <c:pt idx="26">
                  <c:v>85.59</c:v>
                </c:pt>
                <c:pt idx="27">
                  <c:v>84.36</c:v>
                </c:pt>
                <c:pt idx="28">
                  <c:v>83.2</c:v>
                </c:pt>
                <c:pt idx="29">
                  <c:v>89.2</c:v>
                </c:pt>
                <c:pt idx="30">
                  <c:v>116.37</c:v>
                </c:pt>
                <c:pt idx="31">
                  <c:v>336.77</c:v>
                </c:pt>
                <c:pt idx="32">
                  <c:v>434.46</c:v>
                </c:pt>
                <c:pt idx="33">
                  <c:v>434.46</c:v>
                </c:pt>
                <c:pt idx="34">
                  <c:v>434.46</c:v>
                </c:pt>
                <c:pt idx="35">
                  <c:v>434.46</c:v>
                </c:pt>
                <c:pt idx="36">
                  <c:v>434.46</c:v>
                </c:pt>
                <c:pt idx="37">
                  <c:v>434.46</c:v>
                </c:pt>
                <c:pt idx="38">
                  <c:v>434.46</c:v>
                </c:pt>
                <c:pt idx="39">
                  <c:v>399.4</c:v>
                </c:pt>
                <c:pt idx="40">
                  <c:v>469.52</c:v>
                </c:pt>
                <c:pt idx="41">
                  <c:v>434.46</c:v>
                </c:pt>
                <c:pt idx="42">
                  <c:v>434.46</c:v>
                </c:pt>
                <c:pt idx="43">
                  <c:v>434.46</c:v>
                </c:pt>
                <c:pt idx="44">
                  <c:v>476.17</c:v>
                </c:pt>
                <c:pt idx="45">
                  <c:v>392.76</c:v>
                </c:pt>
                <c:pt idx="46">
                  <c:v>421.88</c:v>
                </c:pt>
                <c:pt idx="47">
                  <c:v>370</c:v>
                </c:pt>
                <c:pt idx="48">
                  <c:v>375</c:v>
                </c:pt>
                <c:pt idx="49">
                  <c:v>375</c:v>
                </c:pt>
                <c:pt idx="50">
                  <c:v>391.9</c:v>
                </c:pt>
                <c:pt idx="51">
                  <c:v>394.9</c:v>
                </c:pt>
                <c:pt idx="52">
                  <c:v>396</c:v>
                </c:pt>
                <c:pt idx="53">
                  <c:v>400</c:v>
                </c:pt>
                <c:pt idx="54">
                  <c:v>409</c:v>
                </c:pt>
                <c:pt idx="55">
                  <c:v>408.05</c:v>
                </c:pt>
                <c:pt idx="56">
                  <c:v>398.13</c:v>
                </c:pt>
                <c:pt idx="57">
                  <c:v>394.17</c:v>
                </c:pt>
                <c:pt idx="58">
                  <c:v>401.09</c:v>
                </c:pt>
                <c:pt idx="59">
                  <c:v>394</c:v>
                </c:pt>
                <c:pt idx="60">
                  <c:v>434.46</c:v>
                </c:pt>
                <c:pt idx="61">
                  <c:v>434.46</c:v>
                </c:pt>
                <c:pt idx="62">
                  <c:v>434.46</c:v>
                </c:pt>
                <c:pt idx="63">
                  <c:v>434.46</c:v>
                </c:pt>
                <c:pt idx="64">
                  <c:v>434.46</c:v>
                </c:pt>
                <c:pt idx="65">
                  <c:v>434.46</c:v>
                </c:pt>
                <c:pt idx="66">
                  <c:v>434.46</c:v>
                </c:pt>
                <c:pt idx="67">
                  <c:v>434.46</c:v>
                </c:pt>
                <c:pt idx="68">
                  <c:v>434.46</c:v>
                </c:pt>
                <c:pt idx="69">
                  <c:v>434.46</c:v>
                </c:pt>
                <c:pt idx="70">
                  <c:v>434.46</c:v>
                </c:pt>
                <c:pt idx="71">
                  <c:v>434.2</c:v>
                </c:pt>
                <c:pt idx="72">
                  <c:v>415.33</c:v>
                </c:pt>
                <c:pt idx="73">
                  <c:v>404</c:v>
                </c:pt>
                <c:pt idx="74">
                  <c:v>386.88</c:v>
                </c:pt>
                <c:pt idx="75">
                  <c:v>392.5</c:v>
                </c:pt>
                <c:pt idx="76">
                  <c:v>393.27</c:v>
                </c:pt>
                <c:pt idx="77">
                  <c:v>375</c:v>
                </c:pt>
                <c:pt idx="78">
                  <c:v>375</c:v>
                </c:pt>
                <c:pt idx="79">
                  <c:v>359.23</c:v>
                </c:pt>
                <c:pt idx="80">
                  <c:v>355</c:v>
                </c:pt>
                <c:pt idx="81">
                  <c:v>362</c:v>
                </c:pt>
                <c:pt idx="82">
                  <c:v>359.23</c:v>
                </c:pt>
                <c:pt idx="83">
                  <c:v>360</c:v>
                </c:pt>
                <c:pt idx="84">
                  <c:v>382</c:v>
                </c:pt>
                <c:pt idx="85">
                  <c:v>374</c:v>
                </c:pt>
                <c:pt idx="86">
                  <c:v>346</c:v>
                </c:pt>
                <c:pt idx="87">
                  <c:v>298.33</c:v>
                </c:pt>
                <c:pt idx="88">
                  <c:v>320</c:v>
                </c:pt>
                <c:pt idx="89">
                  <c:v>306</c:v>
                </c:pt>
                <c:pt idx="90">
                  <c:v>304</c:v>
                </c:pt>
                <c:pt idx="91">
                  <c:v>294.32</c:v>
                </c:pt>
                <c:pt idx="92">
                  <c:v>361.92</c:v>
                </c:pt>
                <c:pt idx="93">
                  <c:v>320</c:v>
                </c:pt>
                <c:pt idx="94">
                  <c:v>298.33</c:v>
                </c:pt>
                <c:pt idx="95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01-44A7-A369-00DB68C3FE79}"/>
            </c:ext>
          </c:extLst>
        </c:ser>
        <c:ser>
          <c:idx val="1"/>
          <c:order val="1"/>
          <c:tx>
            <c:strRef>
              <c:f>[5]报价及预中标!$K$1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[5]报价及预中标!$K$2:$K$97</c:f>
              <c:numCache>
                <c:formatCode>General</c:formatCode>
                <c:ptCount val="96"/>
                <c:pt idx="0">
                  <c:v>89.24</c:v>
                </c:pt>
                <c:pt idx="1">
                  <c:v>85.59</c:v>
                </c:pt>
                <c:pt idx="2">
                  <c:v>85.59</c:v>
                </c:pt>
                <c:pt idx="3">
                  <c:v>85.59</c:v>
                </c:pt>
                <c:pt idx="4">
                  <c:v>85.59</c:v>
                </c:pt>
                <c:pt idx="5">
                  <c:v>85.59</c:v>
                </c:pt>
                <c:pt idx="6">
                  <c:v>85.58</c:v>
                </c:pt>
                <c:pt idx="7">
                  <c:v>11.49</c:v>
                </c:pt>
                <c:pt idx="8">
                  <c:v>-88.69</c:v>
                </c:pt>
                <c:pt idx="9">
                  <c:v>-81.67</c:v>
                </c:pt>
                <c:pt idx="10">
                  <c:v>-81.67</c:v>
                </c:pt>
                <c:pt idx="11">
                  <c:v>-80</c:v>
                </c:pt>
                <c:pt idx="12">
                  <c:v>85.36</c:v>
                </c:pt>
                <c:pt idx="13">
                  <c:v>85.59</c:v>
                </c:pt>
                <c:pt idx="14">
                  <c:v>85.59</c:v>
                </c:pt>
                <c:pt idx="15">
                  <c:v>85.59</c:v>
                </c:pt>
                <c:pt idx="16">
                  <c:v>85.59</c:v>
                </c:pt>
                <c:pt idx="17">
                  <c:v>85.59</c:v>
                </c:pt>
                <c:pt idx="18">
                  <c:v>85.59</c:v>
                </c:pt>
                <c:pt idx="19">
                  <c:v>85.59</c:v>
                </c:pt>
                <c:pt idx="20">
                  <c:v>85.59</c:v>
                </c:pt>
                <c:pt idx="21">
                  <c:v>85.59</c:v>
                </c:pt>
                <c:pt idx="22">
                  <c:v>85.59</c:v>
                </c:pt>
                <c:pt idx="23">
                  <c:v>85.59</c:v>
                </c:pt>
                <c:pt idx="24">
                  <c:v>85.59</c:v>
                </c:pt>
                <c:pt idx="25">
                  <c:v>85.59</c:v>
                </c:pt>
                <c:pt idx="26">
                  <c:v>85.59</c:v>
                </c:pt>
                <c:pt idx="27">
                  <c:v>84.36</c:v>
                </c:pt>
                <c:pt idx="28">
                  <c:v>83.2</c:v>
                </c:pt>
                <c:pt idx="29">
                  <c:v>89.2</c:v>
                </c:pt>
                <c:pt idx="30">
                  <c:v>116.37</c:v>
                </c:pt>
                <c:pt idx="31">
                  <c:v>336.77</c:v>
                </c:pt>
                <c:pt idx="32">
                  <c:v>434.46</c:v>
                </c:pt>
                <c:pt idx="33">
                  <c:v>434.46</c:v>
                </c:pt>
                <c:pt idx="34">
                  <c:v>434.46</c:v>
                </c:pt>
                <c:pt idx="35">
                  <c:v>434.46</c:v>
                </c:pt>
                <c:pt idx="36">
                  <c:v>434.46</c:v>
                </c:pt>
                <c:pt idx="37">
                  <c:v>434.46</c:v>
                </c:pt>
                <c:pt idx="38">
                  <c:v>434.46</c:v>
                </c:pt>
                <c:pt idx="39">
                  <c:v>399.4</c:v>
                </c:pt>
                <c:pt idx="40">
                  <c:v>469.52</c:v>
                </c:pt>
                <c:pt idx="41">
                  <c:v>434.46</c:v>
                </c:pt>
                <c:pt idx="42">
                  <c:v>434.46</c:v>
                </c:pt>
                <c:pt idx="43">
                  <c:v>434.46</c:v>
                </c:pt>
                <c:pt idx="44">
                  <c:v>476.17</c:v>
                </c:pt>
                <c:pt idx="45">
                  <c:v>392.76</c:v>
                </c:pt>
                <c:pt idx="46">
                  <c:v>421.88</c:v>
                </c:pt>
                <c:pt idx="47">
                  <c:v>370</c:v>
                </c:pt>
                <c:pt idx="48">
                  <c:v>375</c:v>
                </c:pt>
                <c:pt idx="49">
                  <c:v>375</c:v>
                </c:pt>
                <c:pt idx="50">
                  <c:v>391.9</c:v>
                </c:pt>
                <c:pt idx="51">
                  <c:v>394.9</c:v>
                </c:pt>
                <c:pt idx="52">
                  <c:v>396</c:v>
                </c:pt>
                <c:pt idx="53">
                  <c:v>400</c:v>
                </c:pt>
                <c:pt idx="54">
                  <c:v>409</c:v>
                </c:pt>
                <c:pt idx="55">
                  <c:v>408.05</c:v>
                </c:pt>
                <c:pt idx="56">
                  <c:v>398.13</c:v>
                </c:pt>
                <c:pt idx="57">
                  <c:v>394.17</c:v>
                </c:pt>
                <c:pt idx="58">
                  <c:v>401.09</c:v>
                </c:pt>
                <c:pt idx="59">
                  <c:v>394</c:v>
                </c:pt>
                <c:pt idx="60">
                  <c:v>434.46</c:v>
                </c:pt>
                <c:pt idx="61">
                  <c:v>434.46</c:v>
                </c:pt>
                <c:pt idx="62">
                  <c:v>434.46</c:v>
                </c:pt>
                <c:pt idx="63">
                  <c:v>434.46</c:v>
                </c:pt>
                <c:pt idx="64">
                  <c:v>434.46</c:v>
                </c:pt>
                <c:pt idx="65">
                  <c:v>434.46</c:v>
                </c:pt>
                <c:pt idx="66">
                  <c:v>434.46</c:v>
                </c:pt>
                <c:pt idx="67">
                  <c:v>434.46</c:v>
                </c:pt>
                <c:pt idx="68">
                  <c:v>434.46</c:v>
                </c:pt>
                <c:pt idx="69">
                  <c:v>434.46</c:v>
                </c:pt>
                <c:pt idx="70">
                  <c:v>434.46</c:v>
                </c:pt>
                <c:pt idx="71">
                  <c:v>434.2</c:v>
                </c:pt>
                <c:pt idx="72">
                  <c:v>415.33</c:v>
                </c:pt>
                <c:pt idx="73">
                  <c:v>404</c:v>
                </c:pt>
                <c:pt idx="74">
                  <c:v>386.88</c:v>
                </c:pt>
                <c:pt idx="75">
                  <c:v>392.5</c:v>
                </c:pt>
                <c:pt idx="76">
                  <c:v>393.27</c:v>
                </c:pt>
                <c:pt idx="77">
                  <c:v>375</c:v>
                </c:pt>
                <c:pt idx="78">
                  <c:v>375</c:v>
                </c:pt>
                <c:pt idx="79">
                  <c:v>359.23</c:v>
                </c:pt>
                <c:pt idx="80">
                  <c:v>355</c:v>
                </c:pt>
                <c:pt idx="81">
                  <c:v>362</c:v>
                </c:pt>
                <c:pt idx="82">
                  <c:v>359.23</c:v>
                </c:pt>
                <c:pt idx="83">
                  <c:v>360</c:v>
                </c:pt>
                <c:pt idx="84">
                  <c:v>382</c:v>
                </c:pt>
                <c:pt idx="85">
                  <c:v>374</c:v>
                </c:pt>
                <c:pt idx="86">
                  <c:v>346</c:v>
                </c:pt>
                <c:pt idx="87">
                  <c:v>298.33</c:v>
                </c:pt>
                <c:pt idx="88">
                  <c:v>320</c:v>
                </c:pt>
                <c:pt idx="89">
                  <c:v>306</c:v>
                </c:pt>
                <c:pt idx="90">
                  <c:v>304</c:v>
                </c:pt>
                <c:pt idx="91">
                  <c:v>294.32</c:v>
                </c:pt>
                <c:pt idx="92">
                  <c:v>361.92</c:v>
                </c:pt>
                <c:pt idx="93">
                  <c:v>320</c:v>
                </c:pt>
                <c:pt idx="94">
                  <c:v>298.33</c:v>
                </c:pt>
                <c:pt idx="95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01-44A7-A369-00DB68C3F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[6]报价及预中标!$N$1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[6]报价及预中标!$N$2:$N$97</c:f>
              <c:numCache>
                <c:formatCode>General</c:formatCode>
                <c:ptCount val="96"/>
                <c:pt idx="0">
                  <c:v>-0.02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-50</c:v>
                </c:pt>
                <c:pt idx="20">
                  <c:v>-50</c:v>
                </c:pt>
                <c:pt idx="21">
                  <c:v>-50</c:v>
                </c:pt>
                <c:pt idx="22">
                  <c:v>-95</c:v>
                </c:pt>
                <c:pt idx="23">
                  <c:v>-95</c:v>
                </c:pt>
                <c:pt idx="24">
                  <c:v>-95</c:v>
                </c:pt>
                <c:pt idx="25">
                  <c:v>-95</c:v>
                </c:pt>
                <c:pt idx="26">
                  <c:v>-95</c:v>
                </c:pt>
                <c:pt idx="27">
                  <c:v>-95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69.13</c:v>
                </c:pt>
                <c:pt idx="37">
                  <c:v>69.13</c:v>
                </c:pt>
                <c:pt idx="38">
                  <c:v>69.13</c:v>
                </c:pt>
                <c:pt idx="39">
                  <c:v>69.13</c:v>
                </c:pt>
                <c:pt idx="40">
                  <c:v>69.13</c:v>
                </c:pt>
                <c:pt idx="41">
                  <c:v>69.13</c:v>
                </c:pt>
                <c:pt idx="42">
                  <c:v>69.13</c:v>
                </c:pt>
                <c:pt idx="43">
                  <c:v>69.13</c:v>
                </c:pt>
                <c:pt idx="44">
                  <c:v>95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5-4AE5-A564-96F89C872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[6]报价及预中标!$J$1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[6]报价及预中标!$J$2:$J$97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-81.58</c:v>
                </c:pt>
                <c:pt idx="4">
                  <c:v>-81.58</c:v>
                </c:pt>
                <c:pt idx="5">
                  <c:v>-81.58</c:v>
                </c:pt>
                <c:pt idx="6">
                  <c:v>-81.58</c:v>
                </c:pt>
                <c:pt idx="7">
                  <c:v>-81.58</c:v>
                </c:pt>
                <c:pt idx="8">
                  <c:v>-81.58</c:v>
                </c:pt>
                <c:pt idx="9">
                  <c:v>-81.58</c:v>
                </c:pt>
                <c:pt idx="10">
                  <c:v>-81.58</c:v>
                </c:pt>
                <c:pt idx="11">
                  <c:v>-81.58</c:v>
                </c:pt>
                <c:pt idx="12">
                  <c:v>-81.58</c:v>
                </c:pt>
                <c:pt idx="13">
                  <c:v>-81.58</c:v>
                </c:pt>
                <c:pt idx="14">
                  <c:v>-81.58</c:v>
                </c:pt>
                <c:pt idx="15">
                  <c:v>-81.58</c:v>
                </c:pt>
                <c:pt idx="16">
                  <c:v>-81.58</c:v>
                </c:pt>
                <c:pt idx="17">
                  <c:v>-81.58</c:v>
                </c:pt>
                <c:pt idx="18">
                  <c:v>-81.58</c:v>
                </c:pt>
                <c:pt idx="19">
                  <c:v>-81.58</c:v>
                </c:pt>
                <c:pt idx="20">
                  <c:v>-81.58</c:v>
                </c:pt>
                <c:pt idx="21">
                  <c:v>-81.58</c:v>
                </c:pt>
                <c:pt idx="22">
                  <c:v>-81.58</c:v>
                </c:pt>
                <c:pt idx="23">
                  <c:v>-81.58</c:v>
                </c:pt>
                <c:pt idx="24">
                  <c:v>-81.58</c:v>
                </c:pt>
                <c:pt idx="25">
                  <c:v>-81.58</c:v>
                </c:pt>
                <c:pt idx="26">
                  <c:v>-81.58</c:v>
                </c:pt>
                <c:pt idx="27">
                  <c:v>-81.58</c:v>
                </c:pt>
                <c:pt idx="28">
                  <c:v>-81.58</c:v>
                </c:pt>
                <c:pt idx="29">
                  <c:v>-81.58</c:v>
                </c:pt>
                <c:pt idx="30">
                  <c:v>0</c:v>
                </c:pt>
                <c:pt idx="31">
                  <c:v>382</c:v>
                </c:pt>
                <c:pt idx="32">
                  <c:v>458.6</c:v>
                </c:pt>
                <c:pt idx="33">
                  <c:v>548.02</c:v>
                </c:pt>
                <c:pt idx="34">
                  <c:v>632.86</c:v>
                </c:pt>
                <c:pt idx="35">
                  <c:v>541.71</c:v>
                </c:pt>
                <c:pt idx="36">
                  <c:v>724</c:v>
                </c:pt>
                <c:pt idx="37">
                  <c:v>632.86</c:v>
                </c:pt>
                <c:pt idx="38">
                  <c:v>632.86</c:v>
                </c:pt>
                <c:pt idx="39">
                  <c:v>620.79999999999995</c:v>
                </c:pt>
                <c:pt idx="40">
                  <c:v>644.91</c:v>
                </c:pt>
                <c:pt idx="41">
                  <c:v>632.86</c:v>
                </c:pt>
                <c:pt idx="42">
                  <c:v>632.86</c:v>
                </c:pt>
                <c:pt idx="43">
                  <c:v>632.86</c:v>
                </c:pt>
                <c:pt idx="44">
                  <c:v>679.2</c:v>
                </c:pt>
                <c:pt idx="45">
                  <c:v>646.74</c:v>
                </c:pt>
                <c:pt idx="46">
                  <c:v>626.4</c:v>
                </c:pt>
                <c:pt idx="47">
                  <c:v>592.79999999999995</c:v>
                </c:pt>
                <c:pt idx="48">
                  <c:v>619.14</c:v>
                </c:pt>
                <c:pt idx="49">
                  <c:v>632.86</c:v>
                </c:pt>
                <c:pt idx="50">
                  <c:v>632.86</c:v>
                </c:pt>
                <c:pt idx="51">
                  <c:v>632</c:v>
                </c:pt>
                <c:pt idx="52">
                  <c:v>633.71</c:v>
                </c:pt>
                <c:pt idx="53">
                  <c:v>632.86</c:v>
                </c:pt>
                <c:pt idx="54">
                  <c:v>632.86</c:v>
                </c:pt>
                <c:pt idx="55">
                  <c:v>632.86</c:v>
                </c:pt>
                <c:pt idx="56">
                  <c:v>632.86</c:v>
                </c:pt>
                <c:pt idx="57">
                  <c:v>632.86</c:v>
                </c:pt>
                <c:pt idx="58">
                  <c:v>629.16999999999996</c:v>
                </c:pt>
                <c:pt idx="59">
                  <c:v>543.6</c:v>
                </c:pt>
                <c:pt idx="60">
                  <c:v>484.72</c:v>
                </c:pt>
                <c:pt idx="61">
                  <c:v>491.28</c:v>
                </c:pt>
                <c:pt idx="62">
                  <c:v>496.52</c:v>
                </c:pt>
                <c:pt idx="63">
                  <c:v>484.72</c:v>
                </c:pt>
                <c:pt idx="64">
                  <c:v>490</c:v>
                </c:pt>
                <c:pt idx="65">
                  <c:v>484.72</c:v>
                </c:pt>
                <c:pt idx="66">
                  <c:v>482.28</c:v>
                </c:pt>
                <c:pt idx="67">
                  <c:v>478</c:v>
                </c:pt>
                <c:pt idx="68">
                  <c:v>468.14</c:v>
                </c:pt>
                <c:pt idx="69">
                  <c:v>474</c:v>
                </c:pt>
                <c:pt idx="70">
                  <c:v>478</c:v>
                </c:pt>
                <c:pt idx="71">
                  <c:v>465.2</c:v>
                </c:pt>
                <c:pt idx="72">
                  <c:v>450</c:v>
                </c:pt>
                <c:pt idx="73">
                  <c:v>455.2</c:v>
                </c:pt>
                <c:pt idx="74">
                  <c:v>457.88</c:v>
                </c:pt>
                <c:pt idx="75">
                  <c:v>463.21</c:v>
                </c:pt>
                <c:pt idx="76">
                  <c:v>462.76</c:v>
                </c:pt>
                <c:pt idx="77">
                  <c:v>451.73</c:v>
                </c:pt>
                <c:pt idx="78">
                  <c:v>451.06</c:v>
                </c:pt>
                <c:pt idx="79">
                  <c:v>441.21</c:v>
                </c:pt>
                <c:pt idx="80">
                  <c:v>441</c:v>
                </c:pt>
                <c:pt idx="81">
                  <c:v>440</c:v>
                </c:pt>
                <c:pt idx="82">
                  <c:v>439.24</c:v>
                </c:pt>
                <c:pt idx="83">
                  <c:v>439.6</c:v>
                </c:pt>
                <c:pt idx="84">
                  <c:v>457.29</c:v>
                </c:pt>
                <c:pt idx="85">
                  <c:v>447.44</c:v>
                </c:pt>
                <c:pt idx="86">
                  <c:v>439</c:v>
                </c:pt>
                <c:pt idx="87">
                  <c:v>425.24</c:v>
                </c:pt>
                <c:pt idx="88">
                  <c:v>419.55</c:v>
                </c:pt>
                <c:pt idx="89">
                  <c:v>418.8</c:v>
                </c:pt>
                <c:pt idx="90">
                  <c:v>413.93</c:v>
                </c:pt>
                <c:pt idx="91">
                  <c:v>404.38</c:v>
                </c:pt>
                <c:pt idx="92">
                  <c:v>419.44</c:v>
                </c:pt>
                <c:pt idx="93">
                  <c:v>406</c:v>
                </c:pt>
                <c:pt idx="94">
                  <c:v>398</c:v>
                </c:pt>
                <c:pt idx="95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27-4C87-98E4-1836F20E6322}"/>
            </c:ext>
          </c:extLst>
        </c:ser>
        <c:ser>
          <c:idx val="1"/>
          <c:order val="1"/>
          <c:tx>
            <c:strRef>
              <c:f>[6]报价及预中标!$K$1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[6]报价及预中标!$K$2:$K$97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-81.58</c:v>
                </c:pt>
                <c:pt idx="4">
                  <c:v>-81.58</c:v>
                </c:pt>
                <c:pt idx="5">
                  <c:v>-81.58</c:v>
                </c:pt>
                <c:pt idx="6">
                  <c:v>-81.58</c:v>
                </c:pt>
                <c:pt idx="7">
                  <c:v>-81.58</c:v>
                </c:pt>
                <c:pt idx="8">
                  <c:v>-81.58</c:v>
                </c:pt>
                <c:pt idx="9">
                  <c:v>-81.58</c:v>
                </c:pt>
                <c:pt idx="10">
                  <c:v>-81.58</c:v>
                </c:pt>
                <c:pt idx="11">
                  <c:v>-81.58</c:v>
                </c:pt>
                <c:pt idx="12">
                  <c:v>-81.58</c:v>
                </c:pt>
                <c:pt idx="13">
                  <c:v>-81.58</c:v>
                </c:pt>
                <c:pt idx="14">
                  <c:v>-81.58</c:v>
                </c:pt>
                <c:pt idx="15">
                  <c:v>-81.58</c:v>
                </c:pt>
                <c:pt idx="16">
                  <c:v>-81.58</c:v>
                </c:pt>
                <c:pt idx="17">
                  <c:v>-81.58</c:v>
                </c:pt>
                <c:pt idx="18">
                  <c:v>-81.58</c:v>
                </c:pt>
                <c:pt idx="19">
                  <c:v>-81.58</c:v>
                </c:pt>
                <c:pt idx="20">
                  <c:v>-81.58</c:v>
                </c:pt>
                <c:pt idx="21">
                  <c:v>-81.58</c:v>
                </c:pt>
                <c:pt idx="22">
                  <c:v>-81.58</c:v>
                </c:pt>
                <c:pt idx="23">
                  <c:v>-81.58</c:v>
                </c:pt>
                <c:pt idx="24">
                  <c:v>-81.58</c:v>
                </c:pt>
                <c:pt idx="25">
                  <c:v>-81.58</c:v>
                </c:pt>
                <c:pt idx="26">
                  <c:v>-81.58</c:v>
                </c:pt>
                <c:pt idx="27">
                  <c:v>-81.58</c:v>
                </c:pt>
                <c:pt idx="28">
                  <c:v>-81.58</c:v>
                </c:pt>
                <c:pt idx="29">
                  <c:v>-81.58</c:v>
                </c:pt>
                <c:pt idx="30">
                  <c:v>0</c:v>
                </c:pt>
                <c:pt idx="31">
                  <c:v>382</c:v>
                </c:pt>
                <c:pt idx="32">
                  <c:v>458.6</c:v>
                </c:pt>
                <c:pt idx="33">
                  <c:v>548.02</c:v>
                </c:pt>
                <c:pt idx="34">
                  <c:v>632.86</c:v>
                </c:pt>
                <c:pt idx="35">
                  <c:v>541.71</c:v>
                </c:pt>
                <c:pt idx="36">
                  <c:v>724</c:v>
                </c:pt>
                <c:pt idx="37">
                  <c:v>632.86</c:v>
                </c:pt>
                <c:pt idx="38">
                  <c:v>632.86</c:v>
                </c:pt>
                <c:pt idx="39">
                  <c:v>620.79999999999995</c:v>
                </c:pt>
                <c:pt idx="40">
                  <c:v>644.91</c:v>
                </c:pt>
                <c:pt idx="41">
                  <c:v>632.86</c:v>
                </c:pt>
                <c:pt idx="42">
                  <c:v>632.86</c:v>
                </c:pt>
                <c:pt idx="43">
                  <c:v>632.86</c:v>
                </c:pt>
                <c:pt idx="44">
                  <c:v>679.2</c:v>
                </c:pt>
                <c:pt idx="45">
                  <c:v>646.74</c:v>
                </c:pt>
                <c:pt idx="46">
                  <c:v>626.4</c:v>
                </c:pt>
                <c:pt idx="47">
                  <c:v>592.79999999999995</c:v>
                </c:pt>
                <c:pt idx="48">
                  <c:v>619.14</c:v>
                </c:pt>
                <c:pt idx="49">
                  <c:v>632.86</c:v>
                </c:pt>
                <c:pt idx="50">
                  <c:v>632.86</c:v>
                </c:pt>
                <c:pt idx="51">
                  <c:v>632</c:v>
                </c:pt>
                <c:pt idx="52">
                  <c:v>633.71</c:v>
                </c:pt>
                <c:pt idx="53">
                  <c:v>632.86</c:v>
                </c:pt>
                <c:pt idx="54">
                  <c:v>632.86</c:v>
                </c:pt>
                <c:pt idx="55">
                  <c:v>632.86</c:v>
                </c:pt>
                <c:pt idx="56">
                  <c:v>632.86</c:v>
                </c:pt>
                <c:pt idx="57">
                  <c:v>632.86</c:v>
                </c:pt>
                <c:pt idx="58">
                  <c:v>629.16999999999996</c:v>
                </c:pt>
                <c:pt idx="59">
                  <c:v>543.6</c:v>
                </c:pt>
                <c:pt idx="60">
                  <c:v>484.72</c:v>
                </c:pt>
                <c:pt idx="61">
                  <c:v>491.28</c:v>
                </c:pt>
                <c:pt idx="62">
                  <c:v>496.52</c:v>
                </c:pt>
                <c:pt idx="63">
                  <c:v>484.72</c:v>
                </c:pt>
                <c:pt idx="64">
                  <c:v>490</c:v>
                </c:pt>
                <c:pt idx="65">
                  <c:v>484.72</c:v>
                </c:pt>
                <c:pt idx="66">
                  <c:v>482.28</c:v>
                </c:pt>
                <c:pt idx="67">
                  <c:v>478</c:v>
                </c:pt>
                <c:pt idx="68">
                  <c:v>468.14</c:v>
                </c:pt>
                <c:pt idx="69">
                  <c:v>474</c:v>
                </c:pt>
                <c:pt idx="70">
                  <c:v>478</c:v>
                </c:pt>
                <c:pt idx="71">
                  <c:v>465.2</c:v>
                </c:pt>
                <c:pt idx="72">
                  <c:v>450</c:v>
                </c:pt>
                <c:pt idx="73">
                  <c:v>455.2</c:v>
                </c:pt>
                <c:pt idx="74">
                  <c:v>457.88</c:v>
                </c:pt>
                <c:pt idx="75">
                  <c:v>463.21</c:v>
                </c:pt>
                <c:pt idx="76">
                  <c:v>462.76</c:v>
                </c:pt>
                <c:pt idx="77">
                  <c:v>451.73</c:v>
                </c:pt>
                <c:pt idx="78">
                  <c:v>451.06</c:v>
                </c:pt>
                <c:pt idx="79">
                  <c:v>441.21</c:v>
                </c:pt>
                <c:pt idx="80">
                  <c:v>441</c:v>
                </c:pt>
                <c:pt idx="81">
                  <c:v>440</c:v>
                </c:pt>
                <c:pt idx="82">
                  <c:v>439.24</c:v>
                </c:pt>
                <c:pt idx="83">
                  <c:v>439.6</c:v>
                </c:pt>
                <c:pt idx="84">
                  <c:v>457.29</c:v>
                </c:pt>
                <c:pt idx="85">
                  <c:v>447.44</c:v>
                </c:pt>
                <c:pt idx="86">
                  <c:v>439</c:v>
                </c:pt>
                <c:pt idx="87">
                  <c:v>425.24</c:v>
                </c:pt>
                <c:pt idx="88">
                  <c:v>419.55</c:v>
                </c:pt>
                <c:pt idx="89">
                  <c:v>418.8</c:v>
                </c:pt>
                <c:pt idx="90">
                  <c:v>413.93</c:v>
                </c:pt>
                <c:pt idx="91">
                  <c:v>404.38</c:v>
                </c:pt>
                <c:pt idx="92">
                  <c:v>419.44</c:v>
                </c:pt>
                <c:pt idx="93">
                  <c:v>406</c:v>
                </c:pt>
                <c:pt idx="94">
                  <c:v>398</c:v>
                </c:pt>
                <c:pt idx="95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27-4C87-98E4-1836F20E6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[7]报价及预中标!$N$1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[7]报价及预中标!$N$2:$N$97</c:f>
              <c:numCache>
                <c:formatCode>General</c:formatCode>
                <c:ptCount val="96"/>
                <c:pt idx="0">
                  <c:v>-0.02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-55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38.119999999999997</c:v>
                </c:pt>
                <c:pt idx="70">
                  <c:v>38.119999999999997</c:v>
                </c:pt>
                <c:pt idx="71">
                  <c:v>38.119999999999997</c:v>
                </c:pt>
                <c:pt idx="72">
                  <c:v>38.119999999999997</c:v>
                </c:pt>
                <c:pt idx="73">
                  <c:v>38.119999999999997</c:v>
                </c:pt>
                <c:pt idx="74">
                  <c:v>38.119999999999997</c:v>
                </c:pt>
                <c:pt idx="75">
                  <c:v>38.119999999999997</c:v>
                </c:pt>
                <c:pt idx="76">
                  <c:v>38.119999999999997</c:v>
                </c:pt>
                <c:pt idx="77">
                  <c:v>38.119999999999997</c:v>
                </c:pt>
                <c:pt idx="78">
                  <c:v>38.119999999999997</c:v>
                </c:pt>
                <c:pt idx="79">
                  <c:v>38.119999999999997</c:v>
                </c:pt>
                <c:pt idx="80">
                  <c:v>38.119999999999997</c:v>
                </c:pt>
                <c:pt idx="81">
                  <c:v>38.119999999999997</c:v>
                </c:pt>
                <c:pt idx="82">
                  <c:v>38.119999999999997</c:v>
                </c:pt>
                <c:pt idx="83">
                  <c:v>38.119999999999997</c:v>
                </c:pt>
                <c:pt idx="84">
                  <c:v>38.119999999999997</c:v>
                </c:pt>
                <c:pt idx="85">
                  <c:v>38.119999999999997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21-4061-BCF5-33B712F67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[7]报价及预中标!$J$1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[7]报价及预中标!$J$2:$J$97</c:f>
              <c:numCache>
                <c:formatCode>General</c:formatCode>
                <c:ptCount val="96"/>
                <c:pt idx="0">
                  <c:v>399</c:v>
                </c:pt>
                <c:pt idx="1">
                  <c:v>395.59</c:v>
                </c:pt>
                <c:pt idx="2">
                  <c:v>394</c:v>
                </c:pt>
                <c:pt idx="3">
                  <c:v>393</c:v>
                </c:pt>
                <c:pt idx="4">
                  <c:v>390</c:v>
                </c:pt>
                <c:pt idx="5">
                  <c:v>386</c:v>
                </c:pt>
                <c:pt idx="6">
                  <c:v>383.75</c:v>
                </c:pt>
                <c:pt idx="7">
                  <c:v>383.75</c:v>
                </c:pt>
                <c:pt idx="8">
                  <c:v>403</c:v>
                </c:pt>
                <c:pt idx="9">
                  <c:v>404</c:v>
                </c:pt>
                <c:pt idx="10">
                  <c:v>400.38</c:v>
                </c:pt>
                <c:pt idx="11">
                  <c:v>395.59</c:v>
                </c:pt>
                <c:pt idx="12">
                  <c:v>389.38</c:v>
                </c:pt>
                <c:pt idx="13">
                  <c:v>388</c:v>
                </c:pt>
                <c:pt idx="14">
                  <c:v>384.39</c:v>
                </c:pt>
                <c:pt idx="15">
                  <c:v>383.75</c:v>
                </c:pt>
                <c:pt idx="16">
                  <c:v>383.75</c:v>
                </c:pt>
                <c:pt idx="17">
                  <c:v>385.63</c:v>
                </c:pt>
                <c:pt idx="18">
                  <c:v>385.63</c:v>
                </c:pt>
                <c:pt idx="19">
                  <c:v>390</c:v>
                </c:pt>
                <c:pt idx="20">
                  <c:v>398</c:v>
                </c:pt>
                <c:pt idx="21">
                  <c:v>395</c:v>
                </c:pt>
                <c:pt idx="22">
                  <c:v>393.2</c:v>
                </c:pt>
                <c:pt idx="23">
                  <c:v>387.5</c:v>
                </c:pt>
                <c:pt idx="24">
                  <c:v>392</c:v>
                </c:pt>
                <c:pt idx="25">
                  <c:v>400</c:v>
                </c:pt>
                <c:pt idx="26">
                  <c:v>407</c:v>
                </c:pt>
                <c:pt idx="27">
                  <c:v>410</c:v>
                </c:pt>
                <c:pt idx="28">
                  <c:v>413</c:v>
                </c:pt>
                <c:pt idx="29">
                  <c:v>421</c:v>
                </c:pt>
                <c:pt idx="30">
                  <c:v>434.38</c:v>
                </c:pt>
                <c:pt idx="31">
                  <c:v>436.25</c:v>
                </c:pt>
                <c:pt idx="32">
                  <c:v>433.54</c:v>
                </c:pt>
                <c:pt idx="33">
                  <c:v>419</c:v>
                </c:pt>
                <c:pt idx="34">
                  <c:v>395</c:v>
                </c:pt>
                <c:pt idx="35">
                  <c:v>368.94</c:v>
                </c:pt>
                <c:pt idx="36">
                  <c:v>360</c:v>
                </c:pt>
                <c:pt idx="37">
                  <c:v>314</c:v>
                </c:pt>
                <c:pt idx="38">
                  <c:v>164</c:v>
                </c:pt>
                <c:pt idx="39">
                  <c:v>56.8</c:v>
                </c:pt>
                <c:pt idx="40">
                  <c:v>280</c:v>
                </c:pt>
                <c:pt idx="41">
                  <c:v>215.2</c:v>
                </c:pt>
                <c:pt idx="42">
                  <c:v>0</c:v>
                </c:pt>
                <c:pt idx="43">
                  <c:v>-80</c:v>
                </c:pt>
                <c:pt idx="44">
                  <c:v>-80</c:v>
                </c:pt>
                <c:pt idx="45">
                  <c:v>-80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-80</c:v>
                </c:pt>
                <c:pt idx="50">
                  <c:v>-80</c:v>
                </c:pt>
                <c:pt idx="51">
                  <c:v>-80</c:v>
                </c:pt>
                <c:pt idx="52">
                  <c:v>-80</c:v>
                </c:pt>
                <c:pt idx="53">
                  <c:v>-80</c:v>
                </c:pt>
                <c:pt idx="54">
                  <c:v>-80</c:v>
                </c:pt>
                <c:pt idx="55">
                  <c:v>-80</c:v>
                </c:pt>
                <c:pt idx="56">
                  <c:v>-80</c:v>
                </c:pt>
                <c:pt idx="57">
                  <c:v>-80</c:v>
                </c:pt>
                <c:pt idx="58">
                  <c:v>106</c:v>
                </c:pt>
                <c:pt idx="59">
                  <c:v>0</c:v>
                </c:pt>
                <c:pt idx="60">
                  <c:v>106</c:v>
                </c:pt>
                <c:pt idx="61">
                  <c:v>306.16000000000003</c:v>
                </c:pt>
                <c:pt idx="62">
                  <c:v>368</c:v>
                </c:pt>
                <c:pt idx="63">
                  <c:v>382</c:v>
                </c:pt>
                <c:pt idx="64">
                  <c:v>405.12</c:v>
                </c:pt>
                <c:pt idx="65">
                  <c:v>421.67</c:v>
                </c:pt>
                <c:pt idx="66">
                  <c:v>437</c:v>
                </c:pt>
                <c:pt idx="67">
                  <c:v>440</c:v>
                </c:pt>
                <c:pt idx="68">
                  <c:v>436.96</c:v>
                </c:pt>
                <c:pt idx="69">
                  <c:v>436.25</c:v>
                </c:pt>
                <c:pt idx="70">
                  <c:v>434.38</c:v>
                </c:pt>
                <c:pt idx="71">
                  <c:v>434.38</c:v>
                </c:pt>
                <c:pt idx="72">
                  <c:v>434.38</c:v>
                </c:pt>
                <c:pt idx="73">
                  <c:v>434.38</c:v>
                </c:pt>
                <c:pt idx="74">
                  <c:v>434.38</c:v>
                </c:pt>
                <c:pt idx="75">
                  <c:v>434.38</c:v>
                </c:pt>
                <c:pt idx="76">
                  <c:v>434.38</c:v>
                </c:pt>
                <c:pt idx="77">
                  <c:v>434.38</c:v>
                </c:pt>
                <c:pt idx="78">
                  <c:v>434.38</c:v>
                </c:pt>
                <c:pt idx="79">
                  <c:v>434.38</c:v>
                </c:pt>
                <c:pt idx="80">
                  <c:v>434.38</c:v>
                </c:pt>
                <c:pt idx="81">
                  <c:v>434.38</c:v>
                </c:pt>
                <c:pt idx="82">
                  <c:v>434.38</c:v>
                </c:pt>
                <c:pt idx="83">
                  <c:v>434.38</c:v>
                </c:pt>
                <c:pt idx="84">
                  <c:v>434.38</c:v>
                </c:pt>
                <c:pt idx="85">
                  <c:v>434.38</c:v>
                </c:pt>
                <c:pt idx="86">
                  <c:v>434.38</c:v>
                </c:pt>
                <c:pt idx="87">
                  <c:v>434.38</c:v>
                </c:pt>
                <c:pt idx="88">
                  <c:v>430.63</c:v>
                </c:pt>
                <c:pt idx="89">
                  <c:v>421</c:v>
                </c:pt>
                <c:pt idx="90">
                  <c:v>414</c:v>
                </c:pt>
                <c:pt idx="91">
                  <c:v>408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F1-49D8-8EC2-7DB4ABB5BF5B}"/>
            </c:ext>
          </c:extLst>
        </c:ser>
        <c:ser>
          <c:idx val="1"/>
          <c:order val="1"/>
          <c:tx>
            <c:strRef>
              <c:f>[7]报价及预中标!$K$1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[7]报价及预中标!$K$2:$K$97</c:f>
              <c:numCache>
                <c:formatCode>General</c:formatCode>
                <c:ptCount val="96"/>
                <c:pt idx="0">
                  <c:v>399</c:v>
                </c:pt>
                <c:pt idx="1">
                  <c:v>395.59</c:v>
                </c:pt>
                <c:pt idx="2">
                  <c:v>394</c:v>
                </c:pt>
                <c:pt idx="3">
                  <c:v>393</c:v>
                </c:pt>
                <c:pt idx="4">
                  <c:v>390</c:v>
                </c:pt>
                <c:pt idx="5">
                  <c:v>386</c:v>
                </c:pt>
                <c:pt idx="6">
                  <c:v>383.75</c:v>
                </c:pt>
                <c:pt idx="7">
                  <c:v>383.75</c:v>
                </c:pt>
                <c:pt idx="8">
                  <c:v>403</c:v>
                </c:pt>
                <c:pt idx="9">
                  <c:v>404</c:v>
                </c:pt>
                <c:pt idx="10">
                  <c:v>400.38</c:v>
                </c:pt>
                <c:pt idx="11">
                  <c:v>395.59</c:v>
                </c:pt>
                <c:pt idx="12">
                  <c:v>389.38</c:v>
                </c:pt>
                <c:pt idx="13">
                  <c:v>388</c:v>
                </c:pt>
                <c:pt idx="14">
                  <c:v>384.39</c:v>
                </c:pt>
                <c:pt idx="15">
                  <c:v>383.75</c:v>
                </c:pt>
                <c:pt idx="16">
                  <c:v>383.75</c:v>
                </c:pt>
                <c:pt idx="17">
                  <c:v>385.63</c:v>
                </c:pt>
                <c:pt idx="18">
                  <c:v>385.63</c:v>
                </c:pt>
                <c:pt idx="19">
                  <c:v>390</c:v>
                </c:pt>
                <c:pt idx="20">
                  <c:v>398</c:v>
                </c:pt>
                <c:pt idx="21">
                  <c:v>395</c:v>
                </c:pt>
                <c:pt idx="22">
                  <c:v>393.2</c:v>
                </c:pt>
                <c:pt idx="23">
                  <c:v>387.5</c:v>
                </c:pt>
                <c:pt idx="24">
                  <c:v>392</c:v>
                </c:pt>
                <c:pt idx="25">
                  <c:v>400</c:v>
                </c:pt>
                <c:pt idx="26">
                  <c:v>407</c:v>
                </c:pt>
                <c:pt idx="27">
                  <c:v>410</c:v>
                </c:pt>
                <c:pt idx="28">
                  <c:v>413</c:v>
                </c:pt>
                <c:pt idx="29">
                  <c:v>421</c:v>
                </c:pt>
                <c:pt idx="30">
                  <c:v>434.38</c:v>
                </c:pt>
                <c:pt idx="31">
                  <c:v>436.25</c:v>
                </c:pt>
                <c:pt idx="32">
                  <c:v>433.54</c:v>
                </c:pt>
                <c:pt idx="33">
                  <c:v>419</c:v>
                </c:pt>
                <c:pt idx="34">
                  <c:v>395</c:v>
                </c:pt>
                <c:pt idx="35">
                  <c:v>368.94</c:v>
                </c:pt>
                <c:pt idx="36">
                  <c:v>360</c:v>
                </c:pt>
                <c:pt idx="37">
                  <c:v>314</c:v>
                </c:pt>
                <c:pt idx="38">
                  <c:v>164</c:v>
                </c:pt>
                <c:pt idx="39">
                  <c:v>56.8</c:v>
                </c:pt>
                <c:pt idx="40">
                  <c:v>280</c:v>
                </c:pt>
                <c:pt idx="41">
                  <c:v>215.2</c:v>
                </c:pt>
                <c:pt idx="42">
                  <c:v>0</c:v>
                </c:pt>
                <c:pt idx="43">
                  <c:v>-80</c:v>
                </c:pt>
                <c:pt idx="44">
                  <c:v>-80</c:v>
                </c:pt>
                <c:pt idx="45">
                  <c:v>-80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-80</c:v>
                </c:pt>
                <c:pt idx="50">
                  <c:v>-80</c:v>
                </c:pt>
                <c:pt idx="51">
                  <c:v>-80</c:v>
                </c:pt>
                <c:pt idx="52">
                  <c:v>-80</c:v>
                </c:pt>
                <c:pt idx="53">
                  <c:v>-80</c:v>
                </c:pt>
                <c:pt idx="54">
                  <c:v>-80</c:v>
                </c:pt>
                <c:pt idx="55">
                  <c:v>-80</c:v>
                </c:pt>
                <c:pt idx="56">
                  <c:v>-80</c:v>
                </c:pt>
                <c:pt idx="57">
                  <c:v>-80</c:v>
                </c:pt>
                <c:pt idx="58">
                  <c:v>106</c:v>
                </c:pt>
                <c:pt idx="59">
                  <c:v>0</c:v>
                </c:pt>
                <c:pt idx="60">
                  <c:v>106</c:v>
                </c:pt>
                <c:pt idx="61">
                  <c:v>306.16000000000003</c:v>
                </c:pt>
                <c:pt idx="62">
                  <c:v>368</c:v>
                </c:pt>
                <c:pt idx="63">
                  <c:v>382</c:v>
                </c:pt>
                <c:pt idx="64">
                  <c:v>405.12</c:v>
                </c:pt>
                <c:pt idx="65">
                  <c:v>421.67</c:v>
                </c:pt>
                <c:pt idx="66">
                  <c:v>437</c:v>
                </c:pt>
                <c:pt idx="67">
                  <c:v>440</c:v>
                </c:pt>
                <c:pt idx="68">
                  <c:v>436.96</c:v>
                </c:pt>
                <c:pt idx="69">
                  <c:v>436.25</c:v>
                </c:pt>
                <c:pt idx="70">
                  <c:v>434.38</c:v>
                </c:pt>
                <c:pt idx="71">
                  <c:v>434.38</c:v>
                </c:pt>
                <c:pt idx="72">
                  <c:v>434.38</c:v>
                </c:pt>
                <c:pt idx="73">
                  <c:v>434.38</c:v>
                </c:pt>
                <c:pt idx="74">
                  <c:v>434.38</c:v>
                </c:pt>
                <c:pt idx="75">
                  <c:v>434.38</c:v>
                </c:pt>
                <c:pt idx="76">
                  <c:v>434.38</c:v>
                </c:pt>
                <c:pt idx="77">
                  <c:v>434.38</c:v>
                </c:pt>
                <c:pt idx="78">
                  <c:v>434.38</c:v>
                </c:pt>
                <c:pt idx="79">
                  <c:v>434.38</c:v>
                </c:pt>
                <c:pt idx="80">
                  <c:v>434.38</c:v>
                </c:pt>
                <c:pt idx="81">
                  <c:v>434.38</c:v>
                </c:pt>
                <c:pt idx="82">
                  <c:v>434.38</c:v>
                </c:pt>
                <c:pt idx="83">
                  <c:v>434.38</c:v>
                </c:pt>
                <c:pt idx="84">
                  <c:v>434.38</c:v>
                </c:pt>
                <c:pt idx="85">
                  <c:v>434.38</c:v>
                </c:pt>
                <c:pt idx="86">
                  <c:v>434.38</c:v>
                </c:pt>
                <c:pt idx="87">
                  <c:v>434.38</c:v>
                </c:pt>
                <c:pt idx="88">
                  <c:v>430.63</c:v>
                </c:pt>
                <c:pt idx="89">
                  <c:v>421</c:v>
                </c:pt>
                <c:pt idx="90">
                  <c:v>414</c:v>
                </c:pt>
                <c:pt idx="91">
                  <c:v>408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F1-49D8-8EC2-7DB4ABB5B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[8]报价及预中标!$N$1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[8]报价及预中标!$N$2:$N$97</c:f>
              <c:numCache>
                <c:formatCode>General</c:formatCode>
                <c:ptCount val="96"/>
                <c:pt idx="0">
                  <c:v>-0.1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-36.65</c:v>
                </c:pt>
                <c:pt idx="46">
                  <c:v>-36.65</c:v>
                </c:pt>
                <c:pt idx="47">
                  <c:v>-36.65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59.89</c:v>
                </c:pt>
                <c:pt idx="70">
                  <c:v>59.89</c:v>
                </c:pt>
                <c:pt idx="71">
                  <c:v>59.89</c:v>
                </c:pt>
                <c:pt idx="72">
                  <c:v>59.89</c:v>
                </c:pt>
                <c:pt idx="73">
                  <c:v>59.89</c:v>
                </c:pt>
                <c:pt idx="74">
                  <c:v>59.89</c:v>
                </c:pt>
                <c:pt idx="75">
                  <c:v>59.89</c:v>
                </c:pt>
                <c:pt idx="76">
                  <c:v>59.89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20.05</c:v>
                </c:pt>
                <c:pt idx="81">
                  <c:v>20.05</c:v>
                </c:pt>
                <c:pt idx="82">
                  <c:v>20.05</c:v>
                </c:pt>
                <c:pt idx="83">
                  <c:v>20.05</c:v>
                </c:pt>
                <c:pt idx="84">
                  <c:v>20.05</c:v>
                </c:pt>
                <c:pt idx="85">
                  <c:v>20.05</c:v>
                </c:pt>
                <c:pt idx="86">
                  <c:v>20.05</c:v>
                </c:pt>
                <c:pt idx="87">
                  <c:v>20.05</c:v>
                </c:pt>
                <c:pt idx="88">
                  <c:v>20.05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B-43E1-9EE9-BD12947F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[8]报价及预中标!$J$1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[8]报价及预中标!$J$2:$J$97</c:f>
              <c:numCache>
                <c:formatCode>General</c:formatCode>
                <c:ptCount val="96"/>
                <c:pt idx="0">
                  <c:v>289.33</c:v>
                </c:pt>
                <c:pt idx="1">
                  <c:v>292.01</c:v>
                </c:pt>
                <c:pt idx="2">
                  <c:v>291.27999999999997</c:v>
                </c:pt>
                <c:pt idx="3">
                  <c:v>288.06</c:v>
                </c:pt>
                <c:pt idx="4">
                  <c:v>286.08999999999997</c:v>
                </c:pt>
                <c:pt idx="5">
                  <c:v>285.13</c:v>
                </c:pt>
                <c:pt idx="6">
                  <c:v>284.11</c:v>
                </c:pt>
                <c:pt idx="7">
                  <c:v>284.11</c:v>
                </c:pt>
                <c:pt idx="8">
                  <c:v>295</c:v>
                </c:pt>
                <c:pt idx="9">
                  <c:v>298.32</c:v>
                </c:pt>
                <c:pt idx="10">
                  <c:v>298.32</c:v>
                </c:pt>
                <c:pt idx="11">
                  <c:v>295.95</c:v>
                </c:pt>
                <c:pt idx="12">
                  <c:v>296.55</c:v>
                </c:pt>
                <c:pt idx="13">
                  <c:v>298.32</c:v>
                </c:pt>
                <c:pt idx="14">
                  <c:v>298.32</c:v>
                </c:pt>
                <c:pt idx="15">
                  <c:v>299.89</c:v>
                </c:pt>
                <c:pt idx="16">
                  <c:v>301.47000000000003</c:v>
                </c:pt>
                <c:pt idx="17">
                  <c:v>302.66000000000003</c:v>
                </c:pt>
                <c:pt idx="18">
                  <c:v>308.97000000000003</c:v>
                </c:pt>
                <c:pt idx="19">
                  <c:v>313.75</c:v>
                </c:pt>
                <c:pt idx="20">
                  <c:v>324</c:v>
                </c:pt>
                <c:pt idx="21">
                  <c:v>320</c:v>
                </c:pt>
                <c:pt idx="22">
                  <c:v>324</c:v>
                </c:pt>
                <c:pt idx="23">
                  <c:v>320.81</c:v>
                </c:pt>
                <c:pt idx="24">
                  <c:v>323.63</c:v>
                </c:pt>
                <c:pt idx="25">
                  <c:v>336.32</c:v>
                </c:pt>
                <c:pt idx="26">
                  <c:v>356</c:v>
                </c:pt>
                <c:pt idx="27">
                  <c:v>368</c:v>
                </c:pt>
                <c:pt idx="28">
                  <c:v>372</c:v>
                </c:pt>
                <c:pt idx="29">
                  <c:v>395.53</c:v>
                </c:pt>
                <c:pt idx="30">
                  <c:v>415</c:v>
                </c:pt>
                <c:pt idx="31">
                  <c:v>411.75</c:v>
                </c:pt>
                <c:pt idx="32">
                  <c:v>414.26</c:v>
                </c:pt>
                <c:pt idx="33">
                  <c:v>404.38</c:v>
                </c:pt>
                <c:pt idx="34">
                  <c:v>385</c:v>
                </c:pt>
                <c:pt idx="35">
                  <c:v>352</c:v>
                </c:pt>
                <c:pt idx="36">
                  <c:v>320</c:v>
                </c:pt>
                <c:pt idx="37">
                  <c:v>298.13</c:v>
                </c:pt>
                <c:pt idx="38">
                  <c:v>282.01</c:v>
                </c:pt>
                <c:pt idx="39">
                  <c:v>205.65</c:v>
                </c:pt>
                <c:pt idx="40">
                  <c:v>211.05</c:v>
                </c:pt>
                <c:pt idx="41">
                  <c:v>206</c:v>
                </c:pt>
                <c:pt idx="42">
                  <c:v>188.14</c:v>
                </c:pt>
                <c:pt idx="43">
                  <c:v>172</c:v>
                </c:pt>
                <c:pt idx="44">
                  <c:v>248.6</c:v>
                </c:pt>
                <c:pt idx="45">
                  <c:v>23.4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-82.82</c:v>
                </c:pt>
                <c:pt idx="50">
                  <c:v>0</c:v>
                </c:pt>
                <c:pt idx="51">
                  <c:v>6.4</c:v>
                </c:pt>
                <c:pt idx="52">
                  <c:v>6.4</c:v>
                </c:pt>
                <c:pt idx="53">
                  <c:v>6.4</c:v>
                </c:pt>
                <c:pt idx="54">
                  <c:v>0</c:v>
                </c:pt>
                <c:pt idx="55">
                  <c:v>12.8</c:v>
                </c:pt>
                <c:pt idx="56">
                  <c:v>6.4</c:v>
                </c:pt>
                <c:pt idx="57">
                  <c:v>6.4</c:v>
                </c:pt>
                <c:pt idx="58">
                  <c:v>216.64</c:v>
                </c:pt>
                <c:pt idx="59">
                  <c:v>188</c:v>
                </c:pt>
                <c:pt idx="60">
                  <c:v>168.4</c:v>
                </c:pt>
                <c:pt idx="61">
                  <c:v>287.79000000000002</c:v>
                </c:pt>
                <c:pt idx="62">
                  <c:v>306.52999999999997</c:v>
                </c:pt>
                <c:pt idx="63">
                  <c:v>310.72000000000003</c:v>
                </c:pt>
                <c:pt idx="64">
                  <c:v>357.4</c:v>
                </c:pt>
                <c:pt idx="65">
                  <c:v>400.63</c:v>
                </c:pt>
                <c:pt idx="66">
                  <c:v>426.5</c:v>
                </c:pt>
                <c:pt idx="67">
                  <c:v>434</c:v>
                </c:pt>
                <c:pt idx="68">
                  <c:v>430.25</c:v>
                </c:pt>
                <c:pt idx="69">
                  <c:v>430.25</c:v>
                </c:pt>
                <c:pt idx="70">
                  <c:v>430.25</c:v>
                </c:pt>
                <c:pt idx="71">
                  <c:v>430.25</c:v>
                </c:pt>
                <c:pt idx="72">
                  <c:v>430.25</c:v>
                </c:pt>
                <c:pt idx="73">
                  <c:v>430.25</c:v>
                </c:pt>
                <c:pt idx="74">
                  <c:v>430.25</c:v>
                </c:pt>
                <c:pt idx="75">
                  <c:v>430.25</c:v>
                </c:pt>
                <c:pt idx="76">
                  <c:v>430.25</c:v>
                </c:pt>
                <c:pt idx="77">
                  <c:v>430.25</c:v>
                </c:pt>
                <c:pt idx="78">
                  <c:v>430.25</c:v>
                </c:pt>
                <c:pt idx="79">
                  <c:v>430.25</c:v>
                </c:pt>
                <c:pt idx="80">
                  <c:v>430.25</c:v>
                </c:pt>
                <c:pt idx="81">
                  <c:v>430.25</c:v>
                </c:pt>
                <c:pt idx="82">
                  <c:v>430.25</c:v>
                </c:pt>
                <c:pt idx="83">
                  <c:v>430.25</c:v>
                </c:pt>
                <c:pt idx="84">
                  <c:v>430.25</c:v>
                </c:pt>
                <c:pt idx="85">
                  <c:v>430.25</c:v>
                </c:pt>
                <c:pt idx="86">
                  <c:v>430.25</c:v>
                </c:pt>
                <c:pt idx="87">
                  <c:v>430.25</c:v>
                </c:pt>
                <c:pt idx="88">
                  <c:v>430.25</c:v>
                </c:pt>
                <c:pt idx="89">
                  <c:v>430.25</c:v>
                </c:pt>
                <c:pt idx="90">
                  <c:v>430.25</c:v>
                </c:pt>
                <c:pt idx="91">
                  <c:v>422</c:v>
                </c:pt>
                <c:pt idx="92">
                  <c:v>423.75</c:v>
                </c:pt>
                <c:pt idx="93">
                  <c:v>407.31</c:v>
                </c:pt>
                <c:pt idx="94">
                  <c:v>396.88</c:v>
                </c:pt>
                <c:pt idx="9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02-429D-9A59-F2FA9E6174BA}"/>
            </c:ext>
          </c:extLst>
        </c:ser>
        <c:ser>
          <c:idx val="1"/>
          <c:order val="1"/>
          <c:tx>
            <c:strRef>
              <c:f>[8]报价及预中标!$K$1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[8]报价及预中标!$K$2:$K$97</c:f>
              <c:numCache>
                <c:formatCode>General</c:formatCode>
                <c:ptCount val="96"/>
                <c:pt idx="0">
                  <c:v>289.33</c:v>
                </c:pt>
                <c:pt idx="1">
                  <c:v>292.01</c:v>
                </c:pt>
                <c:pt idx="2">
                  <c:v>291.27999999999997</c:v>
                </c:pt>
                <c:pt idx="3">
                  <c:v>288.06</c:v>
                </c:pt>
                <c:pt idx="4">
                  <c:v>286.08999999999997</c:v>
                </c:pt>
                <c:pt idx="5">
                  <c:v>285.13</c:v>
                </c:pt>
                <c:pt idx="6">
                  <c:v>284.11</c:v>
                </c:pt>
                <c:pt idx="7">
                  <c:v>284.11</c:v>
                </c:pt>
                <c:pt idx="8">
                  <c:v>295</c:v>
                </c:pt>
                <c:pt idx="9">
                  <c:v>298.32</c:v>
                </c:pt>
                <c:pt idx="10">
                  <c:v>298.32</c:v>
                </c:pt>
                <c:pt idx="11">
                  <c:v>295.95</c:v>
                </c:pt>
                <c:pt idx="12">
                  <c:v>296.55</c:v>
                </c:pt>
                <c:pt idx="13">
                  <c:v>298.32</c:v>
                </c:pt>
                <c:pt idx="14">
                  <c:v>298.32</c:v>
                </c:pt>
                <c:pt idx="15">
                  <c:v>299.89</c:v>
                </c:pt>
                <c:pt idx="16">
                  <c:v>301.47000000000003</c:v>
                </c:pt>
                <c:pt idx="17">
                  <c:v>302.66000000000003</c:v>
                </c:pt>
                <c:pt idx="18">
                  <c:v>308.97000000000003</c:v>
                </c:pt>
                <c:pt idx="19">
                  <c:v>313.75</c:v>
                </c:pt>
                <c:pt idx="20">
                  <c:v>324</c:v>
                </c:pt>
                <c:pt idx="21">
                  <c:v>320</c:v>
                </c:pt>
                <c:pt idx="22">
                  <c:v>324</c:v>
                </c:pt>
                <c:pt idx="23">
                  <c:v>320.81</c:v>
                </c:pt>
                <c:pt idx="24">
                  <c:v>323.63</c:v>
                </c:pt>
                <c:pt idx="25">
                  <c:v>336.32</c:v>
                </c:pt>
                <c:pt idx="26">
                  <c:v>356</c:v>
                </c:pt>
                <c:pt idx="27">
                  <c:v>368</c:v>
                </c:pt>
                <c:pt idx="28">
                  <c:v>372</c:v>
                </c:pt>
                <c:pt idx="29">
                  <c:v>395.53</c:v>
                </c:pt>
                <c:pt idx="30">
                  <c:v>415</c:v>
                </c:pt>
                <c:pt idx="31">
                  <c:v>411.75</c:v>
                </c:pt>
                <c:pt idx="32">
                  <c:v>414.26</c:v>
                </c:pt>
                <c:pt idx="33">
                  <c:v>404.38</c:v>
                </c:pt>
                <c:pt idx="34">
                  <c:v>385</c:v>
                </c:pt>
                <c:pt idx="35">
                  <c:v>352</c:v>
                </c:pt>
                <c:pt idx="36">
                  <c:v>320</c:v>
                </c:pt>
                <c:pt idx="37">
                  <c:v>298.13</c:v>
                </c:pt>
                <c:pt idx="38">
                  <c:v>282.01</c:v>
                </c:pt>
                <c:pt idx="39">
                  <c:v>205.65</c:v>
                </c:pt>
                <c:pt idx="40">
                  <c:v>211.05</c:v>
                </c:pt>
                <c:pt idx="41">
                  <c:v>206</c:v>
                </c:pt>
                <c:pt idx="42">
                  <c:v>188.14</c:v>
                </c:pt>
                <c:pt idx="43">
                  <c:v>172</c:v>
                </c:pt>
                <c:pt idx="44">
                  <c:v>248.6</c:v>
                </c:pt>
                <c:pt idx="45">
                  <c:v>23.4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-82.82</c:v>
                </c:pt>
                <c:pt idx="50">
                  <c:v>0</c:v>
                </c:pt>
                <c:pt idx="51">
                  <c:v>6.4</c:v>
                </c:pt>
                <c:pt idx="52">
                  <c:v>6.4</c:v>
                </c:pt>
                <c:pt idx="53">
                  <c:v>6.4</c:v>
                </c:pt>
                <c:pt idx="54">
                  <c:v>0</c:v>
                </c:pt>
                <c:pt idx="55">
                  <c:v>12.8</c:v>
                </c:pt>
                <c:pt idx="56">
                  <c:v>6.4</c:v>
                </c:pt>
                <c:pt idx="57">
                  <c:v>6.4</c:v>
                </c:pt>
                <c:pt idx="58">
                  <c:v>216.64</c:v>
                </c:pt>
                <c:pt idx="59">
                  <c:v>188</c:v>
                </c:pt>
                <c:pt idx="60">
                  <c:v>168.4</c:v>
                </c:pt>
                <c:pt idx="61">
                  <c:v>287.79000000000002</c:v>
                </c:pt>
                <c:pt idx="62">
                  <c:v>306.52999999999997</c:v>
                </c:pt>
                <c:pt idx="63">
                  <c:v>310.72000000000003</c:v>
                </c:pt>
                <c:pt idx="64">
                  <c:v>357.4</c:v>
                </c:pt>
                <c:pt idx="65">
                  <c:v>400.63</c:v>
                </c:pt>
                <c:pt idx="66">
                  <c:v>426.5</c:v>
                </c:pt>
                <c:pt idx="67">
                  <c:v>434</c:v>
                </c:pt>
                <c:pt idx="68">
                  <c:v>430.25</c:v>
                </c:pt>
                <c:pt idx="69">
                  <c:v>430.25</c:v>
                </c:pt>
                <c:pt idx="70">
                  <c:v>430.25</c:v>
                </c:pt>
                <c:pt idx="71">
                  <c:v>430.25</c:v>
                </c:pt>
                <c:pt idx="72">
                  <c:v>430.25</c:v>
                </c:pt>
                <c:pt idx="73">
                  <c:v>430.25</c:v>
                </c:pt>
                <c:pt idx="74">
                  <c:v>430.25</c:v>
                </c:pt>
                <c:pt idx="75">
                  <c:v>430.25</c:v>
                </c:pt>
                <c:pt idx="76">
                  <c:v>430.25</c:v>
                </c:pt>
                <c:pt idx="77">
                  <c:v>430.25</c:v>
                </c:pt>
                <c:pt idx="78">
                  <c:v>430.25</c:v>
                </c:pt>
                <c:pt idx="79">
                  <c:v>430.25</c:v>
                </c:pt>
                <c:pt idx="80">
                  <c:v>430.25</c:v>
                </c:pt>
                <c:pt idx="81">
                  <c:v>430.25</c:v>
                </c:pt>
                <c:pt idx="82">
                  <c:v>430.25</c:v>
                </c:pt>
                <c:pt idx="83">
                  <c:v>430.25</c:v>
                </c:pt>
                <c:pt idx="84">
                  <c:v>430.25</c:v>
                </c:pt>
                <c:pt idx="85">
                  <c:v>430.25</c:v>
                </c:pt>
                <c:pt idx="86">
                  <c:v>430.25</c:v>
                </c:pt>
                <c:pt idx="87">
                  <c:v>430.25</c:v>
                </c:pt>
                <c:pt idx="88">
                  <c:v>430.25</c:v>
                </c:pt>
                <c:pt idx="89">
                  <c:v>430.25</c:v>
                </c:pt>
                <c:pt idx="90">
                  <c:v>430.25</c:v>
                </c:pt>
                <c:pt idx="91">
                  <c:v>422</c:v>
                </c:pt>
                <c:pt idx="92">
                  <c:v>423.75</c:v>
                </c:pt>
                <c:pt idx="93">
                  <c:v>407.31</c:v>
                </c:pt>
                <c:pt idx="94">
                  <c:v>396.88</c:v>
                </c:pt>
                <c:pt idx="9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02-429D-9A59-F2FA9E617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[9]报价及预中标!$N$1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[9]报价及预中标!$N$2:$N$97</c:f>
              <c:numCache>
                <c:formatCode>General</c:formatCode>
                <c:ptCount val="96"/>
                <c:pt idx="0">
                  <c:v>-31.94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-95</c:v>
                </c:pt>
                <c:pt idx="49">
                  <c:v>-100</c:v>
                </c:pt>
                <c:pt idx="50">
                  <c:v>-95</c:v>
                </c:pt>
                <c:pt idx="51">
                  <c:v>-95</c:v>
                </c:pt>
                <c:pt idx="52">
                  <c:v>-69.760000000000005</c:v>
                </c:pt>
                <c:pt idx="53">
                  <c:v>-69.760000000000005</c:v>
                </c:pt>
                <c:pt idx="54">
                  <c:v>-69.760000000000005</c:v>
                </c:pt>
                <c:pt idx="55">
                  <c:v>-69.760000000000005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28.68</c:v>
                </c:pt>
                <c:pt idx="65">
                  <c:v>28.68</c:v>
                </c:pt>
                <c:pt idx="66">
                  <c:v>28.68</c:v>
                </c:pt>
                <c:pt idx="67">
                  <c:v>28.68</c:v>
                </c:pt>
                <c:pt idx="68">
                  <c:v>28.68</c:v>
                </c:pt>
                <c:pt idx="69">
                  <c:v>28.68</c:v>
                </c:pt>
                <c:pt idx="70">
                  <c:v>28.68</c:v>
                </c:pt>
                <c:pt idx="71">
                  <c:v>28.68</c:v>
                </c:pt>
                <c:pt idx="72">
                  <c:v>28.68</c:v>
                </c:pt>
                <c:pt idx="73">
                  <c:v>28.68</c:v>
                </c:pt>
                <c:pt idx="74">
                  <c:v>28.68</c:v>
                </c:pt>
                <c:pt idx="75">
                  <c:v>28.68</c:v>
                </c:pt>
                <c:pt idx="76">
                  <c:v>28.68</c:v>
                </c:pt>
                <c:pt idx="77">
                  <c:v>28.68</c:v>
                </c:pt>
                <c:pt idx="78">
                  <c:v>28.68</c:v>
                </c:pt>
                <c:pt idx="79">
                  <c:v>28.68</c:v>
                </c:pt>
                <c:pt idx="80">
                  <c:v>28.68</c:v>
                </c:pt>
                <c:pt idx="81">
                  <c:v>28.68</c:v>
                </c:pt>
                <c:pt idx="82">
                  <c:v>28.68</c:v>
                </c:pt>
                <c:pt idx="83">
                  <c:v>28.68</c:v>
                </c:pt>
                <c:pt idx="84">
                  <c:v>28.68</c:v>
                </c:pt>
                <c:pt idx="85">
                  <c:v>28.68</c:v>
                </c:pt>
                <c:pt idx="86">
                  <c:v>28.68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54-4A74-8B7A-CA77397EF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[9]报价及预中标!$J$1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[9]报价及预中标!$J$2:$J$97</c:f>
              <c:numCache>
                <c:formatCode>General</c:formatCode>
                <c:ptCount val="96"/>
                <c:pt idx="0">
                  <c:v>353.29</c:v>
                </c:pt>
                <c:pt idx="1">
                  <c:v>351.14</c:v>
                </c:pt>
                <c:pt idx="2">
                  <c:v>350.63</c:v>
                </c:pt>
                <c:pt idx="3">
                  <c:v>348.75</c:v>
                </c:pt>
                <c:pt idx="4">
                  <c:v>347</c:v>
                </c:pt>
                <c:pt idx="5">
                  <c:v>344</c:v>
                </c:pt>
                <c:pt idx="6">
                  <c:v>344</c:v>
                </c:pt>
                <c:pt idx="7">
                  <c:v>342.09</c:v>
                </c:pt>
                <c:pt idx="8">
                  <c:v>356.25</c:v>
                </c:pt>
                <c:pt idx="9">
                  <c:v>356.25</c:v>
                </c:pt>
                <c:pt idx="10">
                  <c:v>355</c:v>
                </c:pt>
                <c:pt idx="11">
                  <c:v>350</c:v>
                </c:pt>
                <c:pt idx="12">
                  <c:v>350</c:v>
                </c:pt>
                <c:pt idx="13">
                  <c:v>348</c:v>
                </c:pt>
                <c:pt idx="14">
                  <c:v>347.71</c:v>
                </c:pt>
                <c:pt idx="15">
                  <c:v>345.77</c:v>
                </c:pt>
                <c:pt idx="16">
                  <c:v>346</c:v>
                </c:pt>
                <c:pt idx="17">
                  <c:v>347</c:v>
                </c:pt>
                <c:pt idx="18">
                  <c:v>348</c:v>
                </c:pt>
                <c:pt idx="19">
                  <c:v>350</c:v>
                </c:pt>
                <c:pt idx="20">
                  <c:v>354.38</c:v>
                </c:pt>
                <c:pt idx="21">
                  <c:v>350</c:v>
                </c:pt>
                <c:pt idx="22">
                  <c:v>345</c:v>
                </c:pt>
                <c:pt idx="23">
                  <c:v>340.33</c:v>
                </c:pt>
                <c:pt idx="24">
                  <c:v>339</c:v>
                </c:pt>
                <c:pt idx="25">
                  <c:v>339</c:v>
                </c:pt>
                <c:pt idx="26">
                  <c:v>340</c:v>
                </c:pt>
                <c:pt idx="27">
                  <c:v>340</c:v>
                </c:pt>
                <c:pt idx="28">
                  <c:v>342</c:v>
                </c:pt>
                <c:pt idx="29">
                  <c:v>356</c:v>
                </c:pt>
                <c:pt idx="30">
                  <c:v>370</c:v>
                </c:pt>
                <c:pt idx="31">
                  <c:v>371.33</c:v>
                </c:pt>
                <c:pt idx="32">
                  <c:v>368</c:v>
                </c:pt>
                <c:pt idx="33">
                  <c:v>354</c:v>
                </c:pt>
                <c:pt idx="34">
                  <c:v>339</c:v>
                </c:pt>
                <c:pt idx="35">
                  <c:v>328</c:v>
                </c:pt>
                <c:pt idx="36">
                  <c:v>320.75</c:v>
                </c:pt>
                <c:pt idx="37">
                  <c:v>314</c:v>
                </c:pt>
                <c:pt idx="38">
                  <c:v>224</c:v>
                </c:pt>
                <c:pt idx="39">
                  <c:v>108</c:v>
                </c:pt>
                <c:pt idx="40">
                  <c:v>124.2</c:v>
                </c:pt>
                <c:pt idx="41">
                  <c:v>167.4</c:v>
                </c:pt>
                <c:pt idx="42">
                  <c:v>124.2</c:v>
                </c:pt>
                <c:pt idx="43">
                  <c:v>34.700000000000003</c:v>
                </c:pt>
                <c:pt idx="44">
                  <c:v>143.6</c:v>
                </c:pt>
                <c:pt idx="45">
                  <c:v>122.4</c:v>
                </c:pt>
                <c:pt idx="46">
                  <c:v>-51.51</c:v>
                </c:pt>
                <c:pt idx="47">
                  <c:v>-58</c:v>
                </c:pt>
                <c:pt idx="48">
                  <c:v>-24.26</c:v>
                </c:pt>
                <c:pt idx="49">
                  <c:v>-80</c:v>
                </c:pt>
                <c:pt idx="50">
                  <c:v>-14.4</c:v>
                </c:pt>
                <c:pt idx="51">
                  <c:v>0</c:v>
                </c:pt>
                <c:pt idx="52">
                  <c:v>69.400000000000006</c:v>
                </c:pt>
                <c:pt idx="53">
                  <c:v>34.700000000000003</c:v>
                </c:pt>
                <c:pt idx="54">
                  <c:v>34.700000000000003</c:v>
                </c:pt>
                <c:pt idx="55">
                  <c:v>34.700000000000003</c:v>
                </c:pt>
                <c:pt idx="56">
                  <c:v>34.700000000000003</c:v>
                </c:pt>
                <c:pt idx="57">
                  <c:v>91.8</c:v>
                </c:pt>
                <c:pt idx="58">
                  <c:v>124.2</c:v>
                </c:pt>
                <c:pt idx="59">
                  <c:v>124.2</c:v>
                </c:pt>
                <c:pt idx="60">
                  <c:v>104</c:v>
                </c:pt>
                <c:pt idx="61">
                  <c:v>316</c:v>
                </c:pt>
                <c:pt idx="62">
                  <c:v>330</c:v>
                </c:pt>
                <c:pt idx="63">
                  <c:v>334.38</c:v>
                </c:pt>
                <c:pt idx="64">
                  <c:v>345</c:v>
                </c:pt>
                <c:pt idx="65">
                  <c:v>354.38</c:v>
                </c:pt>
                <c:pt idx="66">
                  <c:v>367.03</c:v>
                </c:pt>
                <c:pt idx="67">
                  <c:v>370</c:v>
                </c:pt>
                <c:pt idx="68">
                  <c:v>371.47</c:v>
                </c:pt>
                <c:pt idx="69">
                  <c:v>368.33</c:v>
                </c:pt>
                <c:pt idx="70">
                  <c:v>362.7</c:v>
                </c:pt>
                <c:pt idx="71">
                  <c:v>362.7</c:v>
                </c:pt>
                <c:pt idx="72">
                  <c:v>362.7</c:v>
                </c:pt>
                <c:pt idx="73">
                  <c:v>362.7</c:v>
                </c:pt>
                <c:pt idx="74">
                  <c:v>362.7</c:v>
                </c:pt>
                <c:pt idx="75">
                  <c:v>362.7</c:v>
                </c:pt>
                <c:pt idx="76">
                  <c:v>362.7</c:v>
                </c:pt>
                <c:pt idx="77">
                  <c:v>362.7</c:v>
                </c:pt>
                <c:pt idx="78">
                  <c:v>362.7</c:v>
                </c:pt>
                <c:pt idx="79">
                  <c:v>362.7</c:v>
                </c:pt>
                <c:pt idx="80">
                  <c:v>362.7</c:v>
                </c:pt>
                <c:pt idx="81">
                  <c:v>362.7</c:v>
                </c:pt>
                <c:pt idx="82">
                  <c:v>362.7</c:v>
                </c:pt>
                <c:pt idx="83">
                  <c:v>362.7</c:v>
                </c:pt>
                <c:pt idx="84">
                  <c:v>362.7</c:v>
                </c:pt>
                <c:pt idx="85">
                  <c:v>362.7</c:v>
                </c:pt>
                <c:pt idx="86">
                  <c:v>362.7</c:v>
                </c:pt>
                <c:pt idx="87">
                  <c:v>362.7</c:v>
                </c:pt>
                <c:pt idx="88">
                  <c:v>360</c:v>
                </c:pt>
                <c:pt idx="89">
                  <c:v>352.5</c:v>
                </c:pt>
                <c:pt idx="90">
                  <c:v>346.88</c:v>
                </c:pt>
                <c:pt idx="91">
                  <c:v>340</c:v>
                </c:pt>
                <c:pt idx="92">
                  <c:v>340.5</c:v>
                </c:pt>
                <c:pt idx="93">
                  <c:v>336</c:v>
                </c:pt>
                <c:pt idx="94">
                  <c:v>332</c:v>
                </c:pt>
                <c:pt idx="95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A9-4B27-9A69-788A157D0DE8}"/>
            </c:ext>
          </c:extLst>
        </c:ser>
        <c:ser>
          <c:idx val="1"/>
          <c:order val="1"/>
          <c:tx>
            <c:strRef>
              <c:f>[9]报价及预中标!$K$1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[9]报价及预中标!$K$2:$K$97</c:f>
              <c:numCache>
                <c:formatCode>General</c:formatCode>
                <c:ptCount val="96"/>
                <c:pt idx="0">
                  <c:v>353.29</c:v>
                </c:pt>
                <c:pt idx="1">
                  <c:v>351.14</c:v>
                </c:pt>
                <c:pt idx="2">
                  <c:v>350.63</c:v>
                </c:pt>
                <c:pt idx="3">
                  <c:v>348.75</c:v>
                </c:pt>
                <c:pt idx="4">
                  <c:v>347</c:v>
                </c:pt>
                <c:pt idx="5">
                  <c:v>344</c:v>
                </c:pt>
                <c:pt idx="6">
                  <c:v>344</c:v>
                </c:pt>
                <c:pt idx="7">
                  <c:v>342.09</c:v>
                </c:pt>
                <c:pt idx="8">
                  <c:v>356.25</c:v>
                </c:pt>
                <c:pt idx="9">
                  <c:v>356.25</c:v>
                </c:pt>
                <c:pt idx="10">
                  <c:v>355</c:v>
                </c:pt>
                <c:pt idx="11">
                  <c:v>350</c:v>
                </c:pt>
                <c:pt idx="12">
                  <c:v>350</c:v>
                </c:pt>
                <c:pt idx="13">
                  <c:v>348</c:v>
                </c:pt>
                <c:pt idx="14">
                  <c:v>347.71</c:v>
                </c:pt>
                <c:pt idx="15">
                  <c:v>345.77</c:v>
                </c:pt>
                <c:pt idx="16">
                  <c:v>346</c:v>
                </c:pt>
                <c:pt idx="17">
                  <c:v>347</c:v>
                </c:pt>
                <c:pt idx="18">
                  <c:v>348</c:v>
                </c:pt>
                <c:pt idx="19">
                  <c:v>350</c:v>
                </c:pt>
                <c:pt idx="20">
                  <c:v>354.38</c:v>
                </c:pt>
                <c:pt idx="21">
                  <c:v>350</c:v>
                </c:pt>
                <c:pt idx="22">
                  <c:v>345</c:v>
                </c:pt>
                <c:pt idx="23">
                  <c:v>340.33</c:v>
                </c:pt>
                <c:pt idx="24">
                  <c:v>339</c:v>
                </c:pt>
                <c:pt idx="25">
                  <c:v>339</c:v>
                </c:pt>
                <c:pt idx="26">
                  <c:v>340</c:v>
                </c:pt>
                <c:pt idx="27">
                  <c:v>340</c:v>
                </c:pt>
                <c:pt idx="28">
                  <c:v>342</c:v>
                </c:pt>
                <c:pt idx="29">
                  <c:v>356</c:v>
                </c:pt>
                <c:pt idx="30">
                  <c:v>370</c:v>
                </c:pt>
                <c:pt idx="31">
                  <c:v>371.33</c:v>
                </c:pt>
                <c:pt idx="32">
                  <c:v>368</c:v>
                </c:pt>
                <c:pt idx="33">
                  <c:v>354</c:v>
                </c:pt>
                <c:pt idx="34">
                  <c:v>339</c:v>
                </c:pt>
                <c:pt idx="35">
                  <c:v>328</c:v>
                </c:pt>
                <c:pt idx="36">
                  <c:v>320.75</c:v>
                </c:pt>
                <c:pt idx="37">
                  <c:v>314</c:v>
                </c:pt>
                <c:pt idx="38">
                  <c:v>224</c:v>
                </c:pt>
                <c:pt idx="39">
                  <c:v>108</c:v>
                </c:pt>
                <c:pt idx="40">
                  <c:v>124.2</c:v>
                </c:pt>
                <c:pt idx="41">
                  <c:v>167.4</c:v>
                </c:pt>
                <c:pt idx="42">
                  <c:v>124.2</c:v>
                </c:pt>
                <c:pt idx="43">
                  <c:v>34.700000000000003</c:v>
                </c:pt>
                <c:pt idx="44">
                  <c:v>143.6</c:v>
                </c:pt>
                <c:pt idx="45">
                  <c:v>122.4</c:v>
                </c:pt>
                <c:pt idx="46">
                  <c:v>-51.51</c:v>
                </c:pt>
                <c:pt idx="47">
                  <c:v>-58</c:v>
                </c:pt>
                <c:pt idx="48">
                  <c:v>-24.26</c:v>
                </c:pt>
                <c:pt idx="49">
                  <c:v>-80</c:v>
                </c:pt>
                <c:pt idx="50">
                  <c:v>-14.4</c:v>
                </c:pt>
                <c:pt idx="51">
                  <c:v>0</c:v>
                </c:pt>
                <c:pt idx="52">
                  <c:v>69.400000000000006</c:v>
                </c:pt>
                <c:pt idx="53">
                  <c:v>34.700000000000003</c:v>
                </c:pt>
                <c:pt idx="54">
                  <c:v>34.700000000000003</c:v>
                </c:pt>
                <c:pt idx="55">
                  <c:v>34.700000000000003</c:v>
                </c:pt>
                <c:pt idx="56">
                  <c:v>34.700000000000003</c:v>
                </c:pt>
                <c:pt idx="57">
                  <c:v>91.8</c:v>
                </c:pt>
                <c:pt idx="58">
                  <c:v>124.2</c:v>
                </c:pt>
                <c:pt idx="59">
                  <c:v>124.2</c:v>
                </c:pt>
                <c:pt idx="60">
                  <c:v>104</c:v>
                </c:pt>
                <c:pt idx="61">
                  <c:v>316</c:v>
                </c:pt>
                <c:pt idx="62">
                  <c:v>330</c:v>
                </c:pt>
                <c:pt idx="63">
                  <c:v>334.38</c:v>
                </c:pt>
                <c:pt idx="64">
                  <c:v>345</c:v>
                </c:pt>
                <c:pt idx="65">
                  <c:v>354.38</c:v>
                </c:pt>
                <c:pt idx="66">
                  <c:v>367.03</c:v>
                </c:pt>
                <c:pt idx="67">
                  <c:v>370</c:v>
                </c:pt>
                <c:pt idx="68">
                  <c:v>371.47</c:v>
                </c:pt>
                <c:pt idx="69">
                  <c:v>368.33</c:v>
                </c:pt>
                <c:pt idx="70">
                  <c:v>362.7</c:v>
                </c:pt>
                <c:pt idx="71">
                  <c:v>362.7</c:v>
                </c:pt>
                <c:pt idx="72">
                  <c:v>362.7</c:v>
                </c:pt>
                <c:pt idx="73">
                  <c:v>362.7</c:v>
                </c:pt>
                <c:pt idx="74">
                  <c:v>362.7</c:v>
                </c:pt>
                <c:pt idx="75">
                  <c:v>362.7</c:v>
                </c:pt>
                <c:pt idx="76">
                  <c:v>362.7</c:v>
                </c:pt>
                <c:pt idx="77">
                  <c:v>362.7</c:v>
                </c:pt>
                <c:pt idx="78">
                  <c:v>362.7</c:v>
                </c:pt>
                <c:pt idx="79">
                  <c:v>362.7</c:v>
                </c:pt>
                <c:pt idx="80">
                  <c:v>362.7</c:v>
                </c:pt>
                <c:pt idx="81">
                  <c:v>362.7</c:v>
                </c:pt>
                <c:pt idx="82">
                  <c:v>362.7</c:v>
                </c:pt>
                <c:pt idx="83">
                  <c:v>362.7</c:v>
                </c:pt>
                <c:pt idx="84">
                  <c:v>362.7</c:v>
                </c:pt>
                <c:pt idx="85">
                  <c:v>362.7</c:v>
                </c:pt>
                <c:pt idx="86">
                  <c:v>362.7</c:v>
                </c:pt>
                <c:pt idx="87">
                  <c:v>362.7</c:v>
                </c:pt>
                <c:pt idx="88">
                  <c:v>360</c:v>
                </c:pt>
                <c:pt idx="89">
                  <c:v>352.5</c:v>
                </c:pt>
                <c:pt idx="90">
                  <c:v>346.88</c:v>
                </c:pt>
                <c:pt idx="91">
                  <c:v>340</c:v>
                </c:pt>
                <c:pt idx="92">
                  <c:v>340.5</c:v>
                </c:pt>
                <c:pt idx="93">
                  <c:v>336</c:v>
                </c:pt>
                <c:pt idx="94">
                  <c:v>332</c:v>
                </c:pt>
                <c:pt idx="95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9-4B27-9A69-788A157D0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[10]报价及预中标!$N$1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[10]报价及预中标!$N$2:$N$97</c:f>
              <c:numCache>
                <c:formatCode>General</c:formatCode>
                <c:ptCount val="96"/>
                <c:pt idx="0">
                  <c:v>-0.06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-2.23</c:v>
                </c:pt>
                <c:pt idx="24">
                  <c:v>-2.23</c:v>
                </c:pt>
                <c:pt idx="25">
                  <c:v>-2.23</c:v>
                </c:pt>
                <c:pt idx="26">
                  <c:v>-2.23</c:v>
                </c:pt>
                <c:pt idx="27">
                  <c:v>-2.23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-44.18</c:v>
                </c:pt>
                <c:pt idx="46">
                  <c:v>-44.18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-10.46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74.040000000000006</c:v>
                </c:pt>
                <c:pt idx="71">
                  <c:v>74.040000000000006</c:v>
                </c:pt>
                <c:pt idx="72">
                  <c:v>74.040000000000006</c:v>
                </c:pt>
                <c:pt idx="73">
                  <c:v>74.040000000000006</c:v>
                </c:pt>
                <c:pt idx="74">
                  <c:v>74.040000000000006</c:v>
                </c:pt>
                <c:pt idx="75">
                  <c:v>74.040000000000006</c:v>
                </c:pt>
                <c:pt idx="76">
                  <c:v>74.040000000000006</c:v>
                </c:pt>
                <c:pt idx="77">
                  <c:v>74.040000000000006</c:v>
                </c:pt>
                <c:pt idx="78">
                  <c:v>74.040000000000006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B-49CC-9A59-036A9919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[10]报价及预中标!$J$1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[10]报价及预中标!$J$2:$J$97</c:f>
              <c:numCache>
                <c:formatCode>General</c:formatCode>
                <c:ptCount val="96"/>
                <c:pt idx="0">
                  <c:v>301</c:v>
                </c:pt>
                <c:pt idx="1">
                  <c:v>294</c:v>
                </c:pt>
                <c:pt idx="2">
                  <c:v>290</c:v>
                </c:pt>
                <c:pt idx="3">
                  <c:v>284</c:v>
                </c:pt>
                <c:pt idx="4">
                  <c:v>281</c:v>
                </c:pt>
                <c:pt idx="5">
                  <c:v>275.63</c:v>
                </c:pt>
                <c:pt idx="6">
                  <c:v>270</c:v>
                </c:pt>
                <c:pt idx="7">
                  <c:v>270</c:v>
                </c:pt>
                <c:pt idx="8">
                  <c:v>286</c:v>
                </c:pt>
                <c:pt idx="9">
                  <c:v>282</c:v>
                </c:pt>
                <c:pt idx="10">
                  <c:v>276</c:v>
                </c:pt>
                <c:pt idx="11">
                  <c:v>270</c:v>
                </c:pt>
                <c:pt idx="12">
                  <c:v>270</c:v>
                </c:pt>
                <c:pt idx="13">
                  <c:v>266</c:v>
                </c:pt>
                <c:pt idx="14">
                  <c:v>262</c:v>
                </c:pt>
                <c:pt idx="15">
                  <c:v>246</c:v>
                </c:pt>
                <c:pt idx="16">
                  <c:v>229.6</c:v>
                </c:pt>
                <c:pt idx="17">
                  <c:v>186.4</c:v>
                </c:pt>
                <c:pt idx="18">
                  <c:v>181.6</c:v>
                </c:pt>
                <c:pt idx="19">
                  <c:v>188</c:v>
                </c:pt>
                <c:pt idx="20">
                  <c:v>251</c:v>
                </c:pt>
                <c:pt idx="21">
                  <c:v>148.53</c:v>
                </c:pt>
                <c:pt idx="22">
                  <c:v>144.80000000000001</c:v>
                </c:pt>
                <c:pt idx="23">
                  <c:v>144.80000000000001</c:v>
                </c:pt>
                <c:pt idx="24">
                  <c:v>144.80000000000001</c:v>
                </c:pt>
                <c:pt idx="25">
                  <c:v>144.80000000000001</c:v>
                </c:pt>
                <c:pt idx="26">
                  <c:v>144.80000000000001</c:v>
                </c:pt>
                <c:pt idx="27">
                  <c:v>54.4</c:v>
                </c:pt>
                <c:pt idx="28">
                  <c:v>-80</c:v>
                </c:pt>
                <c:pt idx="29">
                  <c:v>280</c:v>
                </c:pt>
                <c:pt idx="30">
                  <c:v>284.41000000000003</c:v>
                </c:pt>
                <c:pt idx="31">
                  <c:v>286.39</c:v>
                </c:pt>
                <c:pt idx="32">
                  <c:v>284.41000000000003</c:v>
                </c:pt>
                <c:pt idx="33">
                  <c:v>284.60000000000002</c:v>
                </c:pt>
                <c:pt idx="34">
                  <c:v>284</c:v>
                </c:pt>
                <c:pt idx="35">
                  <c:v>283.33</c:v>
                </c:pt>
                <c:pt idx="36">
                  <c:v>280</c:v>
                </c:pt>
                <c:pt idx="37">
                  <c:v>272.8</c:v>
                </c:pt>
                <c:pt idx="38">
                  <c:v>272.8</c:v>
                </c:pt>
                <c:pt idx="39">
                  <c:v>240.42</c:v>
                </c:pt>
                <c:pt idx="40">
                  <c:v>270</c:v>
                </c:pt>
                <c:pt idx="41">
                  <c:v>264</c:v>
                </c:pt>
                <c:pt idx="42">
                  <c:v>144.80000000000001</c:v>
                </c:pt>
                <c:pt idx="43">
                  <c:v>144.80000000000001</c:v>
                </c:pt>
                <c:pt idx="44">
                  <c:v>167.4</c:v>
                </c:pt>
                <c:pt idx="45">
                  <c:v>149.6</c:v>
                </c:pt>
                <c:pt idx="46">
                  <c:v>148.80000000000001</c:v>
                </c:pt>
                <c:pt idx="47">
                  <c:v>113.4</c:v>
                </c:pt>
                <c:pt idx="48">
                  <c:v>144.80000000000001</c:v>
                </c:pt>
                <c:pt idx="49">
                  <c:v>124.8</c:v>
                </c:pt>
                <c:pt idx="50">
                  <c:v>144.80000000000001</c:v>
                </c:pt>
                <c:pt idx="51">
                  <c:v>108</c:v>
                </c:pt>
                <c:pt idx="52">
                  <c:v>181.6</c:v>
                </c:pt>
                <c:pt idx="53">
                  <c:v>144.80000000000001</c:v>
                </c:pt>
                <c:pt idx="54">
                  <c:v>156.25</c:v>
                </c:pt>
                <c:pt idx="55">
                  <c:v>282</c:v>
                </c:pt>
                <c:pt idx="56">
                  <c:v>284</c:v>
                </c:pt>
                <c:pt idx="57">
                  <c:v>287.5</c:v>
                </c:pt>
                <c:pt idx="58">
                  <c:v>293.88</c:v>
                </c:pt>
                <c:pt idx="59">
                  <c:v>296</c:v>
                </c:pt>
                <c:pt idx="60">
                  <c:v>299.62</c:v>
                </c:pt>
                <c:pt idx="61">
                  <c:v>307</c:v>
                </c:pt>
                <c:pt idx="62">
                  <c:v>312</c:v>
                </c:pt>
                <c:pt idx="63">
                  <c:v>314</c:v>
                </c:pt>
                <c:pt idx="64">
                  <c:v>321.14</c:v>
                </c:pt>
                <c:pt idx="65">
                  <c:v>327.31</c:v>
                </c:pt>
                <c:pt idx="66">
                  <c:v>344</c:v>
                </c:pt>
                <c:pt idx="67">
                  <c:v>352</c:v>
                </c:pt>
                <c:pt idx="68">
                  <c:v>366.84</c:v>
                </c:pt>
                <c:pt idx="69">
                  <c:v>373.16</c:v>
                </c:pt>
                <c:pt idx="70">
                  <c:v>370</c:v>
                </c:pt>
                <c:pt idx="71">
                  <c:v>370</c:v>
                </c:pt>
                <c:pt idx="72">
                  <c:v>370</c:v>
                </c:pt>
                <c:pt idx="73">
                  <c:v>370</c:v>
                </c:pt>
                <c:pt idx="74">
                  <c:v>370</c:v>
                </c:pt>
                <c:pt idx="75">
                  <c:v>370</c:v>
                </c:pt>
                <c:pt idx="76">
                  <c:v>370</c:v>
                </c:pt>
                <c:pt idx="77">
                  <c:v>370</c:v>
                </c:pt>
                <c:pt idx="78">
                  <c:v>370</c:v>
                </c:pt>
                <c:pt idx="79">
                  <c:v>370</c:v>
                </c:pt>
                <c:pt idx="80">
                  <c:v>370</c:v>
                </c:pt>
                <c:pt idx="81">
                  <c:v>370</c:v>
                </c:pt>
                <c:pt idx="82">
                  <c:v>370</c:v>
                </c:pt>
                <c:pt idx="83">
                  <c:v>370</c:v>
                </c:pt>
                <c:pt idx="84">
                  <c:v>370</c:v>
                </c:pt>
                <c:pt idx="85">
                  <c:v>370</c:v>
                </c:pt>
                <c:pt idx="86">
                  <c:v>370</c:v>
                </c:pt>
                <c:pt idx="87">
                  <c:v>370</c:v>
                </c:pt>
                <c:pt idx="88">
                  <c:v>370</c:v>
                </c:pt>
                <c:pt idx="89">
                  <c:v>359.25</c:v>
                </c:pt>
                <c:pt idx="90">
                  <c:v>351.5</c:v>
                </c:pt>
                <c:pt idx="91">
                  <c:v>342.33</c:v>
                </c:pt>
                <c:pt idx="92">
                  <c:v>350</c:v>
                </c:pt>
                <c:pt idx="93">
                  <c:v>341.88</c:v>
                </c:pt>
                <c:pt idx="94">
                  <c:v>340</c:v>
                </c:pt>
                <c:pt idx="95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0-4164-8322-2FF77583AE67}"/>
            </c:ext>
          </c:extLst>
        </c:ser>
        <c:ser>
          <c:idx val="1"/>
          <c:order val="1"/>
          <c:tx>
            <c:strRef>
              <c:f>[10]报价及预中标!$K$1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[10]报价及预中标!$K$2:$K$97</c:f>
              <c:numCache>
                <c:formatCode>General</c:formatCode>
                <c:ptCount val="96"/>
                <c:pt idx="0">
                  <c:v>301</c:v>
                </c:pt>
                <c:pt idx="1">
                  <c:v>294</c:v>
                </c:pt>
                <c:pt idx="2">
                  <c:v>290</c:v>
                </c:pt>
                <c:pt idx="3">
                  <c:v>284</c:v>
                </c:pt>
                <c:pt idx="4">
                  <c:v>281</c:v>
                </c:pt>
                <c:pt idx="5">
                  <c:v>275.63</c:v>
                </c:pt>
                <c:pt idx="6">
                  <c:v>270</c:v>
                </c:pt>
                <c:pt idx="7">
                  <c:v>270</c:v>
                </c:pt>
                <c:pt idx="8">
                  <c:v>286</c:v>
                </c:pt>
                <c:pt idx="9">
                  <c:v>282</c:v>
                </c:pt>
                <c:pt idx="10">
                  <c:v>276</c:v>
                </c:pt>
                <c:pt idx="11">
                  <c:v>270</c:v>
                </c:pt>
                <c:pt idx="12">
                  <c:v>270</c:v>
                </c:pt>
                <c:pt idx="13">
                  <c:v>266</c:v>
                </c:pt>
                <c:pt idx="14">
                  <c:v>262</c:v>
                </c:pt>
                <c:pt idx="15">
                  <c:v>246</c:v>
                </c:pt>
                <c:pt idx="16">
                  <c:v>229.6</c:v>
                </c:pt>
                <c:pt idx="17">
                  <c:v>186.4</c:v>
                </c:pt>
                <c:pt idx="18">
                  <c:v>181.6</c:v>
                </c:pt>
                <c:pt idx="19">
                  <c:v>188</c:v>
                </c:pt>
                <c:pt idx="20">
                  <c:v>251</c:v>
                </c:pt>
                <c:pt idx="21">
                  <c:v>148.53</c:v>
                </c:pt>
                <c:pt idx="22">
                  <c:v>144.80000000000001</c:v>
                </c:pt>
                <c:pt idx="23">
                  <c:v>144.80000000000001</c:v>
                </c:pt>
                <c:pt idx="24">
                  <c:v>144.80000000000001</c:v>
                </c:pt>
                <c:pt idx="25">
                  <c:v>144.80000000000001</c:v>
                </c:pt>
                <c:pt idx="26">
                  <c:v>144.80000000000001</c:v>
                </c:pt>
                <c:pt idx="27">
                  <c:v>54.4</c:v>
                </c:pt>
                <c:pt idx="28">
                  <c:v>-80</c:v>
                </c:pt>
                <c:pt idx="29">
                  <c:v>280</c:v>
                </c:pt>
                <c:pt idx="30">
                  <c:v>284.41000000000003</c:v>
                </c:pt>
                <c:pt idx="31">
                  <c:v>286.39</c:v>
                </c:pt>
                <c:pt idx="32">
                  <c:v>284.41000000000003</c:v>
                </c:pt>
                <c:pt idx="33">
                  <c:v>284.60000000000002</c:v>
                </c:pt>
                <c:pt idx="34">
                  <c:v>284</c:v>
                </c:pt>
                <c:pt idx="35">
                  <c:v>283.33</c:v>
                </c:pt>
                <c:pt idx="36">
                  <c:v>280</c:v>
                </c:pt>
                <c:pt idx="37">
                  <c:v>272.8</c:v>
                </c:pt>
                <c:pt idx="38">
                  <c:v>272.8</c:v>
                </c:pt>
                <c:pt idx="39">
                  <c:v>240.42</c:v>
                </c:pt>
                <c:pt idx="40">
                  <c:v>270</c:v>
                </c:pt>
                <c:pt idx="41">
                  <c:v>264</c:v>
                </c:pt>
                <c:pt idx="42">
                  <c:v>144.80000000000001</c:v>
                </c:pt>
                <c:pt idx="43">
                  <c:v>144.80000000000001</c:v>
                </c:pt>
                <c:pt idx="44">
                  <c:v>167.4</c:v>
                </c:pt>
                <c:pt idx="45">
                  <c:v>149.6</c:v>
                </c:pt>
                <c:pt idx="46">
                  <c:v>148.80000000000001</c:v>
                </c:pt>
                <c:pt idx="47">
                  <c:v>113.4</c:v>
                </c:pt>
                <c:pt idx="48">
                  <c:v>144.80000000000001</c:v>
                </c:pt>
                <c:pt idx="49">
                  <c:v>124.8</c:v>
                </c:pt>
                <c:pt idx="50">
                  <c:v>144.80000000000001</c:v>
                </c:pt>
                <c:pt idx="51">
                  <c:v>108</c:v>
                </c:pt>
                <c:pt idx="52">
                  <c:v>181.6</c:v>
                </c:pt>
                <c:pt idx="53">
                  <c:v>144.80000000000001</c:v>
                </c:pt>
                <c:pt idx="54">
                  <c:v>156.25</c:v>
                </c:pt>
                <c:pt idx="55">
                  <c:v>282</c:v>
                </c:pt>
                <c:pt idx="56">
                  <c:v>284</c:v>
                </c:pt>
                <c:pt idx="57">
                  <c:v>287.5</c:v>
                </c:pt>
                <c:pt idx="58">
                  <c:v>293.88</c:v>
                </c:pt>
                <c:pt idx="59">
                  <c:v>296</c:v>
                </c:pt>
                <c:pt idx="60">
                  <c:v>299.62</c:v>
                </c:pt>
                <c:pt idx="61">
                  <c:v>307</c:v>
                </c:pt>
                <c:pt idx="62">
                  <c:v>312</c:v>
                </c:pt>
                <c:pt idx="63">
                  <c:v>314</c:v>
                </c:pt>
                <c:pt idx="64">
                  <c:v>321.14</c:v>
                </c:pt>
                <c:pt idx="65">
                  <c:v>327.31</c:v>
                </c:pt>
                <c:pt idx="66">
                  <c:v>344</c:v>
                </c:pt>
                <c:pt idx="67">
                  <c:v>352</c:v>
                </c:pt>
                <c:pt idx="68">
                  <c:v>366.84</c:v>
                </c:pt>
                <c:pt idx="69">
                  <c:v>373.16</c:v>
                </c:pt>
                <c:pt idx="70">
                  <c:v>370</c:v>
                </c:pt>
                <c:pt idx="71">
                  <c:v>370</c:v>
                </c:pt>
                <c:pt idx="72">
                  <c:v>370</c:v>
                </c:pt>
                <c:pt idx="73">
                  <c:v>370</c:v>
                </c:pt>
                <c:pt idx="74">
                  <c:v>370</c:v>
                </c:pt>
                <c:pt idx="75">
                  <c:v>370</c:v>
                </c:pt>
                <c:pt idx="76">
                  <c:v>370</c:v>
                </c:pt>
                <c:pt idx="77">
                  <c:v>370</c:v>
                </c:pt>
                <c:pt idx="78">
                  <c:v>370</c:v>
                </c:pt>
                <c:pt idx="79">
                  <c:v>370</c:v>
                </c:pt>
                <c:pt idx="80">
                  <c:v>370</c:v>
                </c:pt>
                <c:pt idx="81">
                  <c:v>370</c:v>
                </c:pt>
                <c:pt idx="82">
                  <c:v>370</c:v>
                </c:pt>
                <c:pt idx="83">
                  <c:v>370</c:v>
                </c:pt>
                <c:pt idx="84">
                  <c:v>370</c:v>
                </c:pt>
                <c:pt idx="85">
                  <c:v>370</c:v>
                </c:pt>
                <c:pt idx="86">
                  <c:v>370</c:v>
                </c:pt>
                <c:pt idx="87">
                  <c:v>370</c:v>
                </c:pt>
                <c:pt idx="88">
                  <c:v>370</c:v>
                </c:pt>
                <c:pt idx="89">
                  <c:v>359.25</c:v>
                </c:pt>
                <c:pt idx="90">
                  <c:v>351.5</c:v>
                </c:pt>
                <c:pt idx="91">
                  <c:v>342.33</c:v>
                </c:pt>
                <c:pt idx="92">
                  <c:v>350</c:v>
                </c:pt>
                <c:pt idx="93">
                  <c:v>341.88</c:v>
                </c:pt>
                <c:pt idx="94">
                  <c:v>340</c:v>
                </c:pt>
                <c:pt idx="95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0-4164-8322-2FF77583A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[11]报价及预中标!$N$1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-76.33</c:v>
                </c:pt>
                <c:pt idx="5">
                  <c:v>-95</c:v>
                </c:pt>
                <c:pt idx="6">
                  <c:v>-95</c:v>
                </c:pt>
                <c:pt idx="7">
                  <c:v>-95</c:v>
                </c:pt>
                <c:pt idx="8">
                  <c:v>-95</c:v>
                </c:pt>
                <c:pt idx="9">
                  <c:v>-74.540000000000006</c:v>
                </c:pt>
                <c:pt idx="10">
                  <c:v>-74.540000000000006</c:v>
                </c:pt>
                <c:pt idx="11">
                  <c:v>-74.540000000000006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95</c:v>
                </c:pt>
                <c:pt idx="37">
                  <c:v>95</c:v>
                </c:pt>
                <c:pt idx="38">
                  <c:v>68.06</c:v>
                </c:pt>
                <c:pt idx="39">
                  <c:v>68.06</c:v>
                </c:pt>
                <c:pt idx="40">
                  <c:v>68.06</c:v>
                </c:pt>
                <c:pt idx="41">
                  <c:v>68.06</c:v>
                </c:pt>
                <c:pt idx="42">
                  <c:v>68.06</c:v>
                </c:pt>
                <c:pt idx="43">
                  <c:v>68.06</c:v>
                </c:pt>
                <c:pt idx="44">
                  <c:v>68.06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5-4F2F-8F73-B41E7915A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[11]报价及预中标!$J$1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[11]报价及预中标!$J$2:$J$97</c:f>
              <c:numCache>
                <c:formatCode>General</c:formatCode>
                <c:ptCount val="96"/>
                <c:pt idx="0">
                  <c:v>313.5</c:v>
                </c:pt>
                <c:pt idx="1">
                  <c:v>322.8</c:v>
                </c:pt>
                <c:pt idx="2">
                  <c:v>324.56</c:v>
                </c:pt>
                <c:pt idx="3">
                  <c:v>324.56</c:v>
                </c:pt>
                <c:pt idx="4">
                  <c:v>324.56</c:v>
                </c:pt>
                <c:pt idx="5">
                  <c:v>324.56</c:v>
                </c:pt>
                <c:pt idx="6">
                  <c:v>324.56</c:v>
                </c:pt>
                <c:pt idx="7">
                  <c:v>323</c:v>
                </c:pt>
                <c:pt idx="8">
                  <c:v>326.11</c:v>
                </c:pt>
                <c:pt idx="9">
                  <c:v>324.56</c:v>
                </c:pt>
                <c:pt idx="10">
                  <c:v>324.56</c:v>
                </c:pt>
                <c:pt idx="11">
                  <c:v>324.56</c:v>
                </c:pt>
                <c:pt idx="12">
                  <c:v>324.56</c:v>
                </c:pt>
                <c:pt idx="13">
                  <c:v>324.56</c:v>
                </c:pt>
                <c:pt idx="14">
                  <c:v>324.56</c:v>
                </c:pt>
                <c:pt idx="15">
                  <c:v>324.56</c:v>
                </c:pt>
                <c:pt idx="16">
                  <c:v>324.56</c:v>
                </c:pt>
                <c:pt idx="17">
                  <c:v>324.56</c:v>
                </c:pt>
                <c:pt idx="18">
                  <c:v>324.56</c:v>
                </c:pt>
                <c:pt idx="19">
                  <c:v>324.56</c:v>
                </c:pt>
                <c:pt idx="20">
                  <c:v>324.56</c:v>
                </c:pt>
                <c:pt idx="21">
                  <c:v>324.56</c:v>
                </c:pt>
                <c:pt idx="22">
                  <c:v>324.56</c:v>
                </c:pt>
                <c:pt idx="23">
                  <c:v>324.56</c:v>
                </c:pt>
                <c:pt idx="24">
                  <c:v>322.44</c:v>
                </c:pt>
                <c:pt idx="25">
                  <c:v>326.67</c:v>
                </c:pt>
                <c:pt idx="26">
                  <c:v>324.56</c:v>
                </c:pt>
                <c:pt idx="27">
                  <c:v>323.44</c:v>
                </c:pt>
                <c:pt idx="28">
                  <c:v>317</c:v>
                </c:pt>
                <c:pt idx="29">
                  <c:v>331.14</c:v>
                </c:pt>
                <c:pt idx="30">
                  <c:v>340</c:v>
                </c:pt>
                <c:pt idx="31">
                  <c:v>354</c:v>
                </c:pt>
                <c:pt idx="32">
                  <c:v>1446.86</c:v>
                </c:pt>
                <c:pt idx="33">
                  <c:v>618</c:v>
                </c:pt>
                <c:pt idx="34">
                  <c:v>618</c:v>
                </c:pt>
                <c:pt idx="35">
                  <c:v>618</c:v>
                </c:pt>
                <c:pt idx="36">
                  <c:v>618</c:v>
                </c:pt>
                <c:pt idx="37">
                  <c:v>618</c:v>
                </c:pt>
                <c:pt idx="38">
                  <c:v>618</c:v>
                </c:pt>
                <c:pt idx="39">
                  <c:v>618</c:v>
                </c:pt>
                <c:pt idx="40">
                  <c:v>618</c:v>
                </c:pt>
                <c:pt idx="41">
                  <c:v>618</c:v>
                </c:pt>
                <c:pt idx="42">
                  <c:v>618</c:v>
                </c:pt>
                <c:pt idx="43">
                  <c:v>618</c:v>
                </c:pt>
                <c:pt idx="44">
                  <c:v>1260</c:v>
                </c:pt>
                <c:pt idx="45">
                  <c:v>298</c:v>
                </c:pt>
                <c:pt idx="46">
                  <c:v>296</c:v>
                </c:pt>
                <c:pt idx="47">
                  <c:v>283.16000000000003</c:v>
                </c:pt>
                <c:pt idx="48">
                  <c:v>271.56</c:v>
                </c:pt>
                <c:pt idx="49">
                  <c:v>270</c:v>
                </c:pt>
                <c:pt idx="50">
                  <c:v>270</c:v>
                </c:pt>
                <c:pt idx="51">
                  <c:v>270</c:v>
                </c:pt>
                <c:pt idx="52">
                  <c:v>281.25</c:v>
                </c:pt>
                <c:pt idx="53">
                  <c:v>283.13</c:v>
                </c:pt>
                <c:pt idx="54">
                  <c:v>284</c:v>
                </c:pt>
                <c:pt idx="55">
                  <c:v>284</c:v>
                </c:pt>
                <c:pt idx="56">
                  <c:v>286</c:v>
                </c:pt>
                <c:pt idx="57">
                  <c:v>288</c:v>
                </c:pt>
                <c:pt idx="58">
                  <c:v>291</c:v>
                </c:pt>
                <c:pt idx="59">
                  <c:v>292</c:v>
                </c:pt>
                <c:pt idx="60">
                  <c:v>296</c:v>
                </c:pt>
                <c:pt idx="61">
                  <c:v>302</c:v>
                </c:pt>
                <c:pt idx="62">
                  <c:v>305.63</c:v>
                </c:pt>
                <c:pt idx="63">
                  <c:v>310</c:v>
                </c:pt>
                <c:pt idx="64">
                  <c:v>322.14</c:v>
                </c:pt>
                <c:pt idx="65">
                  <c:v>334</c:v>
                </c:pt>
                <c:pt idx="66">
                  <c:v>348</c:v>
                </c:pt>
                <c:pt idx="67">
                  <c:v>360</c:v>
                </c:pt>
                <c:pt idx="68">
                  <c:v>384.7</c:v>
                </c:pt>
                <c:pt idx="69">
                  <c:v>417.53</c:v>
                </c:pt>
                <c:pt idx="70">
                  <c:v>424.21</c:v>
                </c:pt>
                <c:pt idx="71">
                  <c:v>395.54</c:v>
                </c:pt>
                <c:pt idx="72">
                  <c:v>380</c:v>
                </c:pt>
                <c:pt idx="73">
                  <c:v>376</c:v>
                </c:pt>
                <c:pt idx="74">
                  <c:v>370</c:v>
                </c:pt>
                <c:pt idx="75">
                  <c:v>370</c:v>
                </c:pt>
                <c:pt idx="76">
                  <c:v>368</c:v>
                </c:pt>
                <c:pt idx="77">
                  <c:v>367</c:v>
                </c:pt>
                <c:pt idx="78">
                  <c:v>361</c:v>
                </c:pt>
                <c:pt idx="79">
                  <c:v>355</c:v>
                </c:pt>
                <c:pt idx="80">
                  <c:v>344</c:v>
                </c:pt>
                <c:pt idx="81">
                  <c:v>344.38</c:v>
                </c:pt>
                <c:pt idx="82">
                  <c:v>343.13</c:v>
                </c:pt>
                <c:pt idx="83">
                  <c:v>342</c:v>
                </c:pt>
                <c:pt idx="84">
                  <c:v>348</c:v>
                </c:pt>
                <c:pt idx="85">
                  <c:v>344</c:v>
                </c:pt>
                <c:pt idx="86">
                  <c:v>337.5</c:v>
                </c:pt>
                <c:pt idx="87">
                  <c:v>328.75</c:v>
                </c:pt>
                <c:pt idx="88">
                  <c:v>321.14999999999998</c:v>
                </c:pt>
                <c:pt idx="89">
                  <c:v>320</c:v>
                </c:pt>
                <c:pt idx="90">
                  <c:v>318</c:v>
                </c:pt>
                <c:pt idx="91">
                  <c:v>315</c:v>
                </c:pt>
                <c:pt idx="92">
                  <c:v>320</c:v>
                </c:pt>
                <c:pt idx="93">
                  <c:v>313.5</c:v>
                </c:pt>
                <c:pt idx="94">
                  <c:v>310</c:v>
                </c:pt>
                <c:pt idx="95">
                  <c:v>305.57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24-4E63-B8A2-0A1CF5BC4E9D}"/>
            </c:ext>
          </c:extLst>
        </c:ser>
        <c:ser>
          <c:idx val="1"/>
          <c:order val="1"/>
          <c:tx>
            <c:strRef>
              <c:f>[11]报价及预中标!$K$1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[11]报价及预中标!$K$2:$K$97</c:f>
              <c:numCache>
                <c:formatCode>General</c:formatCode>
                <c:ptCount val="96"/>
                <c:pt idx="0">
                  <c:v>313.5</c:v>
                </c:pt>
                <c:pt idx="1">
                  <c:v>322.8</c:v>
                </c:pt>
                <c:pt idx="2">
                  <c:v>324.56</c:v>
                </c:pt>
                <c:pt idx="3">
                  <c:v>324.56</c:v>
                </c:pt>
                <c:pt idx="4">
                  <c:v>324.56</c:v>
                </c:pt>
                <c:pt idx="5">
                  <c:v>324.56</c:v>
                </c:pt>
                <c:pt idx="6">
                  <c:v>324.56</c:v>
                </c:pt>
                <c:pt idx="7">
                  <c:v>323</c:v>
                </c:pt>
                <c:pt idx="8">
                  <c:v>326.11</c:v>
                </c:pt>
                <c:pt idx="9">
                  <c:v>324.56</c:v>
                </c:pt>
                <c:pt idx="10">
                  <c:v>324.56</c:v>
                </c:pt>
                <c:pt idx="11">
                  <c:v>324.56</c:v>
                </c:pt>
                <c:pt idx="12">
                  <c:v>324.56</c:v>
                </c:pt>
                <c:pt idx="13">
                  <c:v>324.56</c:v>
                </c:pt>
                <c:pt idx="14">
                  <c:v>324.56</c:v>
                </c:pt>
                <c:pt idx="15">
                  <c:v>324.56</c:v>
                </c:pt>
                <c:pt idx="16">
                  <c:v>324.56</c:v>
                </c:pt>
                <c:pt idx="17">
                  <c:v>324.56</c:v>
                </c:pt>
                <c:pt idx="18">
                  <c:v>324.56</c:v>
                </c:pt>
                <c:pt idx="19">
                  <c:v>324.56</c:v>
                </c:pt>
                <c:pt idx="20">
                  <c:v>324.56</c:v>
                </c:pt>
                <c:pt idx="21">
                  <c:v>324.56</c:v>
                </c:pt>
                <c:pt idx="22">
                  <c:v>324.56</c:v>
                </c:pt>
                <c:pt idx="23">
                  <c:v>324.56</c:v>
                </c:pt>
                <c:pt idx="24">
                  <c:v>322.44</c:v>
                </c:pt>
                <c:pt idx="25">
                  <c:v>326.67</c:v>
                </c:pt>
                <c:pt idx="26">
                  <c:v>324.56</c:v>
                </c:pt>
                <c:pt idx="27">
                  <c:v>323.44</c:v>
                </c:pt>
                <c:pt idx="28">
                  <c:v>317</c:v>
                </c:pt>
                <c:pt idx="29">
                  <c:v>331.14</c:v>
                </c:pt>
                <c:pt idx="30">
                  <c:v>340</c:v>
                </c:pt>
                <c:pt idx="31">
                  <c:v>354</c:v>
                </c:pt>
                <c:pt idx="32">
                  <c:v>1446.86</c:v>
                </c:pt>
                <c:pt idx="33">
                  <c:v>618</c:v>
                </c:pt>
                <c:pt idx="34">
                  <c:v>618</c:v>
                </c:pt>
                <c:pt idx="35">
                  <c:v>618</c:v>
                </c:pt>
                <c:pt idx="36">
                  <c:v>618</c:v>
                </c:pt>
                <c:pt idx="37">
                  <c:v>618</c:v>
                </c:pt>
                <c:pt idx="38">
                  <c:v>618</c:v>
                </c:pt>
                <c:pt idx="39">
                  <c:v>618</c:v>
                </c:pt>
                <c:pt idx="40">
                  <c:v>618</c:v>
                </c:pt>
                <c:pt idx="41">
                  <c:v>618</c:v>
                </c:pt>
                <c:pt idx="42">
                  <c:v>618</c:v>
                </c:pt>
                <c:pt idx="43">
                  <c:v>618</c:v>
                </c:pt>
                <c:pt idx="44">
                  <c:v>1260</c:v>
                </c:pt>
                <c:pt idx="45">
                  <c:v>298</c:v>
                </c:pt>
                <c:pt idx="46">
                  <c:v>296</c:v>
                </c:pt>
                <c:pt idx="47">
                  <c:v>283.16000000000003</c:v>
                </c:pt>
                <c:pt idx="48">
                  <c:v>271.56</c:v>
                </c:pt>
                <c:pt idx="49">
                  <c:v>270</c:v>
                </c:pt>
                <c:pt idx="50">
                  <c:v>270</c:v>
                </c:pt>
                <c:pt idx="51">
                  <c:v>270</c:v>
                </c:pt>
                <c:pt idx="52">
                  <c:v>281.25</c:v>
                </c:pt>
                <c:pt idx="53">
                  <c:v>283.13</c:v>
                </c:pt>
                <c:pt idx="54">
                  <c:v>284</c:v>
                </c:pt>
                <c:pt idx="55">
                  <c:v>284</c:v>
                </c:pt>
                <c:pt idx="56">
                  <c:v>286</c:v>
                </c:pt>
                <c:pt idx="57">
                  <c:v>288</c:v>
                </c:pt>
                <c:pt idx="58">
                  <c:v>291</c:v>
                </c:pt>
                <c:pt idx="59">
                  <c:v>292</c:v>
                </c:pt>
                <c:pt idx="60">
                  <c:v>296</c:v>
                </c:pt>
                <c:pt idx="61">
                  <c:v>302</c:v>
                </c:pt>
                <c:pt idx="62">
                  <c:v>305.63</c:v>
                </c:pt>
                <c:pt idx="63">
                  <c:v>310</c:v>
                </c:pt>
                <c:pt idx="64">
                  <c:v>322.14</c:v>
                </c:pt>
                <c:pt idx="65">
                  <c:v>334</c:v>
                </c:pt>
                <c:pt idx="66">
                  <c:v>348</c:v>
                </c:pt>
                <c:pt idx="67">
                  <c:v>360</c:v>
                </c:pt>
                <c:pt idx="68">
                  <c:v>384.7</c:v>
                </c:pt>
                <c:pt idx="69">
                  <c:v>417.53</c:v>
                </c:pt>
                <c:pt idx="70">
                  <c:v>424.21</c:v>
                </c:pt>
                <c:pt idx="71">
                  <c:v>395.54</c:v>
                </c:pt>
                <c:pt idx="72">
                  <c:v>380</c:v>
                </c:pt>
                <c:pt idx="73">
                  <c:v>376</c:v>
                </c:pt>
                <c:pt idx="74">
                  <c:v>370</c:v>
                </c:pt>
                <c:pt idx="75">
                  <c:v>370</c:v>
                </c:pt>
                <c:pt idx="76">
                  <c:v>368</c:v>
                </c:pt>
                <c:pt idx="77">
                  <c:v>367</c:v>
                </c:pt>
                <c:pt idx="78">
                  <c:v>361</c:v>
                </c:pt>
                <c:pt idx="79">
                  <c:v>355</c:v>
                </c:pt>
                <c:pt idx="80">
                  <c:v>344</c:v>
                </c:pt>
                <c:pt idx="81">
                  <c:v>344.38</c:v>
                </c:pt>
                <c:pt idx="82">
                  <c:v>343.13</c:v>
                </c:pt>
                <c:pt idx="83">
                  <c:v>342</c:v>
                </c:pt>
                <c:pt idx="84">
                  <c:v>348</c:v>
                </c:pt>
                <c:pt idx="85">
                  <c:v>344</c:v>
                </c:pt>
                <c:pt idx="86">
                  <c:v>337.5</c:v>
                </c:pt>
                <c:pt idx="87">
                  <c:v>328.75</c:v>
                </c:pt>
                <c:pt idx="88">
                  <c:v>321.14999999999998</c:v>
                </c:pt>
                <c:pt idx="89">
                  <c:v>320</c:v>
                </c:pt>
                <c:pt idx="90">
                  <c:v>318</c:v>
                </c:pt>
                <c:pt idx="91">
                  <c:v>315</c:v>
                </c:pt>
                <c:pt idx="92">
                  <c:v>320</c:v>
                </c:pt>
                <c:pt idx="93">
                  <c:v>313.5</c:v>
                </c:pt>
                <c:pt idx="94">
                  <c:v>310</c:v>
                </c:pt>
                <c:pt idx="95">
                  <c:v>305.57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24-4E63-B8A2-0A1CF5BC4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[12]报价及预中标!$N$1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-39.340000000000003</c:v>
                </c:pt>
                <c:pt idx="44">
                  <c:v>-39.340000000000003</c:v>
                </c:pt>
                <c:pt idx="45">
                  <c:v>-39.340000000000003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1.73</c:v>
                </c:pt>
                <c:pt idx="67">
                  <c:v>51.85</c:v>
                </c:pt>
                <c:pt idx="68">
                  <c:v>51.85</c:v>
                </c:pt>
                <c:pt idx="69">
                  <c:v>51.85</c:v>
                </c:pt>
                <c:pt idx="70">
                  <c:v>51.85</c:v>
                </c:pt>
                <c:pt idx="71">
                  <c:v>51.85</c:v>
                </c:pt>
                <c:pt idx="72">
                  <c:v>51.85</c:v>
                </c:pt>
                <c:pt idx="73">
                  <c:v>51.85</c:v>
                </c:pt>
                <c:pt idx="74">
                  <c:v>51.85</c:v>
                </c:pt>
                <c:pt idx="75">
                  <c:v>51.85</c:v>
                </c:pt>
                <c:pt idx="76">
                  <c:v>51.85</c:v>
                </c:pt>
                <c:pt idx="77">
                  <c:v>51.85</c:v>
                </c:pt>
                <c:pt idx="78">
                  <c:v>51.85</c:v>
                </c:pt>
                <c:pt idx="79">
                  <c:v>51.85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F-4A75-B335-F4599E462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[12]报价及预中标!$J$1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[12]报价及预中标!$J$2:$J$97</c:f>
              <c:numCache>
                <c:formatCode>General</c:formatCode>
                <c:ptCount val="96"/>
                <c:pt idx="0">
                  <c:v>330</c:v>
                </c:pt>
                <c:pt idx="1">
                  <c:v>328</c:v>
                </c:pt>
                <c:pt idx="2">
                  <c:v>328</c:v>
                </c:pt>
                <c:pt idx="3">
                  <c:v>326</c:v>
                </c:pt>
                <c:pt idx="4">
                  <c:v>325</c:v>
                </c:pt>
                <c:pt idx="5">
                  <c:v>324</c:v>
                </c:pt>
                <c:pt idx="6">
                  <c:v>322</c:v>
                </c:pt>
                <c:pt idx="7">
                  <c:v>322</c:v>
                </c:pt>
                <c:pt idx="8">
                  <c:v>332.5</c:v>
                </c:pt>
                <c:pt idx="9">
                  <c:v>330</c:v>
                </c:pt>
                <c:pt idx="10">
                  <c:v>329.38</c:v>
                </c:pt>
                <c:pt idx="11">
                  <c:v>328</c:v>
                </c:pt>
                <c:pt idx="12">
                  <c:v>326</c:v>
                </c:pt>
                <c:pt idx="13">
                  <c:v>322</c:v>
                </c:pt>
                <c:pt idx="14">
                  <c:v>322</c:v>
                </c:pt>
                <c:pt idx="15">
                  <c:v>321.88</c:v>
                </c:pt>
                <c:pt idx="16">
                  <c:v>320</c:v>
                </c:pt>
                <c:pt idx="17">
                  <c:v>322</c:v>
                </c:pt>
                <c:pt idx="18">
                  <c:v>322</c:v>
                </c:pt>
                <c:pt idx="19">
                  <c:v>324</c:v>
                </c:pt>
                <c:pt idx="20">
                  <c:v>327.73</c:v>
                </c:pt>
                <c:pt idx="21">
                  <c:v>322</c:v>
                </c:pt>
                <c:pt idx="22">
                  <c:v>318.33</c:v>
                </c:pt>
                <c:pt idx="23">
                  <c:v>317</c:v>
                </c:pt>
                <c:pt idx="24">
                  <c:v>316</c:v>
                </c:pt>
                <c:pt idx="25">
                  <c:v>319</c:v>
                </c:pt>
                <c:pt idx="26">
                  <c:v>321</c:v>
                </c:pt>
                <c:pt idx="27">
                  <c:v>322</c:v>
                </c:pt>
                <c:pt idx="28">
                  <c:v>325</c:v>
                </c:pt>
                <c:pt idx="29">
                  <c:v>334</c:v>
                </c:pt>
                <c:pt idx="30">
                  <c:v>342.5</c:v>
                </c:pt>
                <c:pt idx="31">
                  <c:v>356</c:v>
                </c:pt>
                <c:pt idx="32">
                  <c:v>355</c:v>
                </c:pt>
                <c:pt idx="33">
                  <c:v>346</c:v>
                </c:pt>
                <c:pt idx="34">
                  <c:v>338</c:v>
                </c:pt>
                <c:pt idx="35">
                  <c:v>330.63</c:v>
                </c:pt>
                <c:pt idx="36">
                  <c:v>325</c:v>
                </c:pt>
                <c:pt idx="37">
                  <c:v>312</c:v>
                </c:pt>
                <c:pt idx="38">
                  <c:v>301.88</c:v>
                </c:pt>
                <c:pt idx="39">
                  <c:v>270</c:v>
                </c:pt>
                <c:pt idx="40">
                  <c:v>276</c:v>
                </c:pt>
                <c:pt idx="41">
                  <c:v>199.8</c:v>
                </c:pt>
                <c:pt idx="42">
                  <c:v>157.32</c:v>
                </c:pt>
                <c:pt idx="43">
                  <c:v>157.32</c:v>
                </c:pt>
                <c:pt idx="44">
                  <c:v>247.8</c:v>
                </c:pt>
                <c:pt idx="45">
                  <c:v>192</c:v>
                </c:pt>
                <c:pt idx="46">
                  <c:v>204.33</c:v>
                </c:pt>
                <c:pt idx="47">
                  <c:v>44.07</c:v>
                </c:pt>
                <c:pt idx="48">
                  <c:v>98.4</c:v>
                </c:pt>
                <c:pt idx="49">
                  <c:v>136.19999999999999</c:v>
                </c:pt>
                <c:pt idx="50">
                  <c:v>157.32</c:v>
                </c:pt>
                <c:pt idx="51">
                  <c:v>131.04</c:v>
                </c:pt>
                <c:pt idx="52">
                  <c:v>183.6</c:v>
                </c:pt>
                <c:pt idx="53">
                  <c:v>157.32</c:v>
                </c:pt>
                <c:pt idx="54">
                  <c:v>152.32</c:v>
                </c:pt>
                <c:pt idx="55">
                  <c:v>162.32</c:v>
                </c:pt>
                <c:pt idx="56">
                  <c:v>162.32</c:v>
                </c:pt>
                <c:pt idx="57">
                  <c:v>228.6</c:v>
                </c:pt>
                <c:pt idx="58">
                  <c:v>298</c:v>
                </c:pt>
                <c:pt idx="59">
                  <c:v>303.33</c:v>
                </c:pt>
                <c:pt idx="60">
                  <c:v>315</c:v>
                </c:pt>
                <c:pt idx="61">
                  <c:v>327.43</c:v>
                </c:pt>
                <c:pt idx="62">
                  <c:v>336.33</c:v>
                </c:pt>
                <c:pt idx="63">
                  <c:v>341.75</c:v>
                </c:pt>
                <c:pt idx="64">
                  <c:v>358</c:v>
                </c:pt>
                <c:pt idx="65">
                  <c:v>367.8</c:v>
                </c:pt>
                <c:pt idx="66">
                  <c:v>371.7</c:v>
                </c:pt>
                <c:pt idx="67">
                  <c:v>373.5</c:v>
                </c:pt>
                <c:pt idx="68">
                  <c:v>371</c:v>
                </c:pt>
                <c:pt idx="69">
                  <c:v>371</c:v>
                </c:pt>
                <c:pt idx="70">
                  <c:v>371</c:v>
                </c:pt>
                <c:pt idx="71">
                  <c:v>371</c:v>
                </c:pt>
                <c:pt idx="72">
                  <c:v>371</c:v>
                </c:pt>
                <c:pt idx="73">
                  <c:v>371</c:v>
                </c:pt>
                <c:pt idx="74">
                  <c:v>371</c:v>
                </c:pt>
                <c:pt idx="75">
                  <c:v>371</c:v>
                </c:pt>
                <c:pt idx="76">
                  <c:v>371</c:v>
                </c:pt>
                <c:pt idx="77">
                  <c:v>371</c:v>
                </c:pt>
                <c:pt idx="78">
                  <c:v>371</c:v>
                </c:pt>
                <c:pt idx="79">
                  <c:v>371</c:v>
                </c:pt>
                <c:pt idx="80">
                  <c:v>371</c:v>
                </c:pt>
                <c:pt idx="81">
                  <c:v>371</c:v>
                </c:pt>
                <c:pt idx="82">
                  <c:v>371</c:v>
                </c:pt>
                <c:pt idx="83">
                  <c:v>371</c:v>
                </c:pt>
                <c:pt idx="84">
                  <c:v>371</c:v>
                </c:pt>
                <c:pt idx="85">
                  <c:v>371</c:v>
                </c:pt>
                <c:pt idx="86">
                  <c:v>367.75</c:v>
                </c:pt>
                <c:pt idx="87">
                  <c:v>358.5</c:v>
                </c:pt>
                <c:pt idx="88">
                  <c:v>350</c:v>
                </c:pt>
                <c:pt idx="89">
                  <c:v>347.38</c:v>
                </c:pt>
                <c:pt idx="90">
                  <c:v>344.5</c:v>
                </c:pt>
                <c:pt idx="91">
                  <c:v>341</c:v>
                </c:pt>
                <c:pt idx="92">
                  <c:v>345.38</c:v>
                </c:pt>
                <c:pt idx="93">
                  <c:v>340</c:v>
                </c:pt>
                <c:pt idx="94">
                  <c:v>335.85</c:v>
                </c:pt>
                <c:pt idx="95">
                  <c:v>332.5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83-4A12-BA1E-2B2647FAFE18}"/>
            </c:ext>
          </c:extLst>
        </c:ser>
        <c:ser>
          <c:idx val="1"/>
          <c:order val="1"/>
          <c:tx>
            <c:strRef>
              <c:f>[12]报价及预中标!$K$1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[12]报价及预中标!$K$2:$K$97</c:f>
              <c:numCache>
                <c:formatCode>General</c:formatCode>
                <c:ptCount val="96"/>
                <c:pt idx="0">
                  <c:v>330</c:v>
                </c:pt>
                <c:pt idx="1">
                  <c:v>328</c:v>
                </c:pt>
                <c:pt idx="2">
                  <c:v>328</c:v>
                </c:pt>
                <c:pt idx="3">
                  <c:v>326</c:v>
                </c:pt>
                <c:pt idx="4">
                  <c:v>325</c:v>
                </c:pt>
                <c:pt idx="5">
                  <c:v>324</c:v>
                </c:pt>
                <c:pt idx="6">
                  <c:v>322</c:v>
                </c:pt>
                <c:pt idx="7">
                  <c:v>322</c:v>
                </c:pt>
                <c:pt idx="8">
                  <c:v>332.5</c:v>
                </c:pt>
                <c:pt idx="9">
                  <c:v>330</c:v>
                </c:pt>
                <c:pt idx="10">
                  <c:v>329.38</c:v>
                </c:pt>
                <c:pt idx="11">
                  <c:v>328</c:v>
                </c:pt>
                <c:pt idx="12">
                  <c:v>326</c:v>
                </c:pt>
                <c:pt idx="13">
                  <c:v>322</c:v>
                </c:pt>
                <c:pt idx="14">
                  <c:v>322</c:v>
                </c:pt>
                <c:pt idx="15">
                  <c:v>321.88</c:v>
                </c:pt>
                <c:pt idx="16">
                  <c:v>320</c:v>
                </c:pt>
                <c:pt idx="17">
                  <c:v>322</c:v>
                </c:pt>
                <c:pt idx="18">
                  <c:v>322</c:v>
                </c:pt>
                <c:pt idx="19">
                  <c:v>324</c:v>
                </c:pt>
                <c:pt idx="20">
                  <c:v>327.73</c:v>
                </c:pt>
                <c:pt idx="21">
                  <c:v>322</c:v>
                </c:pt>
                <c:pt idx="22">
                  <c:v>318.33</c:v>
                </c:pt>
                <c:pt idx="23">
                  <c:v>317</c:v>
                </c:pt>
                <c:pt idx="24">
                  <c:v>316</c:v>
                </c:pt>
                <c:pt idx="25">
                  <c:v>319</c:v>
                </c:pt>
                <c:pt idx="26">
                  <c:v>321</c:v>
                </c:pt>
                <c:pt idx="27">
                  <c:v>322</c:v>
                </c:pt>
                <c:pt idx="28">
                  <c:v>325</c:v>
                </c:pt>
                <c:pt idx="29">
                  <c:v>334</c:v>
                </c:pt>
                <c:pt idx="30">
                  <c:v>342.5</c:v>
                </c:pt>
                <c:pt idx="31">
                  <c:v>356</c:v>
                </c:pt>
                <c:pt idx="32">
                  <c:v>355</c:v>
                </c:pt>
                <c:pt idx="33">
                  <c:v>346</c:v>
                </c:pt>
                <c:pt idx="34">
                  <c:v>338</c:v>
                </c:pt>
                <c:pt idx="35">
                  <c:v>330.63</c:v>
                </c:pt>
                <c:pt idx="36">
                  <c:v>325</c:v>
                </c:pt>
                <c:pt idx="37">
                  <c:v>312</c:v>
                </c:pt>
                <c:pt idx="38">
                  <c:v>301.88</c:v>
                </c:pt>
                <c:pt idx="39">
                  <c:v>270</c:v>
                </c:pt>
                <c:pt idx="40">
                  <c:v>276</c:v>
                </c:pt>
                <c:pt idx="41">
                  <c:v>199.8</c:v>
                </c:pt>
                <c:pt idx="42">
                  <c:v>157.32</c:v>
                </c:pt>
                <c:pt idx="43">
                  <c:v>157.32</c:v>
                </c:pt>
                <c:pt idx="44">
                  <c:v>247.8</c:v>
                </c:pt>
                <c:pt idx="45">
                  <c:v>192</c:v>
                </c:pt>
                <c:pt idx="46">
                  <c:v>204.33</c:v>
                </c:pt>
                <c:pt idx="47">
                  <c:v>44.07</c:v>
                </c:pt>
                <c:pt idx="48">
                  <c:v>98.4</c:v>
                </c:pt>
                <c:pt idx="49">
                  <c:v>136.19999999999999</c:v>
                </c:pt>
                <c:pt idx="50">
                  <c:v>157.32</c:v>
                </c:pt>
                <c:pt idx="51">
                  <c:v>131.04</c:v>
                </c:pt>
                <c:pt idx="52">
                  <c:v>183.6</c:v>
                </c:pt>
                <c:pt idx="53">
                  <c:v>157.32</c:v>
                </c:pt>
                <c:pt idx="54">
                  <c:v>152.32</c:v>
                </c:pt>
                <c:pt idx="55">
                  <c:v>162.32</c:v>
                </c:pt>
                <c:pt idx="56">
                  <c:v>162.32</c:v>
                </c:pt>
                <c:pt idx="57">
                  <c:v>228.6</c:v>
                </c:pt>
                <c:pt idx="58">
                  <c:v>298</c:v>
                </c:pt>
                <c:pt idx="59">
                  <c:v>303.33</c:v>
                </c:pt>
                <c:pt idx="60">
                  <c:v>315</c:v>
                </c:pt>
                <c:pt idx="61">
                  <c:v>327.43</c:v>
                </c:pt>
                <c:pt idx="62">
                  <c:v>336.33</c:v>
                </c:pt>
                <c:pt idx="63">
                  <c:v>341.75</c:v>
                </c:pt>
                <c:pt idx="64">
                  <c:v>358</c:v>
                </c:pt>
                <c:pt idx="65">
                  <c:v>367.8</c:v>
                </c:pt>
                <c:pt idx="66">
                  <c:v>371.7</c:v>
                </c:pt>
                <c:pt idx="67">
                  <c:v>373.5</c:v>
                </c:pt>
                <c:pt idx="68">
                  <c:v>371</c:v>
                </c:pt>
                <c:pt idx="69">
                  <c:v>371</c:v>
                </c:pt>
                <c:pt idx="70">
                  <c:v>371</c:v>
                </c:pt>
                <c:pt idx="71">
                  <c:v>371</c:v>
                </c:pt>
                <c:pt idx="72">
                  <c:v>371</c:v>
                </c:pt>
                <c:pt idx="73">
                  <c:v>371</c:v>
                </c:pt>
                <c:pt idx="74">
                  <c:v>371</c:v>
                </c:pt>
                <c:pt idx="75">
                  <c:v>371</c:v>
                </c:pt>
                <c:pt idx="76">
                  <c:v>371</c:v>
                </c:pt>
                <c:pt idx="77">
                  <c:v>371</c:v>
                </c:pt>
                <c:pt idx="78">
                  <c:v>371</c:v>
                </c:pt>
                <c:pt idx="79">
                  <c:v>371</c:v>
                </c:pt>
                <c:pt idx="80">
                  <c:v>371</c:v>
                </c:pt>
                <c:pt idx="81">
                  <c:v>371</c:v>
                </c:pt>
                <c:pt idx="82">
                  <c:v>371</c:v>
                </c:pt>
                <c:pt idx="83">
                  <c:v>371</c:v>
                </c:pt>
                <c:pt idx="84">
                  <c:v>371</c:v>
                </c:pt>
                <c:pt idx="85">
                  <c:v>371</c:v>
                </c:pt>
                <c:pt idx="86">
                  <c:v>367.75</c:v>
                </c:pt>
                <c:pt idx="87">
                  <c:v>358.5</c:v>
                </c:pt>
                <c:pt idx="88">
                  <c:v>350</c:v>
                </c:pt>
                <c:pt idx="89">
                  <c:v>347.38</c:v>
                </c:pt>
                <c:pt idx="90">
                  <c:v>344.5</c:v>
                </c:pt>
                <c:pt idx="91">
                  <c:v>341</c:v>
                </c:pt>
                <c:pt idx="92">
                  <c:v>345.38</c:v>
                </c:pt>
                <c:pt idx="93">
                  <c:v>340</c:v>
                </c:pt>
                <c:pt idx="94">
                  <c:v>335.85</c:v>
                </c:pt>
                <c:pt idx="95">
                  <c:v>332.5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83-4A12-BA1E-2B2647FAF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[13]报价及预中标!$N$1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64.849999999999994</c:v>
                </c:pt>
                <c:pt idx="72">
                  <c:v>64.849999999999994</c:v>
                </c:pt>
                <c:pt idx="73">
                  <c:v>64.849999999999994</c:v>
                </c:pt>
                <c:pt idx="74">
                  <c:v>64.849999999999994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57-4736-95DA-AED72FB25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[13]报价及预中标!$J$1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[13]报价及预中标!$J$2:$J$97</c:f>
              <c:numCache>
                <c:formatCode>General</c:formatCode>
                <c:ptCount val="96"/>
                <c:pt idx="0">
                  <c:v>315</c:v>
                </c:pt>
                <c:pt idx="1">
                  <c:v>312</c:v>
                </c:pt>
                <c:pt idx="2">
                  <c:v>310</c:v>
                </c:pt>
                <c:pt idx="3">
                  <c:v>308</c:v>
                </c:pt>
                <c:pt idx="4">
                  <c:v>308</c:v>
                </c:pt>
                <c:pt idx="5">
                  <c:v>308</c:v>
                </c:pt>
                <c:pt idx="6">
                  <c:v>306</c:v>
                </c:pt>
                <c:pt idx="7">
                  <c:v>306</c:v>
                </c:pt>
                <c:pt idx="8">
                  <c:v>315</c:v>
                </c:pt>
                <c:pt idx="9">
                  <c:v>315</c:v>
                </c:pt>
                <c:pt idx="10">
                  <c:v>315</c:v>
                </c:pt>
                <c:pt idx="11">
                  <c:v>312</c:v>
                </c:pt>
                <c:pt idx="12">
                  <c:v>310</c:v>
                </c:pt>
                <c:pt idx="13">
                  <c:v>309.38</c:v>
                </c:pt>
                <c:pt idx="14">
                  <c:v>310</c:v>
                </c:pt>
                <c:pt idx="15">
                  <c:v>309</c:v>
                </c:pt>
                <c:pt idx="16">
                  <c:v>310</c:v>
                </c:pt>
                <c:pt idx="17">
                  <c:v>312</c:v>
                </c:pt>
                <c:pt idx="18">
                  <c:v>313.75</c:v>
                </c:pt>
                <c:pt idx="19">
                  <c:v>316</c:v>
                </c:pt>
                <c:pt idx="20">
                  <c:v>319</c:v>
                </c:pt>
                <c:pt idx="21">
                  <c:v>313.13</c:v>
                </c:pt>
                <c:pt idx="22">
                  <c:v>310</c:v>
                </c:pt>
                <c:pt idx="23">
                  <c:v>306</c:v>
                </c:pt>
                <c:pt idx="24">
                  <c:v>306.25</c:v>
                </c:pt>
                <c:pt idx="25">
                  <c:v>308.13</c:v>
                </c:pt>
                <c:pt idx="26">
                  <c:v>314</c:v>
                </c:pt>
                <c:pt idx="27">
                  <c:v>314</c:v>
                </c:pt>
                <c:pt idx="28">
                  <c:v>316</c:v>
                </c:pt>
                <c:pt idx="29">
                  <c:v>330</c:v>
                </c:pt>
                <c:pt idx="30">
                  <c:v>344.33</c:v>
                </c:pt>
                <c:pt idx="31">
                  <c:v>354</c:v>
                </c:pt>
                <c:pt idx="32">
                  <c:v>357.5</c:v>
                </c:pt>
                <c:pt idx="33">
                  <c:v>350.75</c:v>
                </c:pt>
                <c:pt idx="34">
                  <c:v>344</c:v>
                </c:pt>
                <c:pt idx="35">
                  <c:v>334</c:v>
                </c:pt>
                <c:pt idx="36">
                  <c:v>328</c:v>
                </c:pt>
                <c:pt idx="37">
                  <c:v>317.04000000000002</c:v>
                </c:pt>
                <c:pt idx="38">
                  <c:v>309.27</c:v>
                </c:pt>
                <c:pt idx="39">
                  <c:v>302</c:v>
                </c:pt>
                <c:pt idx="40">
                  <c:v>303.13</c:v>
                </c:pt>
                <c:pt idx="41">
                  <c:v>295.91000000000003</c:v>
                </c:pt>
                <c:pt idx="42">
                  <c:v>286</c:v>
                </c:pt>
                <c:pt idx="43">
                  <c:v>279</c:v>
                </c:pt>
                <c:pt idx="44">
                  <c:v>291.88</c:v>
                </c:pt>
                <c:pt idx="45">
                  <c:v>219.6</c:v>
                </c:pt>
                <c:pt idx="46">
                  <c:v>219.6</c:v>
                </c:pt>
                <c:pt idx="47">
                  <c:v>181.71</c:v>
                </c:pt>
                <c:pt idx="48">
                  <c:v>177.86</c:v>
                </c:pt>
                <c:pt idx="49">
                  <c:v>167.46</c:v>
                </c:pt>
                <c:pt idx="50">
                  <c:v>181.71</c:v>
                </c:pt>
                <c:pt idx="51">
                  <c:v>184.05</c:v>
                </c:pt>
                <c:pt idx="52">
                  <c:v>224</c:v>
                </c:pt>
                <c:pt idx="53">
                  <c:v>215.55</c:v>
                </c:pt>
                <c:pt idx="54">
                  <c:v>215.55</c:v>
                </c:pt>
                <c:pt idx="55">
                  <c:v>266.88</c:v>
                </c:pt>
                <c:pt idx="56">
                  <c:v>282</c:v>
                </c:pt>
                <c:pt idx="57">
                  <c:v>300</c:v>
                </c:pt>
                <c:pt idx="58">
                  <c:v>305.45</c:v>
                </c:pt>
                <c:pt idx="59">
                  <c:v>305</c:v>
                </c:pt>
                <c:pt idx="60">
                  <c:v>310</c:v>
                </c:pt>
                <c:pt idx="61">
                  <c:v>320</c:v>
                </c:pt>
                <c:pt idx="62">
                  <c:v>327.43</c:v>
                </c:pt>
                <c:pt idx="63">
                  <c:v>330.63</c:v>
                </c:pt>
                <c:pt idx="64">
                  <c:v>342</c:v>
                </c:pt>
                <c:pt idx="65">
                  <c:v>352.5</c:v>
                </c:pt>
                <c:pt idx="66">
                  <c:v>361.25</c:v>
                </c:pt>
                <c:pt idx="67">
                  <c:v>361.25</c:v>
                </c:pt>
                <c:pt idx="68">
                  <c:v>361.25</c:v>
                </c:pt>
                <c:pt idx="69">
                  <c:v>361.25</c:v>
                </c:pt>
                <c:pt idx="70">
                  <c:v>361.25</c:v>
                </c:pt>
                <c:pt idx="71">
                  <c:v>361.25</c:v>
                </c:pt>
                <c:pt idx="72">
                  <c:v>361.25</c:v>
                </c:pt>
                <c:pt idx="73">
                  <c:v>361.25</c:v>
                </c:pt>
                <c:pt idx="74">
                  <c:v>361.25</c:v>
                </c:pt>
                <c:pt idx="75">
                  <c:v>361.25</c:v>
                </c:pt>
                <c:pt idx="76">
                  <c:v>361.25</c:v>
                </c:pt>
                <c:pt idx="77">
                  <c:v>361.25</c:v>
                </c:pt>
                <c:pt idx="78">
                  <c:v>361.25</c:v>
                </c:pt>
                <c:pt idx="79">
                  <c:v>358.13</c:v>
                </c:pt>
                <c:pt idx="80">
                  <c:v>357.5</c:v>
                </c:pt>
                <c:pt idx="81">
                  <c:v>355.38</c:v>
                </c:pt>
                <c:pt idx="82">
                  <c:v>354</c:v>
                </c:pt>
                <c:pt idx="83">
                  <c:v>353.75</c:v>
                </c:pt>
                <c:pt idx="84">
                  <c:v>358</c:v>
                </c:pt>
                <c:pt idx="85">
                  <c:v>354.3</c:v>
                </c:pt>
                <c:pt idx="86">
                  <c:v>348.88</c:v>
                </c:pt>
                <c:pt idx="87">
                  <c:v>340.78</c:v>
                </c:pt>
                <c:pt idx="88">
                  <c:v>335.38</c:v>
                </c:pt>
                <c:pt idx="89">
                  <c:v>334.89</c:v>
                </c:pt>
                <c:pt idx="90">
                  <c:v>333</c:v>
                </c:pt>
                <c:pt idx="91">
                  <c:v>330.63</c:v>
                </c:pt>
                <c:pt idx="92">
                  <c:v>335</c:v>
                </c:pt>
                <c:pt idx="93">
                  <c:v>330</c:v>
                </c:pt>
                <c:pt idx="94">
                  <c:v>326.33</c:v>
                </c:pt>
                <c:pt idx="95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5-4DA6-8D5D-C7623AC6FD3A}"/>
            </c:ext>
          </c:extLst>
        </c:ser>
        <c:ser>
          <c:idx val="1"/>
          <c:order val="1"/>
          <c:tx>
            <c:strRef>
              <c:f>[13]报价及预中标!$K$1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[13]报价及预中标!$K$2:$K$97</c:f>
              <c:numCache>
                <c:formatCode>General</c:formatCode>
                <c:ptCount val="96"/>
                <c:pt idx="0">
                  <c:v>315</c:v>
                </c:pt>
                <c:pt idx="1">
                  <c:v>312</c:v>
                </c:pt>
                <c:pt idx="2">
                  <c:v>310</c:v>
                </c:pt>
                <c:pt idx="3">
                  <c:v>308</c:v>
                </c:pt>
                <c:pt idx="4">
                  <c:v>308</c:v>
                </c:pt>
                <c:pt idx="5">
                  <c:v>308</c:v>
                </c:pt>
                <c:pt idx="6">
                  <c:v>306</c:v>
                </c:pt>
                <c:pt idx="7">
                  <c:v>306</c:v>
                </c:pt>
                <c:pt idx="8">
                  <c:v>315</c:v>
                </c:pt>
                <c:pt idx="9">
                  <c:v>315</c:v>
                </c:pt>
                <c:pt idx="10">
                  <c:v>315</c:v>
                </c:pt>
                <c:pt idx="11">
                  <c:v>312</c:v>
                </c:pt>
                <c:pt idx="12">
                  <c:v>310</c:v>
                </c:pt>
                <c:pt idx="13">
                  <c:v>309.38</c:v>
                </c:pt>
                <c:pt idx="14">
                  <c:v>310</c:v>
                </c:pt>
                <c:pt idx="15">
                  <c:v>309</c:v>
                </c:pt>
                <c:pt idx="16">
                  <c:v>310</c:v>
                </c:pt>
                <c:pt idx="17">
                  <c:v>312</c:v>
                </c:pt>
                <c:pt idx="18">
                  <c:v>313.75</c:v>
                </c:pt>
                <c:pt idx="19">
                  <c:v>316</c:v>
                </c:pt>
                <c:pt idx="20">
                  <c:v>319</c:v>
                </c:pt>
                <c:pt idx="21">
                  <c:v>313.13</c:v>
                </c:pt>
                <c:pt idx="22">
                  <c:v>310</c:v>
                </c:pt>
                <c:pt idx="23">
                  <c:v>306</c:v>
                </c:pt>
                <c:pt idx="24">
                  <c:v>306.25</c:v>
                </c:pt>
                <c:pt idx="25">
                  <c:v>308.13</c:v>
                </c:pt>
                <c:pt idx="26">
                  <c:v>314</c:v>
                </c:pt>
                <c:pt idx="27">
                  <c:v>314</c:v>
                </c:pt>
                <c:pt idx="28">
                  <c:v>316</c:v>
                </c:pt>
                <c:pt idx="29">
                  <c:v>330</c:v>
                </c:pt>
                <c:pt idx="30">
                  <c:v>344.33</c:v>
                </c:pt>
                <c:pt idx="31">
                  <c:v>354</c:v>
                </c:pt>
                <c:pt idx="32">
                  <c:v>357.5</c:v>
                </c:pt>
                <c:pt idx="33">
                  <c:v>350.75</c:v>
                </c:pt>
                <c:pt idx="34">
                  <c:v>344</c:v>
                </c:pt>
                <c:pt idx="35">
                  <c:v>334</c:v>
                </c:pt>
                <c:pt idx="36">
                  <c:v>328</c:v>
                </c:pt>
                <c:pt idx="37">
                  <c:v>317.04000000000002</c:v>
                </c:pt>
                <c:pt idx="38">
                  <c:v>309.27</c:v>
                </c:pt>
                <c:pt idx="39">
                  <c:v>302</c:v>
                </c:pt>
                <c:pt idx="40">
                  <c:v>303.13</c:v>
                </c:pt>
                <c:pt idx="41">
                  <c:v>295.91000000000003</c:v>
                </c:pt>
                <c:pt idx="42">
                  <c:v>286</c:v>
                </c:pt>
                <c:pt idx="43">
                  <c:v>279</c:v>
                </c:pt>
                <c:pt idx="44">
                  <c:v>291.88</c:v>
                </c:pt>
                <c:pt idx="45">
                  <c:v>219.6</c:v>
                </c:pt>
                <c:pt idx="46">
                  <c:v>219.6</c:v>
                </c:pt>
                <c:pt idx="47">
                  <c:v>181.71</c:v>
                </c:pt>
                <c:pt idx="48">
                  <c:v>177.86</c:v>
                </c:pt>
                <c:pt idx="49">
                  <c:v>167.46</c:v>
                </c:pt>
                <c:pt idx="50">
                  <c:v>181.71</c:v>
                </c:pt>
                <c:pt idx="51">
                  <c:v>184.05</c:v>
                </c:pt>
                <c:pt idx="52">
                  <c:v>224</c:v>
                </c:pt>
                <c:pt idx="53">
                  <c:v>215.55</c:v>
                </c:pt>
                <c:pt idx="54">
                  <c:v>215.55</c:v>
                </c:pt>
                <c:pt idx="55">
                  <c:v>266.88</c:v>
                </c:pt>
                <c:pt idx="56">
                  <c:v>282</c:v>
                </c:pt>
                <c:pt idx="57">
                  <c:v>300</c:v>
                </c:pt>
                <c:pt idx="58">
                  <c:v>305.45</c:v>
                </c:pt>
                <c:pt idx="59">
                  <c:v>305</c:v>
                </c:pt>
                <c:pt idx="60">
                  <c:v>310</c:v>
                </c:pt>
                <c:pt idx="61">
                  <c:v>320</c:v>
                </c:pt>
                <c:pt idx="62">
                  <c:v>327.43</c:v>
                </c:pt>
                <c:pt idx="63">
                  <c:v>330.63</c:v>
                </c:pt>
                <c:pt idx="64">
                  <c:v>342</c:v>
                </c:pt>
                <c:pt idx="65">
                  <c:v>352.5</c:v>
                </c:pt>
                <c:pt idx="66">
                  <c:v>361.25</c:v>
                </c:pt>
                <c:pt idx="67">
                  <c:v>361.25</c:v>
                </c:pt>
                <c:pt idx="68">
                  <c:v>361.25</c:v>
                </c:pt>
                <c:pt idx="69">
                  <c:v>361.25</c:v>
                </c:pt>
                <c:pt idx="70">
                  <c:v>361.25</c:v>
                </c:pt>
                <c:pt idx="71">
                  <c:v>361.25</c:v>
                </c:pt>
                <c:pt idx="72">
                  <c:v>361.25</c:v>
                </c:pt>
                <c:pt idx="73">
                  <c:v>361.25</c:v>
                </c:pt>
                <c:pt idx="74">
                  <c:v>361.25</c:v>
                </c:pt>
                <c:pt idx="75">
                  <c:v>361.25</c:v>
                </c:pt>
                <c:pt idx="76">
                  <c:v>361.25</c:v>
                </c:pt>
                <c:pt idx="77">
                  <c:v>361.25</c:v>
                </c:pt>
                <c:pt idx="78">
                  <c:v>361.25</c:v>
                </c:pt>
                <c:pt idx="79">
                  <c:v>358.13</c:v>
                </c:pt>
                <c:pt idx="80">
                  <c:v>357.5</c:v>
                </c:pt>
                <c:pt idx="81">
                  <c:v>355.38</c:v>
                </c:pt>
                <c:pt idx="82">
                  <c:v>354</c:v>
                </c:pt>
                <c:pt idx="83">
                  <c:v>353.75</c:v>
                </c:pt>
                <c:pt idx="84">
                  <c:v>358</c:v>
                </c:pt>
                <c:pt idx="85">
                  <c:v>354.3</c:v>
                </c:pt>
                <c:pt idx="86">
                  <c:v>348.88</c:v>
                </c:pt>
                <c:pt idx="87">
                  <c:v>340.78</c:v>
                </c:pt>
                <c:pt idx="88">
                  <c:v>335.38</c:v>
                </c:pt>
                <c:pt idx="89">
                  <c:v>334.89</c:v>
                </c:pt>
                <c:pt idx="90">
                  <c:v>333</c:v>
                </c:pt>
                <c:pt idx="91">
                  <c:v>330.63</c:v>
                </c:pt>
                <c:pt idx="92">
                  <c:v>335</c:v>
                </c:pt>
                <c:pt idx="93">
                  <c:v>330</c:v>
                </c:pt>
                <c:pt idx="94">
                  <c:v>326.33</c:v>
                </c:pt>
                <c:pt idx="95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5-4DA6-8D5D-C7623AC6F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[14]报价及预中标!$N$1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-11.83</c:v>
                </c:pt>
                <c:pt idx="16">
                  <c:v>-11.83</c:v>
                </c:pt>
                <c:pt idx="17">
                  <c:v>-11.83</c:v>
                </c:pt>
                <c:pt idx="18">
                  <c:v>-11.83</c:v>
                </c:pt>
                <c:pt idx="19">
                  <c:v>-11.83</c:v>
                </c:pt>
                <c:pt idx="20">
                  <c:v>-11.83</c:v>
                </c:pt>
                <c:pt idx="21">
                  <c:v>-95</c:v>
                </c:pt>
                <c:pt idx="22">
                  <c:v>-95</c:v>
                </c:pt>
                <c:pt idx="23">
                  <c:v>-95</c:v>
                </c:pt>
                <c:pt idx="24">
                  <c:v>-95</c:v>
                </c:pt>
                <c:pt idx="25">
                  <c:v>-95</c:v>
                </c:pt>
                <c:pt idx="26">
                  <c:v>-95</c:v>
                </c:pt>
                <c:pt idx="27">
                  <c:v>-95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6.84</c:v>
                </c:pt>
                <c:pt idx="36">
                  <c:v>6.84</c:v>
                </c:pt>
                <c:pt idx="37">
                  <c:v>6.84</c:v>
                </c:pt>
                <c:pt idx="38">
                  <c:v>6.84</c:v>
                </c:pt>
                <c:pt idx="39">
                  <c:v>6.84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5-4B0B-83CB-A2E54C0B0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[14]报价及预中标!$J$1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[14]报价及预中标!$J$2:$J$97</c:f>
              <c:numCache>
                <c:formatCode>General</c:formatCode>
                <c:ptCount val="96"/>
                <c:pt idx="0">
                  <c:v>328</c:v>
                </c:pt>
                <c:pt idx="1">
                  <c:v>328</c:v>
                </c:pt>
                <c:pt idx="2">
                  <c:v>328</c:v>
                </c:pt>
                <c:pt idx="3">
                  <c:v>328</c:v>
                </c:pt>
                <c:pt idx="4">
                  <c:v>328</c:v>
                </c:pt>
                <c:pt idx="5">
                  <c:v>328</c:v>
                </c:pt>
                <c:pt idx="6">
                  <c:v>328</c:v>
                </c:pt>
                <c:pt idx="7">
                  <c:v>328</c:v>
                </c:pt>
                <c:pt idx="8">
                  <c:v>330</c:v>
                </c:pt>
                <c:pt idx="9">
                  <c:v>328.25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326</c:v>
                </c:pt>
                <c:pt idx="28">
                  <c:v>322</c:v>
                </c:pt>
                <c:pt idx="29">
                  <c:v>325.33</c:v>
                </c:pt>
                <c:pt idx="30">
                  <c:v>330.42</c:v>
                </c:pt>
                <c:pt idx="31">
                  <c:v>336.25</c:v>
                </c:pt>
                <c:pt idx="32">
                  <c:v>682.8</c:v>
                </c:pt>
                <c:pt idx="33">
                  <c:v>682.8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290</c:v>
                </c:pt>
                <c:pt idx="48">
                  <c:v>850</c:v>
                </c:pt>
                <c:pt idx="49">
                  <c:v>682.8</c:v>
                </c:pt>
                <c:pt idx="50">
                  <c:v>682.8</c:v>
                </c:pt>
                <c:pt idx="51">
                  <c:v>300</c:v>
                </c:pt>
                <c:pt idx="52">
                  <c:v>850</c:v>
                </c:pt>
                <c:pt idx="53">
                  <c:v>682.8</c:v>
                </c:pt>
                <c:pt idx="54">
                  <c:v>682.8</c:v>
                </c:pt>
                <c:pt idx="55">
                  <c:v>682.8</c:v>
                </c:pt>
                <c:pt idx="56">
                  <c:v>682.8</c:v>
                </c:pt>
                <c:pt idx="57">
                  <c:v>682.8</c:v>
                </c:pt>
                <c:pt idx="58">
                  <c:v>682.8</c:v>
                </c:pt>
                <c:pt idx="59">
                  <c:v>320</c:v>
                </c:pt>
                <c:pt idx="60">
                  <c:v>359.09</c:v>
                </c:pt>
                <c:pt idx="61">
                  <c:v>330.56</c:v>
                </c:pt>
                <c:pt idx="62">
                  <c:v>330.56</c:v>
                </c:pt>
                <c:pt idx="63">
                  <c:v>330.56</c:v>
                </c:pt>
                <c:pt idx="64">
                  <c:v>330.56</c:v>
                </c:pt>
                <c:pt idx="65">
                  <c:v>334</c:v>
                </c:pt>
                <c:pt idx="66">
                  <c:v>340</c:v>
                </c:pt>
                <c:pt idx="67">
                  <c:v>344.36</c:v>
                </c:pt>
                <c:pt idx="68">
                  <c:v>346</c:v>
                </c:pt>
                <c:pt idx="69">
                  <c:v>354</c:v>
                </c:pt>
                <c:pt idx="70">
                  <c:v>354</c:v>
                </c:pt>
                <c:pt idx="71">
                  <c:v>353</c:v>
                </c:pt>
                <c:pt idx="72">
                  <c:v>348.11</c:v>
                </c:pt>
                <c:pt idx="73">
                  <c:v>346.22</c:v>
                </c:pt>
                <c:pt idx="74">
                  <c:v>343.11</c:v>
                </c:pt>
                <c:pt idx="75">
                  <c:v>340.78</c:v>
                </c:pt>
                <c:pt idx="76">
                  <c:v>344</c:v>
                </c:pt>
                <c:pt idx="77">
                  <c:v>340</c:v>
                </c:pt>
                <c:pt idx="78">
                  <c:v>339.23</c:v>
                </c:pt>
                <c:pt idx="79">
                  <c:v>336</c:v>
                </c:pt>
                <c:pt idx="80">
                  <c:v>335.69</c:v>
                </c:pt>
                <c:pt idx="81">
                  <c:v>335</c:v>
                </c:pt>
                <c:pt idx="82">
                  <c:v>333.71</c:v>
                </c:pt>
                <c:pt idx="83">
                  <c:v>332.5</c:v>
                </c:pt>
                <c:pt idx="84">
                  <c:v>338</c:v>
                </c:pt>
                <c:pt idx="85">
                  <c:v>336</c:v>
                </c:pt>
                <c:pt idx="86">
                  <c:v>330</c:v>
                </c:pt>
                <c:pt idx="87">
                  <c:v>326.88</c:v>
                </c:pt>
                <c:pt idx="88">
                  <c:v>324</c:v>
                </c:pt>
                <c:pt idx="89">
                  <c:v>323.70999999999998</c:v>
                </c:pt>
                <c:pt idx="90">
                  <c:v>322</c:v>
                </c:pt>
                <c:pt idx="91">
                  <c:v>320</c:v>
                </c:pt>
                <c:pt idx="92">
                  <c:v>324</c:v>
                </c:pt>
                <c:pt idx="93">
                  <c:v>320</c:v>
                </c:pt>
                <c:pt idx="94">
                  <c:v>316</c:v>
                </c:pt>
                <c:pt idx="95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A1-4199-8FEC-3140839A423A}"/>
            </c:ext>
          </c:extLst>
        </c:ser>
        <c:ser>
          <c:idx val="1"/>
          <c:order val="1"/>
          <c:tx>
            <c:strRef>
              <c:f>[14]报价及预中标!$K$1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[14]报价及预中标!$K$2:$K$97</c:f>
              <c:numCache>
                <c:formatCode>General</c:formatCode>
                <c:ptCount val="96"/>
                <c:pt idx="0">
                  <c:v>328</c:v>
                </c:pt>
                <c:pt idx="1">
                  <c:v>328</c:v>
                </c:pt>
                <c:pt idx="2">
                  <c:v>328</c:v>
                </c:pt>
                <c:pt idx="3">
                  <c:v>328</c:v>
                </c:pt>
                <c:pt idx="4">
                  <c:v>328</c:v>
                </c:pt>
                <c:pt idx="5">
                  <c:v>328</c:v>
                </c:pt>
                <c:pt idx="6">
                  <c:v>328</c:v>
                </c:pt>
                <c:pt idx="7">
                  <c:v>328</c:v>
                </c:pt>
                <c:pt idx="8">
                  <c:v>330</c:v>
                </c:pt>
                <c:pt idx="9">
                  <c:v>328.25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326</c:v>
                </c:pt>
                <c:pt idx="28">
                  <c:v>322</c:v>
                </c:pt>
                <c:pt idx="29">
                  <c:v>325.33</c:v>
                </c:pt>
                <c:pt idx="30">
                  <c:v>330.42</c:v>
                </c:pt>
                <c:pt idx="31">
                  <c:v>336.25</c:v>
                </c:pt>
                <c:pt idx="32">
                  <c:v>682.8</c:v>
                </c:pt>
                <c:pt idx="33">
                  <c:v>682.8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290</c:v>
                </c:pt>
                <c:pt idx="48">
                  <c:v>850</c:v>
                </c:pt>
                <c:pt idx="49">
                  <c:v>682.8</c:v>
                </c:pt>
                <c:pt idx="50">
                  <c:v>682.8</c:v>
                </c:pt>
                <c:pt idx="51">
                  <c:v>300</c:v>
                </c:pt>
                <c:pt idx="52">
                  <c:v>850</c:v>
                </c:pt>
                <c:pt idx="53">
                  <c:v>682.8</c:v>
                </c:pt>
                <c:pt idx="54">
                  <c:v>682.8</c:v>
                </c:pt>
                <c:pt idx="55">
                  <c:v>682.8</c:v>
                </c:pt>
                <c:pt idx="56">
                  <c:v>682.8</c:v>
                </c:pt>
                <c:pt idx="57">
                  <c:v>682.8</c:v>
                </c:pt>
                <c:pt idx="58">
                  <c:v>682.8</c:v>
                </c:pt>
                <c:pt idx="59">
                  <c:v>320</c:v>
                </c:pt>
                <c:pt idx="60">
                  <c:v>359.09</c:v>
                </c:pt>
                <c:pt idx="61">
                  <c:v>330.56</c:v>
                </c:pt>
                <c:pt idx="62">
                  <c:v>330.56</c:v>
                </c:pt>
                <c:pt idx="63">
                  <c:v>330.56</c:v>
                </c:pt>
                <c:pt idx="64">
                  <c:v>330.56</c:v>
                </c:pt>
                <c:pt idx="65">
                  <c:v>334</c:v>
                </c:pt>
                <c:pt idx="66">
                  <c:v>340</c:v>
                </c:pt>
                <c:pt idx="67">
                  <c:v>344.36</c:v>
                </c:pt>
                <c:pt idx="68">
                  <c:v>346</c:v>
                </c:pt>
                <c:pt idx="69">
                  <c:v>354</c:v>
                </c:pt>
                <c:pt idx="70">
                  <c:v>354</c:v>
                </c:pt>
                <c:pt idx="71">
                  <c:v>353</c:v>
                </c:pt>
                <c:pt idx="72">
                  <c:v>348.11</c:v>
                </c:pt>
                <c:pt idx="73">
                  <c:v>346.22</c:v>
                </c:pt>
                <c:pt idx="74">
                  <c:v>343.11</c:v>
                </c:pt>
                <c:pt idx="75">
                  <c:v>340.78</c:v>
                </c:pt>
                <c:pt idx="76">
                  <c:v>344</c:v>
                </c:pt>
                <c:pt idx="77">
                  <c:v>340</c:v>
                </c:pt>
                <c:pt idx="78">
                  <c:v>339.23</c:v>
                </c:pt>
                <c:pt idx="79">
                  <c:v>336</c:v>
                </c:pt>
                <c:pt idx="80">
                  <c:v>335.69</c:v>
                </c:pt>
                <c:pt idx="81">
                  <c:v>335</c:v>
                </c:pt>
                <c:pt idx="82">
                  <c:v>333.71</c:v>
                </c:pt>
                <c:pt idx="83">
                  <c:v>332.5</c:v>
                </c:pt>
                <c:pt idx="84">
                  <c:v>338</c:v>
                </c:pt>
                <c:pt idx="85">
                  <c:v>336</c:v>
                </c:pt>
                <c:pt idx="86">
                  <c:v>330</c:v>
                </c:pt>
                <c:pt idx="87">
                  <c:v>326.88</c:v>
                </c:pt>
                <c:pt idx="88">
                  <c:v>324</c:v>
                </c:pt>
                <c:pt idx="89">
                  <c:v>323.70999999999998</c:v>
                </c:pt>
                <c:pt idx="90">
                  <c:v>322</c:v>
                </c:pt>
                <c:pt idx="91">
                  <c:v>320</c:v>
                </c:pt>
                <c:pt idx="92">
                  <c:v>324</c:v>
                </c:pt>
                <c:pt idx="93">
                  <c:v>320</c:v>
                </c:pt>
                <c:pt idx="94">
                  <c:v>316</c:v>
                </c:pt>
                <c:pt idx="95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1-4199-8FEC-3140839A4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-95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-12.6</c:v>
                </c:pt>
                <c:pt idx="53">
                  <c:v>-12.6</c:v>
                </c:pt>
                <c:pt idx="54">
                  <c:v>-12.6</c:v>
                </c:pt>
                <c:pt idx="55">
                  <c:v>-12.6</c:v>
                </c:pt>
                <c:pt idx="56">
                  <c:v>-12.6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12.33</c:v>
                </c:pt>
                <c:pt idx="79">
                  <c:v>75.47</c:v>
                </c:pt>
                <c:pt idx="80">
                  <c:v>75.47</c:v>
                </c:pt>
                <c:pt idx="81">
                  <c:v>75.47</c:v>
                </c:pt>
                <c:pt idx="82">
                  <c:v>75.47</c:v>
                </c:pt>
                <c:pt idx="83">
                  <c:v>75.47</c:v>
                </c:pt>
                <c:pt idx="84">
                  <c:v>75.47</c:v>
                </c:pt>
                <c:pt idx="85">
                  <c:v>75.47</c:v>
                </c:pt>
                <c:pt idx="86">
                  <c:v>75.47</c:v>
                </c:pt>
                <c:pt idx="87">
                  <c:v>75.47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2-4D9C-A686-93EAB0506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0fee4a4-bec2-4bfa-990d-068fe1e19e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[1]报价及预中标!$J$2:$J$97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8B-4A99-9FBC-AD39CD9F7CBB}"/>
            </c:ext>
          </c:extLst>
        </c:ser>
        <c:ser>
          <c:idx val="1"/>
          <c:order val="1"/>
          <c:tx>
            <c:strRef>
              <c:f>[1]报价及预中标!$K$1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[1]报价及预中标!$K$2:$K$97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8B-4A99-9FBC-AD39CD9F7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0cb966-1f27-4742-8f29-206ab2f5408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容量分摊系数!$D$8:$D$103</c:f>
              <c:numCache>
                <c:formatCode>General</c:formatCode>
                <c:ptCount val="9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9A-41E1-AE6B-0926EC71A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1098160"/>
        <c:axId val="972780736"/>
      </c:lineChart>
      <c:catAx>
        <c:axId val="1021098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780736"/>
        <c:crosses val="autoZero"/>
        <c:auto val="1"/>
        <c:lblAlgn val="ctr"/>
        <c:lblOffset val="100"/>
        <c:noMultiLvlLbl val="0"/>
      </c:catAx>
      <c:valAx>
        <c:axId val="9727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109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chart" Target="../charts/chart20.xml"/><Relationship Id="rId26" Type="http://schemas.openxmlformats.org/officeDocument/2006/relationships/chart" Target="../charts/chart28.xml"/><Relationship Id="rId3" Type="http://schemas.openxmlformats.org/officeDocument/2006/relationships/chart" Target="../charts/chart5.xml"/><Relationship Id="rId21" Type="http://schemas.openxmlformats.org/officeDocument/2006/relationships/chart" Target="../charts/chart23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5" Type="http://schemas.openxmlformats.org/officeDocument/2006/relationships/chart" Target="../charts/chart27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chart" Target="../charts/chart22.xml"/><Relationship Id="rId29" Type="http://schemas.openxmlformats.org/officeDocument/2006/relationships/chart" Target="../charts/chart31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24" Type="http://schemas.openxmlformats.org/officeDocument/2006/relationships/chart" Target="../charts/chart26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23" Type="http://schemas.openxmlformats.org/officeDocument/2006/relationships/chart" Target="../charts/chart25.xml"/><Relationship Id="rId28" Type="http://schemas.openxmlformats.org/officeDocument/2006/relationships/chart" Target="../charts/chart30.xml"/><Relationship Id="rId10" Type="http://schemas.openxmlformats.org/officeDocument/2006/relationships/chart" Target="../charts/chart12.xml"/><Relationship Id="rId19" Type="http://schemas.openxmlformats.org/officeDocument/2006/relationships/chart" Target="../charts/chart21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Relationship Id="rId22" Type="http://schemas.openxmlformats.org/officeDocument/2006/relationships/chart" Target="../charts/chart24.xml"/><Relationship Id="rId27" Type="http://schemas.openxmlformats.org/officeDocument/2006/relationships/chart" Target="../charts/chart29.xml"/><Relationship Id="rId30" Type="http://schemas.openxmlformats.org/officeDocument/2006/relationships/chart" Target="../charts/chart3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1013460</xdr:colOff>
      <xdr:row>4</xdr:row>
      <xdr:rowOff>87630</xdr:rowOff>
    </xdr:from>
    <xdr:to>
      <xdr:col>27</xdr:col>
      <xdr:colOff>533400</xdr:colOff>
      <xdr:row>20</xdr:row>
      <xdr:rowOff>26670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A35D9C2-7590-42BF-A2E8-573703A60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251460</xdr:colOff>
      <xdr:row>4</xdr:row>
      <xdr:rowOff>148590</xdr:rowOff>
    </xdr:from>
    <xdr:to>
      <xdr:col>35</xdr:col>
      <xdr:colOff>388620</xdr:colOff>
      <xdr:row>20</xdr:row>
      <xdr:rowOff>87630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BDD6AE2-7C8E-435D-B56D-615189A2E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C09AF8F-5F10-47BD-9F0C-FD633B93BB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DC132FF-915E-4496-B049-07CB84314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9F06D5E-DFA4-4E8F-91CC-FE702F79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631573A-4423-46FF-AD91-50F0CE42A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57A11C1-563B-4E18-837B-A6254B4C1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5D13AAE-4455-42E7-8BE8-5FE9BF6A9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2357EBB-878F-4257-A8EB-422858C703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62963D59-9792-4D6E-B096-4A3FCF432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26931C35-9434-462E-819C-A9BC3D320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AFDF5C65-1874-493B-AE8E-C0D9518F09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54F5A574-2077-4292-8933-95FE484ED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77363307-CCC0-42D8-B690-EFBC36D3D7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118E22F4-CD7A-4D55-878C-743C2ECFD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F8BC783A-2589-41D1-AD2E-8EC8F69A9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EBFEC88F-8FB1-4309-B129-D1890E61D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D2692E2F-C993-4C86-8B0C-5B04D9F446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D3963EA8-34CC-4BF0-9601-7263EFCB8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32094FFC-12FA-448E-B1A3-D5CEAAD86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863CD9BD-FF11-4311-8AAC-945FDB00F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A1936C41-B3AB-484D-ABF7-FDC48FF31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0B33A3BB-DE7C-4966-8F0D-A927D8E1C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CA79F7BF-66C8-4056-8C81-BFB4F7B9F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BB029188-A475-465B-BBC7-6B061EE1F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D77F62CE-BFA9-4CF8-B8E8-802399250C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EA8FE6D2-5282-43FB-8BFF-59FC0ACC5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C6220D9-E32D-4B3D-A03E-A84D301FFE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3072F81-33C4-437F-B48E-085783007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CB315C7-8087-4855-B9B9-E978DB141E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8BD07115-ECBC-4F38-8704-926C538716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4352814A-1F6E-4E62-A0BE-3319895A7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498230</xdr:colOff>
      <xdr:row>6</xdr:row>
      <xdr:rowOff>114299</xdr:rowOff>
    </xdr:from>
    <xdr:to>
      <xdr:col>15</xdr:col>
      <xdr:colOff>480645</xdr:colOff>
      <xdr:row>20</xdr:row>
      <xdr:rowOff>149469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60EA35E-A282-431F-B780-C81C89B61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2&#26376;/0201-&#26228;&#22825;/0201-&#26085;&#21069;&#26426;&#32452;&#32452;&#21512;&#25910;&#30410;&#22797;&#3042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3-&#26228;&#22825;/0103-&#26085;&#21069;&#26426;&#32452;&#32452;&#21512;&#25910;&#30410;&#22797;&#3042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8-&#26228;&#22825;/0108-&#26085;&#21069;&#26426;&#32452;&#32452;&#21512;&#25910;&#30410;&#22797;&#30424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2-&#26228;&#22825;/0112-&#26085;&#21069;&#26426;&#32452;&#32452;&#21512;&#25910;&#30410;&#22797;&#30424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7-&#26228;&#22825;/0117-&#26085;&#21069;&#26426;&#32452;&#32452;&#21512;&#25910;&#30410;&#22797;&#30424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9-&#26228;&#22825;/0119-&#26085;&#21069;&#26426;&#32452;&#32452;&#21512;&#25910;&#30410;&#22797;&#30424;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2-&#26228;&#22825;/0122-&#26085;&#21069;&#26426;&#32452;&#32452;&#21512;&#25910;&#30410;&#22797;&#30424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3-&#26228;&#22825;/0123-&#26085;&#21069;&#26426;&#32452;&#32452;&#21512;&#25910;&#30410;&#22797;&#3042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4-&#26228;&#22825;/0124-&#26085;&#21069;&#26426;&#32452;&#32452;&#21512;&#25910;&#30410;&#22797;&#30424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5-&#26228;&#22825;/0125-&#26085;&#21069;&#26426;&#32452;&#32452;&#21512;&#25910;&#30410;&#22797;&#30424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6-&#26228;&#22825;/0126-&#26085;&#21069;&#26426;&#32452;&#32452;&#21512;&#25910;&#30410;&#22797;&#30424;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7-&#26228;&#22825;/0127-&#26085;&#21069;&#26426;&#32452;&#32452;&#21512;&#25910;&#30410;&#22797;&#30424;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8-&#26228;&#22825;/0128-&#26085;&#21069;&#26426;&#32452;&#32452;&#21512;&#25910;&#30410;&#22797;&#30424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9-&#26228;&#22825;/0129-&#26085;&#21069;&#26426;&#32452;&#32452;&#21512;&#25910;&#30410;&#22797;&#3042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>
        <row r="4">
          <cell r="O4">
            <v>81275.269920000021</v>
          </cell>
        </row>
      </sheetData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415.63</v>
          </cell>
          <cell r="K2">
            <v>415.63</v>
          </cell>
          <cell r="N2">
            <v>0</v>
          </cell>
        </row>
        <row r="3">
          <cell r="I3" t="str">
            <v>0030</v>
          </cell>
          <cell r="J3">
            <v>392.4</v>
          </cell>
          <cell r="K3">
            <v>392.4</v>
          </cell>
          <cell r="N3">
            <v>0</v>
          </cell>
        </row>
        <row r="4">
          <cell r="I4" t="str">
            <v>0045</v>
          </cell>
          <cell r="J4">
            <v>384.92</v>
          </cell>
          <cell r="K4">
            <v>384.92</v>
          </cell>
          <cell r="N4">
            <v>0</v>
          </cell>
        </row>
        <row r="5">
          <cell r="I5" t="str">
            <v>0100</v>
          </cell>
          <cell r="J5">
            <v>379.67</v>
          </cell>
          <cell r="K5">
            <v>379.67</v>
          </cell>
          <cell r="N5">
            <v>0</v>
          </cell>
        </row>
        <row r="6">
          <cell r="I6" t="str">
            <v>0115</v>
          </cell>
          <cell r="J6">
            <v>374</v>
          </cell>
          <cell r="K6">
            <v>374</v>
          </cell>
          <cell r="N6">
            <v>0</v>
          </cell>
        </row>
        <row r="7">
          <cell r="I7" t="str">
            <v>0130</v>
          </cell>
          <cell r="J7">
            <v>368.2</v>
          </cell>
          <cell r="K7">
            <v>368.2</v>
          </cell>
          <cell r="N7">
            <v>0</v>
          </cell>
        </row>
        <row r="8">
          <cell r="I8" t="str">
            <v>0145</v>
          </cell>
          <cell r="J8">
            <v>362</v>
          </cell>
          <cell r="K8">
            <v>362</v>
          </cell>
          <cell r="N8">
            <v>0</v>
          </cell>
        </row>
        <row r="9">
          <cell r="I9" t="str">
            <v>0200</v>
          </cell>
          <cell r="J9">
            <v>358.5</v>
          </cell>
          <cell r="K9">
            <v>358.5</v>
          </cell>
          <cell r="N9">
            <v>0</v>
          </cell>
        </row>
        <row r="10">
          <cell r="I10" t="str">
            <v>0215</v>
          </cell>
          <cell r="J10">
            <v>382</v>
          </cell>
          <cell r="K10">
            <v>382</v>
          </cell>
          <cell r="N10">
            <v>0</v>
          </cell>
        </row>
        <row r="11">
          <cell r="I11" t="str">
            <v>0230</v>
          </cell>
          <cell r="J11">
            <v>382</v>
          </cell>
          <cell r="K11">
            <v>382</v>
          </cell>
          <cell r="N11">
            <v>0</v>
          </cell>
        </row>
        <row r="12">
          <cell r="I12" t="str">
            <v>0245</v>
          </cell>
          <cell r="J12">
            <v>379.56</v>
          </cell>
          <cell r="K12">
            <v>379.56</v>
          </cell>
          <cell r="N12">
            <v>0</v>
          </cell>
        </row>
        <row r="13">
          <cell r="I13" t="str">
            <v>0300</v>
          </cell>
          <cell r="J13">
            <v>371.6</v>
          </cell>
          <cell r="K13">
            <v>371.6</v>
          </cell>
          <cell r="N13">
            <v>0</v>
          </cell>
        </row>
        <row r="14">
          <cell r="I14" t="str">
            <v>0315</v>
          </cell>
          <cell r="J14">
            <v>365.66</v>
          </cell>
          <cell r="K14">
            <v>365.66</v>
          </cell>
          <cell r="N14">
            <v>0</v>
          </cell>
        </row>
        <row r="15">
          <cell r="I15" t="str">
            <v>0330</v>
          </cell>
          <cell r="J15">
            <v>362</v>
          </cell>
          <cell r="K15">
            <v>362</v>
          </cell>
          <cell r="N15">
            <v>0</v>
          </cell>
        </row>
        <row r="16">
          <cell r="I16" t="str">
            <v>0345</v>
          </cell>
          <cell r="J16">
            <v>361.6</v>
          </cell>
          <cell r="K16">
            <v>361.6</v>
          </cell>
          <cell r="N16">
            <v>0</v>
          </cell>
        </row>
        <row r="17">
          <cell r="I17" t="str">
            <v>0400</v>
          </cell>
          <cell r="J17">
            <v>358.4</v>
          </cell>
          <cell r="K17">
            <v>358.4</v>
          </cell>
          <cell r="N17">
            <v>0</v>
          </cell>
        </row>
        <row r="18">
          <cell r="I18" t="str">
            <v>0415</v>
          </cell>
          <cell r="J18">
            <v>361.6</v>
          </cell>
          <cell r="K18">
            <v>361.6</v>
          </cell>
          <cell r="N18">
            <v>0</v>
          </cell>
        </row>
        <row r="19">
          <cell r="I19" t="str">
            <v>0430</v>
          </cell>
          <cell r="J19">
            <v>361.6</v>
          </cell>
          <cell r="K19">
            <v>361.6</v>
          </cell>
          <cell r="N19">
            <v>0</v>
          </cell>
        </row>
        <row r="20">
          <cell r="I20" t="str">
            <v>0445</v>
          </cell>
          <cell r="J20">
            <v>365.76</v>
          </cell>
          <cell r="K20">
            <v>365.76</v>
          </cell>
          <cell r="N20">
            <v>0</v>
          </cell>
        </row>
        <row r="21">
          <cell r="I21" t="str">
            <v>0500</v>
          </cell>
          <cell r="J21">
            <v>366.94</v>
          </cell>
          <cell r="K21">
            <v>366.94</v>
          </cell>
          <cell r="N21">
            <v>0</v>
          </cell>
        </row>
        <row r="22">
          <cell r="I22" t="str">
            <v>0515</v>
          </cell>
          <cell r="J22">
            <v>369.94</v>
          </cell>
          <cell r="K22">
            <v>369.94</v>
          </cell>
          <cell r="N22">
            <v>0</v>
          </cell>
        </row>
        <row r="23">
          <cell r="I23" t="str">
            <v>0530</v>
          </cell>
          <cell r="J23">
            <v>356</v>
          </cell>
          <cell r="K23">
            <v>356</v>
          </cell>
          <cell r="N23">
            <v>0</v>
          </cell>
        </row>
        <row r="24">
          <cell r="I24" t="str">
            <v>0545</v>
          </cell>
          <cell r="J24">
            <v>343.98</v>
          </cell>
          <cell r="K24">
            <v>343.98</v>
          </cell>
          <cell r="N24">
            <v>0</v>
          </cell>
        </row>
        <row r="25">
          <cell r="I25" t="str">
            <v>0600</v>
          </cell>
          <cell r="J25">
            <v>332</v>
          </cell>
          <cell r="K25">
            <v>332</v>
          </cell>
          <cell r="N25">
            <v>0</v>
          </cell>
        </row>
        <row r="26">
          <cell r="I26" t="str">
            <v>0615</v>
          </cell>
          <cell r="J26">
            <v>321</v>
          </cell>
          <cell r="K26">
            <v>321</v>
          </cell>
          <cell r="N26">
            <v>0</v>
          </cell>
        </row>
        <row r="27">
          <cell r="I27" t="str">
            <v>0630</v>
          </cell>
          <cell r="J27">
            <v>322</v>
          </cell>
          <cell r="K27">
            <v>322</v>
          </cell>
          <cell r="N27">
            <v>0</v>
          </cell>
        </row>
        <row r="28">
          <cell r="I28" t="str">
            <v>0645</v>
          </cell>
          <cell r="J28">
            <v>325</v>
          </cell>
          <cell r="K28">
            <v>325</v>
          </cell>
          <cell r="N28">
            <v>0</v>
          </cell>
        </row>
        <row r="29">
          <cell r="I29" t="str">
            <v>0700</v>
          </cell>
          <cell r="J29">
            <v>326.67</v>
          </cell>
          <cell r="K29">
            <v>326.67</v>
          </cell>
          <cell r="N29">
            <v>0</v>
          </cell>
        </row>
        <row r="30">
          <cell r="I30" t="str">
            <v>0715</v>
          </cell>
          <cell r="J30">
            <v>333.56</v>
          </cell>
          <cell r="K30">
            <v>333.56</v>
          </cell>
          <cell r="N30">
            <v>0</v>
          </cell>
        </row>
        <row r="31">
          <cell r="I31" t="str">
            <v>0730</v>
          </cell>
          <cell r="J31">
            <v>355.64</v>
          </cell>
          <cell r="K31">
            <v>355.64</v>
          </cell>
          <cell r="N31">
            <v>0</v>
          </cell>
        </row>
        <row r="32">
          <cell r="I32" t="str">
            <v>0745</v>
          </cell>
          <cell r="J32">
            <v>374</v>
          </cell>
          <cell r="K32">
            <v>374</v>
          </cell>
          <cell r="N32">
            <v>0</v>
          </cell>
        </row>
        <row r="33">
          <cell r="I33" t="str">
            <v>0800</v>
          </cell>
          <cell r="J33">
            <v>380</v>
          </cell>
          <cell r="K33">
            <v>380</v>
          </cell>
          <cell r="N33">
            <v>0</v>
          </cell>
        </row>
        <row r="34">
          <cell r="I34" t="str">
            <v>0815</v>
          </cell>
          <cell r="J34">
            <v>370.36</v>
          </cell>
          <cell r="K34">
            <v>370.36</v>
          </cell>
          <cell r="N34">
            <v>0</v>
          </cell>
        </row>
        <row r="35">
          <cell r="I35" t="str">
            <v>0830</v>
          </cell>
          <cell r="J35">
            <v>359.56</v>
          </cell>
          <cell r="K35">
            <v>359.56</v>
          </cell>
          <cell r="N35">
            <v>0</v>
          </cell>
        </row>
        <row r="36">
          <cell r="I36" t="str">
            <v>0845</v>
          </cell>
          <cell r="J36">
            <v>340</v>
          </cell>
          <cell r="K36">
            <v>340</v>
          </cell>
          <cell r="N36">
            <v>0</v>
          </cell>
        </row>
        <row r="37">
          <cell r="I37" t="str">
            <v>0900</v>
          </cell>
          <cell r="J37">
            <v>325</v>
          </cell>
          <cell r="K37">
            <v>325</v>
          </cell>
          <cell r="N37">
            <v>0</v>
          </cell>
        </row>
        <row r="38">
          <cell r="I38" t="str">
            <v>0915</v>
          </cell>
          <cell r="J38">
            <v>324.04000000000002</v>
          </cell>
          <cell r="K38">
            <v>324.04000000000002</v>
          </cell>
          <cell r="N38">
            <v>0</v>
          </cell>
        </row>
        <row r="39">
          <cell r="I39" t="str">
            <v>0930</v>
          </cell>
          <cell r="J39">
            <v>290</v>
          </cell>
          <cell r="K39">
            <v>290</v>
          </cell>
          <cell r="N39">
            <v>0</v>
          </cell>
        </row>
        <row r="40">
          <cell r="I40" t="str">
            <v>0945</v>
          </cell>
          <cell r="J40">
            <v>213.18</v>
          </cell>
          <cell r="K40">
            <v>213.18</v>
          </cell>
          <cell r="N40">
            <v>0</v>
          </cell>
        </row>
        <row r="41">
          <cell r="I41" t="str">
            <v>1000</v>
          </cell>
          <cell r="J41">
            <v>0</v>
          </cell>
          <cell r="K41">
            <v>0</v>
          </cell>
          <cell r="N41">
            <v>0</v>
          </cell>
        </row>
        <row r="42">
          <cell r="I42" t="str">
            <v>1015</v>
          </cell>
          <cell r="J42">
            <v>0</v>
          </cell>
          <cell r="K42">
            <v>0</v>
          </cell>
          <cell r="N42">
            <v>0</v>
          </cell>
        </row>
        <row r="43">
          <cell r="I43" t="str">
            <v>1030</v>
          </cell>
          <cell r="J43">
            <v>-26.8</v>
          </cell>
          <cell r="K43">
            <v>-26.8</v>
          </cell>
          <cell r="N43">
            <v>0</v>
          </cell>
        </row>
        <row r="44">
          <cell r="I44" t="str">
            <v>1045</v>
          </cell>
          <cell r="J44">
            <v>-80</v>
          </cell>
          <cell r="K44">
            <v>-80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-80.81</v>
          </cell>
          <cell r="K46">
            <v>-80.81</v>
          </cell>
          <cell r="N46">
            <v>0</v>
          </cell>
        </row>
        <row r="47">
          <cell r="I47" t="str">
            <v>1130</v>
          </cell>
          <cell r="J47">
            <v>-80.81</v>
          </cell>
          <cell r="K47">
            <v>-80.81</v>
          </cell>
          <cell r="N47">
            <v>-95</v>
          </cell>
        </row>
        <row r="48">
          <cell r="I48" t="str">
            <v>1145</v>
          </cell>
          <cell r="J48">
            <v>-80.81</v>
          </cell>
          <cell r="K48">
            <v>-80.81</v>
          </cell>
          <cell r="N48">
            <v>-95</v>
          </cell>
        </row>
        <row r="49">
          <cell r="I49" t="str">
            <v>1200</v>
          </cell>
          <cell r="J49">
            <v>-80.81</v>
          </cell>
          <cell r="K49">
            <v>-80.81</v>
          </cell>
          <cell r="N49">
            <v>-95</v>
          </cell>
        </row>
        <row r="50">
          <cell r="I50" t="str">
            <v>1215</v>
          </cell>
          <cell r="J50">
            <v>-80.81</v>
          </cell>
          <cell r="K50">
            <v>-80.81</v>
          </cell>
          <cell r="N50">
            <v>-95</v>
          </cell>
        </row>
        <row r="51">
          <cell r="I51" t="str">
            <v>1230</v>
          </cell>
          <cell r="J51">
            <v>-80.81</v>
          </cell>
          <cell r="K51">
            <v>-80.81</v>
          </cell>
          <cell r="N51">
            <v>-95</v>
          </cell>
        </row>
        <row r="52">
          <cell r="I52" t="str">
            <v>1245</v>
          </cell>
          <cell r="J52">
            <v>-80.81</v>
          </cell>
          <cell r="K52">
            <v>-80.81</v>
          </cell>
          <cell r="N52">
            <v>-95</v>
          </cell>
        </row>
        <row r="53">
          <cell r="I53" t="str">
            <v>1300</v>
          </cell>
          <cell r="J53">
            <v>-80.81</v>
          </cell>
          <cell r="K53">
            <v>-80.81</v>
          </cell>
          <cell r="N53">
            <v>-95</v>
          </cell>
        </row>
        <row r="54">
          <cell r="I54" t="str">
            <v>1315</v>
          </cell>
          <cell r="J54">
            <v>-80.81</v>
          </cell>
          <cell r="K54">
            <v>-80.81</v>
          </cell>
          <cell r="N54">
            <v>-12.6</v>
          </cell>
        </row>
        <row r="55">
          <cell r="I55" t="str">
            <v>1330</v>
          </cell>
          <cell r="J55">
            <v>-80.81</v>
          </cell>
          <cell r="K55">
            <v>-80.81</v>
          </cell>
          <cell r="N55">
            <v>-12.6</v>
          </cell>
        </row>
        <row r="56">
          <cell r="I56" t="str">
            <v>1345</v>
          </cell>
          <cell r="J56">
            <v>-80.81</v>
          </cell>
          <cell r="K56">
            <v>-80.81</v>
          </cell>
          <cell r="N56">
            <v>-12.6</v>
          </cell>
        </row>
        <row r="57">
          <cell r="I57" t="str">
            <v>1400</v>
          </cell>
          <cell r="J57">
            <v>-80.81</v>
          </cell>
          <cell r="K57">
            <v>-80.81</v>
          </cell>
          <cell r="N57">
            <v>-12.6</v>
          </cell>
        </row>
        <row r="58">
          <cell r="I58" t="str">
            <v>1415</v>
          </cell>
          <cell r="J58">
            <v>-80.81</v>
          </cell>
          <cell r="K58">
            <v>-80.81</v>
          </cell>
          <cell r="N58">
            <v>-12.6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17.2</v>
          </cell>
          <cell r="K62">
            <v>17.2</v>
          </cell>
          <cell r="N62">
            <v>0</v>
          </cell>
        </row>
        <row r="63">
          <cell r="I63" t="str">
            <v>1530</v>
          </cell>
          <cell r="J63">
            <v>218</v>
          </cell>
          <cell r="K63">
            <v>218</v>
          </cell>
          <cell r="N63">
            <v>0</v>
          </cell>
        </row>
        <row r="64">
          <cell r="I64" t="str">
            <v>1545</v>
          </cell>
          <cell r="J64">
            <v>302</v>
          </cell>
          <cell r="K64">
            <v>302</v>
          </cell>
          <cell r="N64">
            <v>0</v>
          </cell>
        </row>
        <row r="65">
          <cell r="I65" t="str">
            <v>1600</v>
          </cell>
          <cell r="J65">
            <v>320.27999999999997</v>
          </cell>
          <cell r="K65">
            <v>320.27999999999997</v>
          </cell>
          <cell r="N65">
            <v>0</v>
          </cell>
        </row>
        <row r="66">
          <cell r="I66" t="str">
            <v>1615</v>
          </cell>
          <cell r="J66">
            <v>328.96</v>
          </cell>
          <cell r="K66">
            <v>328.96</v>
          </cell>
          <cell r="N66">
            <v>0</v>
          </cell>
        </row>
        <row r="67">
          <cell r="I67" t="str">
            <v>1630</v>
          </cell>
          <cell r="J67">
            <v>369.14</v>
          </cell>
          <cell r="K67">
            <v>369.14</v>
          </cell>
          <cell r="N67">
            <v>0</v>
          </cell>
        </row>
        <row r="68">
          <cell r="I68" t="str">
            <v>1645</v>
          </cell>
          <cell r="J68">
            <v>427</v>
          </cell>
          <cell r="K68">
            <v>427</v>
          </cell>
          <cell r="N68">
            <v>0</v>
          </cell>
        </row>
        <row r="69">
          <cell r="I69" t="str">
            <v>1700</v>
          </cell>
          <cell r="J69">
            <v>438</v>
          </cell>
          <cell r="K69">
            <v>438</v>
          </cell>
          <cell r="N69">
            <v>0</v>
          </cell>
        </row>
        <row r="70">
          <cell r="I70" t="str">
            <v>1715</v>
          </cell>
          <cell r="J70">
            <v>438</v>
          </cell>
          <cell r="K70">
            <v>438</v>
          </cell>
          <cell r="N70">
            <v>0</v>
          </cell>
        </row>
        <row r="71">
          <cell r="I71" t="str">
            <v>1730</v>
          </cell>
          <cell r="J71">
            <v>440.12</v>
          </cell>
          <cell r="K71">
            <v>440.12</v>
          </cell>
          <cell r="N71">
            <v>0</v>
          </cell>
        </row>
        <row r="72">
          <cell r="I72" t="str">
            <v>1745</v>
          </cell>
          <cell r="J72">
            <v>438.92</v>
          </cell>
          <cell r="K72">
            <v>438.92</v>
          </cell>
          <cell r="N72">
            <v>0</v>
          </cell>
        </row>
        <row r="73">
          <cell r="I73" t="str">
            <v>1800</v>
          </cell>
          <cell r="J73">
            <v>438.76</v>
          </cell>
          <cell r="K73">
            <v>438.76</v>
          </cell>
          <cell r="N73">
            <v>0</v>
          </cell>
        </row>
        <row r="74">
          <cell r="I74" t="str">
            <v>1815</v>
          </cell>
          <cell r="J74">
            <v>438.76</v>
          </cell>
          <cell r="K74">
            <v>438.76</v>
          </cell>
          <cell r="N74">
            <v>0</v>
          </cell>
        </row>
        <row r="75">
          <cell r="I75" t="str">
            <v>1830</v>
          </cell>
          <cell r="J75">
            <v>438.76</v>
          </cell>
          <cell r="K75">
            <v>438.76</v>
          </cell>
          <cell r="N75">
            <v>0</v>
          </cell>
        </row>
        <row r="76">
          <cell r="I76" t="str">
            <v>1845</v>
          </cell>
          <cell r="J76">
            <v>438.76</v>
          </cell>
          <cell r="K76">
            <v>438.76</v>
          </cell>
          <cell r="N76">
            <v>0</v>
          </cell>
        </row>
        <row r="77">
          <cell r="I77" t="str">
            <v>1900</v>
          </cell>
          <cell r="J77">
            <v>438.76</v>
          </cell>
          <cell r="K77">
            <v>438.76</v>
          </cell>
          <cell r="N77">
            <v>0</v>
          </cell>
        </row>
        <row r="78">
          <cell r="I78" t="str">
            <v>1915</v>
          </cell>
          <cell r="J78">
            <v>438.76</v>
          </cell>
          <cell r="K78">
            <v>438.76</v>
          </cell>
          <cell r="N78">
            <v>0</v>
          </cell>
        </row>
        <row r="79">
          <cell r="I79" t="str">
            <v>1930</v>
          </cell>
          <cell r="J79">
            <v>438.76</v>
          </cell>
          <cell r="K79">
            <v>438.76</v>
          </cell>
          <cell r="N79">
            <v>0</v>
          </cell>
        </row>
        <row r="80">
          <cell r="I80" t="str">
            <v>1945</v>
          </cell>
          <cell r="J80">
            <v>438.76</v>
          </cell>
          <cell r="K80">
            <v>438.76</v>
          </cell>
          <cell r="N80">
            <v>12.33</v>
          </cell>
        </row>
        <row r="81">
          <cell r="I81" t="str">
            <v>2000</v>
          </cell>
          <cell r="J81">
            <v>438.76</v>
          </cell>
          <cell r="K81">
            <v>438.76</v>
          </cell>
          <cell r="N81">
            <v>75.47</v>
          </cell>
        </row>
        <row r="82">
          <cell r="I82" t="str">
            <v>2015</v>
          </cell>
          <cell r="J82">
            <v>438.76</v>
          </cell>
          <cell r="K82">
            <v>438.76</v>
          </cell>
          <cell r="N82">
            <v>75.47</v>
          </cell>
        </row>
        <row r="83">
          <cell r="I83" t="str">
            <v>2030</v>
          </cell>
          <cell r="J83">
            <v>438.76</v>
          </cell>
          <cell r="K83">
            <v>438.76</v>
          </cell>
          <cell r="N83">
            <v>75.47</v>
          </cell>
        </row>
        <row r="84">
          <cell r="I84" t="str">
            <v>2045</v>
          </cell>
          <cell r="J84">
            <v>438.76</v>
          </cell>
          <cell r="K84">
            <v>438.76</v>
          </cell>
          <cell r="N84">
            <v>75.47</v>
          </cell>
        </row>
        <row r="85">
          <cell r="I85" t="str">
            <v>2100</v>
          </cell>
          <cell r="J85">
            <v>438.76</v>
          </cell>
          <cell r="K85">
            <v>438.76</v>
          </cell>
          <cell r="N85">
            <v>75.47</v>
          </cell>
        </row>
        <row r="86">
          <cell r="I86" t="str">
            <v>2115</v>
          </cell>
          <cell r="J86">
            <v>438.76</v>
          </cell>
          <cell r="K86">
            <v>438.76</v>
          </cell>
          <cell r="N86">
            <v>75.47</v>
          </cell>
        </row>
        <row r="87">
          <cell r="I87" t="str">
            <v>2130</v>
          </cell>
          <cell r="J87">
            <v>438.76</v>
          </cell>
          <cell r="K87">
            <v>438.76</v>
          </cell>
          <cell r="N87">
            <v>75.47</v>
          </cell>
        </row>
        <row r="88">
          <cell r="I88" t="str">
            <v>2145</v>
          </cell>
          <cell r="J88">
            <v>438.76</v>
          </cell>
          <cell r="K88">
            <v>438.76</v>
          </cell>
          <cell r="N88">
            <v>75.47</v>
          </cell>
        </row>
        <row r="89">
          <cell r="I89" t="str">
            <v>2200</v>
          </cell>
          <cell r="J89">
            <v>438.76</v>
          </cell>
          <cell r="K89">
            <v>438.76</v>
          </cell>
          <cell r="N89">
            <v>75.47</v>
          </cell>
        </row>
        <row r="90">
          <cell r="I90" t="str">
            <v>2215</v>
          </cell>
          <cell r="J90">
            <v>438.76</v>
          </cell>
          <cell r="K90">
            <v>438.76</v>
          </cell>
          <cell r="N90">
            <v>0</v>
          </cell>
        </row>
        <row r="91">
          <cell r="I91" t="str">
            <v>2230</v>
          </cell>
          <cell r="J91">
            <v>436</v>
          </cell>
          <cell r="K91">
            <v>436</v>
          </cell>
          <cell r="N91">
            <v>0</v>
          </cell>
        </row>
        <row r="92">
          <cell r="I92" t="str">
            <v>2245</v>
          </cell>
          <cell r="J92">
            <v>432</v>
          </cell>
          <cell r="K92">
            <v>432</v>
          </cell>
          <cell r="N92">
            <v>0</v>
          </cell>
        </row>
        <row r="93">
          <cell r="I93" t="str">
            <v>2300</v>
          </cell>
          <cell r="J93">
            <v>424</v>
          </cell>
          <cell r="K93">
            <v>424</v>
          </cell>
          <cell r="N93">
            <v>0</v>
          </cell>
        </row>
        <row r="94">
          <cell r="I94" t="str">
            <v>2315</v>
          </cell>
          <cell r="J94">
            <v>427</v>
          </cell>
          <cell r="K94">
            <v>427</v>
          </cell>
          <cell r="N94">
            <v>0</v>
          </cell>
        </row>
        <row r="95">
          <cell r="I95" t="str">
            <v>2330</v>
          </cell>
          <cell r="J95">
            <v>411.38</v>
          </cell>
          <cell r="K95">
            <v>411.38</v>
          </cell>
          <cell r="N95">
            <v>0</v>
          </cell>
        </row>
        <row r="96">
          <cell r="I96" t="str">
            <v>2345</v>
          </cell>
          <cell r="J96">
            <v>392.38</v>
          </cell>
          <cell r="K96">
            <v>392.38</v>
          </cell>
          <cell r="N96">
            <v>0</v>
          </cell>
        </row>
        <row r="97">
          <cell r="I97" t="str">
            <v>2400</v>
          </cell>
          <cell r="J97">
            <v>374</v>
          </cell>
          <cell r="K97">
            <v>374</v>
          </cell>
          <cell r="N97">
            <v>0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65.63</v>
          </cell>
          <cell r="K2">
            <v>65.63</v>
          </cell>
          <cell r="N2">
            <v>-0.01</v>
          </cell>
        </row>
        <row r="3">
          <cell r="I3" t="str">
            <v>0030</v>
          </cell>
          <cell r="J3">
            <v>65.63</v>
          </cell>
          <cell r="K3">
            <v>65.63</v>
          </cell>
          <cell r="N3">
            <v>0</v>
          </cell>
        </row>
        <row r="4">
          <cell r="I4" t="str">
            <v>0045</v>
          </cell>
          <cell r="J4">
            <v>65.61</v>
          </cell>
          <cell r="K4">
            <v>65.61</v>
          </cell>
          <cell r="N4">
            <v>0</v>
          </cell>
        </row>
        <row r="5">
          <cell r="I5" t="str">
            <v>0100</v>
          </cell>
          <cell r="J5">
            <v>65.61</v>
          </cell>
          <cell r="K5">
            <v>65.61</v>
          </cell>
          <cell r="N5">
            <v>0</v>
          </cell>
        </row>
        <row r="6">
          <cell r="I6" t="str">
            <v>0115</v>
          </cell>
          <cell r="J6">
            <v>65.61</v>
          </cell>
          <cell r="K6">
            <v>65.61</v>
          </cell>
          <cell r="N6">
            <v>0</v>
          </cell>
        </row>
        <row r="7">
          <cell r="I7" t="str">
            <v>0130</v>
          </cell>
          <cell r="J7">
            <v>65.61</v>
          </cell>
          <cell r="K7">
            <v>65.61</v>
          </cell>
          <cell r="N7">
            <v>0</v>
          </cell>
        </row>
        <row r="8">
          <cell r="I8" t="str">
            <v>0145</v>
          </cell>
          <cell r="J8">
            <v>65.61</v>
          </cell>
          <cell r="K8">
            <v>65.61</v>
          </cell>
          <cell r="N8">
            <v>0</v>
          </cell>
        </row>
        <row r="9">
          <cell r="I9" t="str">
            <v>0200</v>
          </cell>
          <cell r="J9">
            <v>32.299999999999997</v>
          </cell>
          <cell r="K9">
            <v>32.299999999999997</v>
          </cell>
          <cell r="N9">
            <v>0</v>
          </cell>
        </row>
        <row r="10">
          <cell r="I10" t="str">
            <v>0215</v>
          </cell>
          <cell r="J10">
            <v>98.92</v>
          </cell>
          <cell r="K10">
            <v>98.92</v>
          </cell>
          <cell r="N10">
            <v>0</v>
          </cell>
        </row>
        <row r="11">
          <cell r="I11" t="str">
            <v>0230</v>
          </cell>
          <cell r="J11">
            <v>99.53</v>
          </cell>
          <cell r="K11">
            <v>99.53</v>
          </cell>
          <cell r="N11">
            <v>0</v>
          </cell>
        </row>
        <row r="12">
          <cell r="I12" t="str">
            <v>0245</v>
          </cell>
          <cell r="J12">
            <v>65.62</v>
          </cell>
          <cell r="K12">
            <v>65.62</v>
          </cell>
          <cell r="N12">
            <v>0</v>
          </cell>
        </row>
        <row r="13">
          <cell r="I13" t="str">
            <v>0300</v>
          </cell>
          <cell r="J13">
            <v>65.63</v>
          </cell>
          <cell r="K13">
            <v>65.63</v>
          </cell>
          <cell r="N13">
            <v>0</v>
          </cell>
        </row>
        <row r="14">
          <cell r="I14" t="str">
            <v>0315</v>
          </cell>
          <cell r="J14">
            <v>65.63</v>
          </cell>
          <cell r="K14">
            <v>65.63</v>
          </cell>
          <cell r="N14">
            <v>0</v>
          </cell>
        </row>
        <row r="15">
          <cell r="I15" t="str">
            <v>0330</v>
          </cell>
          <cell r="J15">
            <v>65.61</v>
          </cell>
          <cell r="K15">
            <v>65.61</v>
          </cell>
          <cell r="N15">
            <v>0</v>
          </cell>
        </row>
        <row r="16">
          <cell r="I16" t="str">
            <v>0345</v>
          </cell>
          <cell r="J16">
            <v>65.61</v>
          </cell>
          <cell r="K16">
            <v>65.61</v>
          </cell>
          <cell r="N16">
            <v>0</v>
          </cell>
        </row>
        <row r="17">
          <cell r="I17" t="str">
            <v>0400</v>
          </cell>
          <cell r="J17">
            <v>65.61</v>
          </cell>
          <cell r="K17">
            <v>65.61</v>
          </cell>
          <cell r="N17">
            <v>0</v>
          </cell>
        </row>
        <row r="18">
          <cell r="I18" t="str">
            <v>0415</v>
          </cell>
          <cell r="J18">
            <v>65.61</v>
          </cell>
          <cell r="K18">
            <v>65.61</v>
          </cell>
          <cell r="N18">
            <v>0</v>
          </cell>
        </row>
        <row r="19">
          <cell r="I19" t="str">
            <v>0430</v>
          </cell>
          <cell r="J19">
            <v>65.61</v>
          </cell>
          <cell r="K19">
            <v>65.61</v>
          </cell>
          <cell r="N19">
            <v>0</v>
          </cell>
        </row>
        <row r="20">
          <cell r="I20" t="str">
            <v>0445</v>
          </cell>
          <cell r="J20">
            <v>65.64</v>
          </cell>
          <cell r="K20">
            <v>65.64</v>
          </cell>
          <cell r="N20">
            <v>0</v>
          </cell>
        </row>
        <row r="21">
          <cell r="I21" t="str">
            <v>0500</v>
          </cell>
          <cell r="J21">
            <v>76.8</v>
          </cell>
          <cell r="K21">
            <v>76.8</v>
          </cell>
          <cell r="N21">
            <v>0</v>
          </cell>
        </row>
        <row r="22">
          <cell r="I22" t="str">
            <v>0515</v>
          </cell>
          <cell r="J22">
            <v>148.86000000000001</v>
          </cell>
          <cell r="K22">
            <v>148.86000000000001</v>
          </cell>
          <cell r="N22">
            <v>0</v>
          </cell>
        </row>
        <row r="23">
          <cell r="I23" t="str">
            <v>0530</v>
          </cell>
          <cell r="J23">
            <v>65.63</v>
          </cell>
          <cell r="K23">
            <v>65.63</v>
          </cell>
          <cell r="N23">
            <v>0</v>
          </cell>
        </row>
        <row r="24">
          <cell r="I24" t="str">
            <v>0545</v>
          </cell>
          <cell r="J24">
            <v>65.63</v>
          </cell>
          <cell r="K24">
            <v>65.63</v>
          </cell>
          <cell r="N24">
            <v>0</v>
          </cell>
        </row>
        <row r="25">
          <cell r="I25" t="str">
            <v>0600</v>
          </cell>
          <cell r="J25">
            <v>65.61</v>
          </cell>
          <cell r="K25">
            <v>65.61</v>
          </cell>
          <cell r="N25">
            <v>0</v>
          </cell>
        </row>
        <row r="26">
          <cell r="I26" t="str">
            <v>0615</v>
          </cell>
          <cell r="J26">
            <v>65.61</v>
          </cell>
          <cell r="K26">
            <v>65.61</v>
          </cell>
          <cell r="N26">
            <v>0</v>
          </cell>
        </row>
        <row r="27">
          <cell r="I27" t="str">
            <v>0630</v>
          </cell>
          <cell r="J27">
            <v>65.61</v>
          </cell>
          <cell r="K27">
            <v>65.61</v>
          </cell>
          <cell r="N27">
            <v>0</v>
          </cell>
        </row>
        <row r="28">
          <cell r="I28" t="str">
            <v>0645</v>
          </cell>
          <cell r="J28">
            <v>116.05</v>
          </cell>
          <cell r="K28">
            <v>116.05</v>
          </cell>
          <cell r="N28">
            <v>0</v>
          </cell>
        </row>
        <row r="29">
          <cell r="I29" t="str">
            <v>0700</v>
          </cell>
          <cell r="J29">
            <v>240.39</v>
          </cell>
          <cell r="K29">
            <v>240.39</v>
          </cell>
          <cell r="N29">
            <v>0</v>
          </cell>
        </row>
        <row r="30">
          <cell r="I30" t="str">
            <v>0715</v>
          </cell>
          <cell r="J30">
            <v>177.86</v>
          </cell>
          <cell r="K30">
            <v>177.86</v>
          </cell>
          <cell r="N30">
            <v>0</v>
          </cell>
        </row>
        <row r="31">
          <cell r="I31" t="str">
            <v>0730</v>
          </cell>
          <cell r="J31">
            <v>264.25</v>
          </cell>
          <cell r="K31">
            <v>264.25</v>
          </cell>
          <cell r="N31">
            <v>0</v>
          </cell>
        </row>
        <row r="32">
          <cell r="I32" t="str">
            <v>0745</v>
          </cell>
          <cell r="J32">
            <v>263.98</v>
          </cell>
          <cell r="K32">
            <v>263.98</v>
          </cell>
          <cell r="N32">
            <v>0</v>
          </cell>
        </row>
        <row r="33">
          <cell r="I33" t="str">
            <v>0800</v>
          </cell>
          <cell r="J33">
            <v>252.32</v>
          </cell>
          <cell r="K33">
            <v>252.32</v>
          </cell>
          <cell r="N33">
            <v>0</v>
          </cell>
        </row>
        <row r="34">
          <cell r="I34" t="str">
            <v>0815</v>
          </cell>
          <cell r="J34">
            <v>257.99</v>
          </cell>
          <cell r="K34">
            <v>257.99</v>
          </cell>
          <cell r="N34">
            <v>0</v>
          </cell>
        </row>
        <row r="35">
          <cell r="I35" t="str">
            <v>0830</v>
          </cell>
          <cell r="J35">
            <v>257.27999999999997</v>
          </cell>
          <cell r="K35">
            <v>257.27999999999997</v>
          </cell>
          <cell r="N35">
            <v>0</v>
          </cell>
        </row>
        <row r="36">
          <cell r="I36" t="str">
            <v>0845</v>
          </cell>
          <cell r="J36">
            <v>199.05</v>
          </cell>
          <cell r="K36">
            <v>199.05</v>
          </cell>
          <cell r="N36">
            <v>0</v>
          </cell>
        </row>
        <row r="37">
          <cell r="I37" t="str">
            <v>0900</v>
          </cell>
          <cell r="J37">
            <v>80</v>
          </cell>
          <cell r="K37">
            <v>80</v>
          </cell>
          <cell r="N37">
            <v>0</v>
          </cell>
        </row>
        <row r="38">
          <cell r="I38" t="str">
            <v>0915</v>
          </cell>
          <cell r="J38">
            <v>247.99</v>
          </cell>
          <cell r="K38">
            <v>247.99</v>
          </cell>
          <cell r="N38">
            <v>0</v>
          </cell>
        </row>
        <row r="39">
          <cell r="I39" t="str">
            <v>0930</v>
          </cell>
          <cell r="J39">
            <v>24</v>
          </cell>
          <cell r="K39">
            <v>24</v>
          </cell>
          <cell r="N39">
            <v>0</v>
          </cell>
        </row>
        <row r="40">
          <cell r="I40" t="str">
            <v>0945</v>
          </cell>
          <cell r="J40">
            <v>-66</v>
          </cell>
          <cell r="K40">
            <v>-66</v>
          </cell>
          <cell r="N40">
            <v>0</v>
          </cell>
        </row>
        <row r="41">
          <cell r="I41" t="str">
            <v>1000</v>
          </cell>
          <cell r="J41">
            <v>-100</v>
          </cell>
          <cell r="K41">
            <v>-100</v>
          </cell>
          <cell r="N41">
            <v>0</v>
          </cell>
        </row>
        <row r="42">
          <cell r="I42" t="str">
            <v>1015</v>
          </cell>
          <cell r="J42">
            <v>-100</v>
          </cell>
          <cell r="K42">
            <v>-100</v>
          </cell>
          <cell r="N42">
            <v>0</v>
          </cell>
        </row>
        <row r="43">
          <cell r="I43" t="str">
            <v>1030</v>
          </cell>
          <cell r="J43">
            <v>-100</v>
          </cell>
          <cell r="K43">
            <v>-100</v>
          </cell>
          <cell r="N43">
            <v>0</v>
          </cell>
        </row>
        <row r="44">
          <cell r="I44" t="str">
            <v>1045</v>
          </cell>
          <cell r="J44">
            <v>-100</v>
          </cell>
          <cell r="K44">
            <v>-100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-27.5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-27.5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-95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0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-30</v>
          </cell>
          <cell r="K60">
            <v>-30</v>
          </cell>
          <cell r="N60">
            <v>0</v>
          </cell>
        </row>
        <row r="61">
          <cell r="I61" t="str">
            <v>1500</v>
          </cell>
          <cell r="J61">
            <v>99.2</v>
          </cell>
          <cell r="K61">
            <v>99.2</v>
          </cell>
          <cell r="N61">
            <v>0</v>
          </cell>
        </row>
        <row r="62">
          <cell r="I62" t="str">
            <v>1515</v>
          </cell>
          <cell r="J62">
            <v>264.39999999999998</v>
          </cell>
          <cell r="K62">
            <v>264.39999999999998</v>
          </cell>
          <cell r="N62">
            <v>0</v>
          </cell>
        </row>
        <row r="63">
          <cell r="I63" t="str">
            <v>1530</v>
          </cell>
          <cell r="J63">
            <v>380</v>
          </cell>
          <cell r="K63">
            <v>380</v>
          </cell>
          <cell r="N63">
            <v>0</v>
          </cell>
        </row>
        <row r="64">
          <cell r="I64" t="str">
            <v>1545</v>
          </cell>
          <cell r="J64">
            <v>453.69</v>
          </cell>
          <cell r="K64">
            <v>453.69</v>
          </cell>
          <cell r="N64">
            <v>0</v>
          </cell>
        </row>
        <row r="65">
          <cell r="I65" t="str">
            <v>1600</v>
          </cell>
          <cell r="J65">
            <v>480</v>
          </cell>
          <cell r="K65">
            <v>480</v>
          </cell>
          <cell r="N65">
            <v>0</v>
          </cell>
        </row>
        <row r="66">
          <cell r="I66" t="str">
            <v>1615</v>
          </cell>
          <cell r="J66">
            <v>491</v>
          </cell>
          <cell r="K66">
            <v>491</v>
          </cell>
          <cell r="N66">
            <v>0</v>
          </cell>
        </row>
        <row r="67">
          <cell r="I67" t="str">
            <v>1630</v>
          </cell>
          <cell r="J67">
            <v>502.5</v>
          </cell>
          <cell r="K67">
            <v>502.5</v>
          </cell>
          <cell r="N67">
            <v>0</v>
          </cell>
        </row>
        <row r="68">
          <cell r="I68" t="str">
            <v>1645</v>
          </cell>
          <cell r="J68">
            <v>507.19</v>
          </cell>
          <cell r="K68">
            <v>507.19</v>
          </cell>
          <cell r="N68">
            <v>0</v>
          </cell>
        </row>
        <row r="69">
          <cell r="I69" t="str">
            <v>1700</v>
          </cell>
          <cell r="J69">
            <v>500.56</v>
          </cell>
          <cell r="K69">
            <v>500.56</v>
          </cell>
          <cell r="N69">
            <v>0</v>
          </cell>
        </row>
        <row r="70">
          <cell r="I70" t="str">
            <v>1715</v>
          </cell>
          <cell r="J70">
            <v>496.25</v>
          </cell>
          <cell r="K70">
            <v>496.25</v>
          </cell>
          <cell r="N70">
            <v>38.119999999999997</v>
          </cell>
        </row>
        <row r="71">
          <cell r="I71" t="str">
            <v>1730</v>
          </cell>
          <cell r="J71">
            <v>496.25</v>
          </cell>
          <cell r="K71">
            <v>496.25</v>
          </cell>
          <cell r="N71">
            <v>38.119999999999997</v>
          </cell>
        </row>
        <row r="72">
          <cell r="I72" t="str">
            <v>1745</v>
          </cell>
          <cell r="J72">
            <v>496.25</v>
          </cell>
          <cell r="K72">
            <v>496.25</v>
          </cell>
          <cell r="N72">
            <v>38.119999999999997</v>
          </cell>
        </row>
        <row r="73">
          <cell r="I73" t="str">
            <v>1800</v>
          </cell>
          <cell r="J73">
            <v>496.25</v>
          </cell>
          <cell r="K73">
            <v>496.25</v>
          </cell>
          <cell r="N73">
            <v>38.119999999999997</v>
          </cell>
        </row>
        <row r="74">
          <cell r="I74" t="str">
            <v>1815</v>
          </cell>
          <cell r="J74">
            <v>496.25</v>
          </cell>
          <cell r="K74">
            <v>496.25</v>
          </cell>
          <cell r="N74">
            <v>38.119999999999997</v>
          </cell>
        </row>
        <row r="75">
          <cell r="I75" t="str">
            <v>1830</v>
          </cell>
          <cell r="J75">
            <v>496.25</v>
          </cell>
          <cell r="K75">
            <v>496.25</v>
          </cell>
          <cell r="N75">
            <v>38.119999999999997</v>
          </cell>
        </row>
        <row r="76">
          <cell r="I76" t="str">
            <v>1845</v>
          </cell>
          <cell r="J76">
            <v>496.25</v>
          </cell>
          <cell r="K76">
            <v>496.25</v>
          </cell>
          <cell r="N76">
            <v>38.119999999999997</v>
          </cell>
        </row>
        <row r="77">
          <cell r="I77" t="str">
            <v>1900</v>
          </cell>
          <cell r="J77">
            <v>496.25</v>
          </cell>
          <cell r="K77">
            <v>496.25</v>
          </cell>
          <cell r="N77">
            <v>38.119999999999997</v>
          </cell>
        </row>
        <row r="78">
          <cell r="I78" t="str">
            <v>1915</v>
          </cell>
          <cell r="J78">
            <v>496.25</v>
          </cell>
          <cell r="K78">
            <v>496.25</v>
          </cell>
          <cell r="N78">
            <v>38.119999999999997</v>
          </cell>
        </row>
        <row r="79">
          <cell r="I79" t="str">
            <v>1930</v>
          </cell>
          <cell r="J79">
            <v>496.25</v>
          </cell>
          <cell r="K79">
            <v>496.25</v>
          </cell>
          <cell r="N79">
            <v>38.119999999999997</v>
          </cell>
        </row>
        <row r="80">
          <cell r="I80" t="str">
            <v>1945</v>
          </cell>
          <cell r="J80">
            <v>496.25</v>
          </cell>
          <cell r="K80">
            <v>496.25</v>
          </cell>
          <cell r="N80">
            <v>38.119999999999997</v>
          </cell>
        </row>
        <row r="81">
          <cell r="I81" t="str">
            <v>2000</v>
          </cell>
          <cell r="J81">
            <v>496.25</v>
          </cell>
          <cell r="K81">
            <v>496.25</v>
          </cell>
          <cell r="N81">
            <v>38.119999999999997</v>
          </cell>
        </row>
        <row r="82">
          <cell r="I82" t="str">
            <v>2015</v>
          </cell>
          <cell r="J82">
            <v>496.25</v>
          </cell>
          <cell r="K82">
            <v>496.25</v>
          </cell>
          <cell r="N82">
            <v>38.119999999999997</v>
          </cell>
        </row>
        <row r="83">
          <cell r="I83" t="str">
            <v>2030</v>
          </cell>
          <cell r="J83">
            <v>496.25</v>
          </cell>
          <cell r="K83">
            <v>496.25</v>
          </cell>
          <cell r="N83">
            <v>38.119999999999997</v>
          </cell>
        </row>
        <row r="84">
          <cell r="I84" t="str">
            <v>2045</v>
          </cell>
          <cell r="J84">
            <v>496.25</v>
          </cell>
          <cell r="K84">
            <v>496.25</v>
          </cell>
          <cell r="N84">
            <v>38.119999999999997</v>
          </cell>
        </row>
        <row r="85">
          <cell r="I85" t="str">
            <v>2100</v>
          </cell>
          <cell r="J85">
            <v>496.25</v>
          </cell>
          <cell r="K85">
            <v>496.25</v>
          </cell>
          <cell r="N85">
            <v>38.119999999999997</v>
          </cell>
        </row>
        <row r="86">
          <cell r="I86" t="str">
            <v>2115</v>
          </cell>
          <cell r="J86">
            <v>496.25</v>
          </cell>
          <cell r="K86">
            <v>496.25</v>
          </cell>
          <cell r="N86">
            <v>38.119999999999997</v>
          </cell>
        </row>
        <row r="87">
          <cell r="I87" t="str">
            <v>2130</v>
          </cell>
          <cell r="J87">
            <v>496.25</v>
          </cell>
          <cell r="K87">
            <v>496.25</v>
          </cell>
          <cell r="N87">
            <v>0</v>
          </cell>
        </row>
        <row r="88">
          <cell r="I88" t="str">
            <v>2145</v>
          </cell>
          <cell r="J88">
            <v>496.25</v>
          </cell>
          <cell r="K88">
            <v>496.25</v>
          </cell>
          <cell r="N88">
            <v>0</v>
          </cell>
        </row>
        <row r="89">
          <cell r="I89" t="str">
            <v>2200</v>
          </cell>
          <cell r="J89">
            <v>496.25</v>
          </cell>
          <cell r="K89">
            <v>496.25</v>
          </cell>
          <cell r="N89">
            <v>0</v>
          </cell>
        </row>
        <row r="90">
          <cell r="I90" t="str">
            <v>2215</v>
          </cell>
          <cell r="J90">
            <v>496.25</v>
          </cell>
          <cell r="K90">
            <v>496.25</v>
          </cell>
          <cell r="N90">
            <v>0</v>
          </cell>
        </row>
        <row r="91">
          <cell r="I91" t="str">
            <v>2230</v>
          </cell>
          <cell r="J91">
            <v>496.25</v>
          </cell>
          <cell r="K91">
            <v>496.25</v>
          </cell>
          <cell r="N91">
            <v>0</v>
          </cell>
        </row>
        <row r="92">
          <cell r="I92" t="str">
            <v>2245</v>
          </cell>
          <cell r="J92">
            <v>496.25</v>
          </cell>
          <cell r="K92">
            <v>496.25</v>
          </cell>
          <cell r="N92">
            <v>0</v>
          </cell>
        </row>
        <row r="93">
          <cell r="I93" t="str">
            <v>2300</v>
          </cell>
          <cell r="J93">
            <v>494.89</v>
          </cell>
          <cell r="K93">
            <v>494.89</v>
          </cell>
          <cell r="N93">
            <v>0</v>
          </cell>
        </row>
        <row r="94">
          <cell r="I94" t="str">
            <v>2315</v>
          </cell>
          <cell r="J94">
            <v>496.25</v>
          </cell>
          <cell r="K94">
            <v>496.25</v>
          </cell>
          <cell r="N94">
            <v>0</v>
          </cell>
        </row>
        <row r="95">
          <cell r="I95" t="str">
            <v>2330</v>
          </cell>
          <cell r="J95">
            <v>487.5</v>
          </cell>
          <cell r="K95">
            <v>487.5</v>
          </cell>
          <cell r="N95">
            <v>0</v>
          </cell>
        </row>
        <row r="96">
          <cell r="I96" t="str">
            <v>2345</v>
          </cell>
          <cell r="J96">
            <v>477</v>
          </cell>
          <cell r="K96">
            <v>477</v>
          </cell>
          <cell r="N96">
            <v>0</v>
          </cell>
        </row>
        <row r="97">
          <cell r="I97" t="str">
            <v>2400</v>
          </cell>
          <cell r="J97">
            <v>468</v>
          </cell>
          <cell r="K97">
            <v>468</v>
          </cell>
          <cell r="N97">
            <v>0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450</v>
          </cell>
          <cell r="K2">
            <v>450</v>
          </cell>
          <cell r="N2">
            <v>0</v>
          </cell>
        </row>
        <row r="3">
          <cell r="I3" t="str">
            <v>0030</v>
          </cell>
          <cell r="J3">
            <v>443.75</v>
          </cell>
          <cell r="K3">
            <v>443.75</v>
          </cell>
          <cell r="N3">
            <v>0</v>
          </cell>
        </row>
        <row r="4">
          <cell r="I4" t="str">
            <v>0045</v>
          </cell>
          <cell r="J4">
            <v>440</v>
          </cell>
          <cell r="K4">
            <v>440</v>
          </cell>
          <cell r="N4">
            <v>0</v>
          </cell>
        </row>
        <row r="5">
          <cell r="I5" t="str">
            <v>0100</v>
          </cell>
          <cell r="J5">
            <v>435</v>
          </cell>
          <cell r="K5">
            <v>435</v>
          </cell>
          <cell r="N5">
            <v>0</v>
          </cell>
        </row>
        <row r="6">
          <cell r="I6" t="str">
            <v>0115</v>
          </cell>
          <cell r="J6">
            <v>435</v>
          </cell>
          <cell r="K6">
            <v>435</v>
          </cell>
          <cell r="N6">
            <v>0</v>
          </cell>
        </row>
        <row r="7">
          <cell r="I7" t="str">
            <v>0130</v>
          </cell>
          <cell r="J7">
            <v>431</v>
          </cell>
          <cell r="K7">
            <v>431</v>
          </cell>
          <cell r="N7">
            <v>0</v>
          </cell>
        </row>
        <row r="8">
          <cell r="I8" t="str">
            <v>0145</v>
          </cell>
          <cell r="J8">
            <v>428</v>
          </cell>
          <cell r="K8">
            <v>428</v>
          </cell>
          <cell r="N8">
            <v>0</v>
          </cell>
        </row>
        <row r="9">
          <cell r="I9" t="str">
            <v>0200</v>
          </cell>
          <cell r="J9">
            <v>424</v>
          </cell>
          <cell r="K9">
            <v>424</v>
          </cell>
          <cell r="N9">
            <v>0</v>
          </cell>
        </row>
        <row r="10">
          <cell r="I10" t="str">
            <v>0215</v>
          </cell>
          <cell r="J10">
            <v>451</v>
          </cell>
          <cell r="K10">
            <v>451</v>
          </cell>
          <cell r="N10">
            <v>0</v>
          </cell>
        </row>
        <row r="11">
          <cell r="I11" t="str">
            <v>0230</v>
          </cell>
          <cell r="J11">
            <v>451</v>
          </cell>
          <cell r="K11">
            <v>451</v>
          </cell>
          <cell r="N11">
            <v>0</v>
          </cell>
        </row>
        <row r="12">
          <cell r="I12" t="str">
            <v>0245</v>
          </cell>
          <cell r="J12">
            <v>445</v>
          </cell>
          <cell r="K12">
            <v>445</v>
          </cell>
          <cell r="N12">
            <v>0</v>
          </cell>
        </row>
        <row r="13">
          <cell r="I13" t="str">
            <v>0300</v>
          </cell>
          <cell r="J13">
            <v>436.67</v>
          </cell>
          <cell r="K13">
            <v>436.67</v>
          </cell>
          <cell r="N13">
            <v>0</v>
          </cell>
        </row>
        <row r="14">
          <cell r="I14" t="str">
            <v>0315</v>
          </cell>
          <cell r="J14">
            <v>435</v>
          </cell>
          <cell r="K14">
            <v>435</v>
          </cell>
          <cell r="N14">
            <v>0</v>
          </cell>
        </row>
        <row r="15">
          <cell r="I15" t="str">
            <v>0330</v>
          </cell>
          <cell r="J15">
            <v>432</v>
          </cell>
          <cell r="K15">
            <v>432</v>
          </cell>
          <cell r="N15">
            <v>0</v>
          </cell>
        </row>
        <row r="16">
          <cell r="I16" t="str">
            <v>0345</v>
          </cell>
          <cell r="J16">
            <v>426</v>
          </cell>
          <cell r="K16">
            <v>426</v>
          </cell>
          <cell r="N16">
            <v>0</v>
          </cell>
        </row>
        <row r="17">
          <cell r="I17" t="str">
            <v>0400</v>
          </cell>
          <cell r="J17">
            <v>427</v>
          </cell>
          <cell r="K17">
            <v>427</v>
          </cell>
          <cell r="N17">
            <v>0</v>
          </cell>
        </row>
        <row r="18">
          <cell r="I18" t="str">
            <v>0415</v>
          </cell>
          <cell r="J18">
            <v>421</v>
          </cell>
          <cell r="K18">
            <v>421</v>
          </cell>
          <cell r="N18">
            <v>0</v>
          </cell>
        </row>
        <row r="19">
          <cell r="I19" t="str">
            <v>0430</v>
          </cell>
          <cell r="J19">
            <v>418</v>
          </cell>
          <cell r="K19">
            <v>418</v>
          </cell>
          <cell r="N19">
            <v>0</v>
          </cell>
        </row>
        <row r="20">
          <cell r="I20" t="str">
            <v>0445</v>
          </cell>
          <cell r="J20">
            <v>422</v>
          </cell>
          <cell r="K20">
            <v>422</v>
          </cell>
          <cell r="N20">
            <v>0</v>
          </cell>
        </row>
        <row r="21">
          <cell r="I21" t="str">
            <v>0500</v>
          </cell>
          <cell r="J21">
            <v>428</v>
          </cell>
          <cell r="K21">
            <v>428</v>
          </cell>
          <cell r="N21">
            <v>0</v>
          </cell>
        </row>
        <row r="22">
          <cell r="I22" t="str">
            <v>0515</v>
          </cell>
          <cell r="J22">
            <v>438.69</v>
          </cell>
          <cell r="K22">
            <v>438.69</v>
          </cell>
          <cell r="N22">
            <v>0</v>
          </cell>
        </row>
        <row r="23">
          <cell r="I23" t="str">
            <v>0530</v>
          </cell>
          <cell r="J23">
            <v>426</v>
          </cell>
          <cell r="K23">
            <v>426</v>
          </cell>
          <cell r="N23">
            <v>0</v>
          </cell>
        </row>
        <row r="24">
          <cell r="I24" t="str">
            <v>0545</v>
          </cell>
          <cell r="J24">
            <v>412.6</v>
          </cell>
          <cell r="K24">
            <v>412.6</v>
          </cell>
          <cell r="N24">
            <v>0</v>
          </cell>
        </row>
        <row r="25">
          <cell r="I25" t="str">
            <v>0600</v>
          </cell>
          <cell r="J25">
            <v>398</v>
          </cell>
          <cell r="K25">
            <v>398</v>
          </cell>
          <cell r="N25">
            <v>0</v>
          </cell>
        </row>
        <row r="26">
          <cell r="I26" t="str">
            <v>0615</v>
          </cell>
          <cell r="J26">
            <v>396.4</v>
          </cell>
          <cell r="K26">
            <v>396.4</v>
          </cell>
          <cell r="N26">
            <v>0</v>
          </cell>
        </row>
        <row r="27">
          <cell r="I27" t="str">
            <v>0630</v>
          </cell>
          <cell r="J27">
            <v>420.6</v>
          </cell>
          <cell r="K27">
            <v>420.6</v>
          </cell>
          <cell r="N27">
            <v>0</v>
          </cell>
        </row>
        <row r="28">
          <cell r="I28" t="str">
            <v>0645</v>
          </cell>
          <cell r="J28">
            <v>435</v>
          </cell>
          <cell r="K28">
            <v>435</v>
          </cell>
          <cell r="N28">
            <v>0</v>
          </cell>
        </row>
        <row r="29">
          <cell r="I29" t="str">
            <v>0700</v>
          </cell>
          <cell r="J29">
            <v>438.8</v>
          </cell>
          <cell r="K29">
            <v>438.8</v>
          </cell>
          <cell r="N29">
            <v>0</v>
          </cell>
        </row>
        <row r="30">
          <cell r="I30" t="str">
            <v>0715</v>
          </cell>
          <cell r="J30">
            <v>458</v>
          </cell>
          <cell r="K30">
            <v>458</v>
          </cell>
          <cell r="N30">
            <v>0</v>
          </cell>
        </row>
        <row r="31">
          <cell r="I31" t="str">
            <v>0730</v>
          </cell>
          <cell r="J31">
            <v>468</v>
          </cell>
          <cell r="K31">
            <v>468</v>
          </cell>
          <cell r="N31">
            <v>0</v>
          </cell>
        </row>
        <row r="32">
          <cell r="I32" t="str">
            <v>0745</v>
          </cell>
          <cell r="J32">
            <v>492.5</v>
          </cell>
          <cell r="K32">
            <v>492.5</v>
          </cell>
          <cell r="N32">
            <v>0</v>
          </cell>
        </row>
        <row r="33">
          <cell r="I33" t="str">
            <v>0800</v>
          </cell>
          <cell r="J33">
            <v>504.38</v>
          </cell>
          <cell r="K33">
            <v>504.38</v>
          </cell>
          <cell r="N33">
            <v>18.010000000000002</v>
          </cell>
        </row>
        <row r="34">
          <cell r="I34" t="str">
            <v>0815</v>
          </cell>
          <cell r="J34">
            <v>504.38</v>
          </cell>
          <cell r="K34">
            <v>504.38</v>
          </cell>
          <cell r="N34">
            <v>18.010000000000002</v>
          </cell>
        </row>
        <row r="35">
          <cell r="I35" t="str">
            <v>0830</v>
          </cell>
          <cell r="J35">
            <v>490.38</v>
          </cell>
          <cell r="K35">
            <v>490.38</v>
          </cell>
          <cell r="N35">
            <v>0</v>
          </cell>
        </row>
        <row r="36">
          <cell r="I36" t="str">
            <v>0845</v>
          </cell>
          <cell r="J36">
            <v>466.7</v>
          </cell>
          <cell r="K36">
            <v>466.7</v>
          </cell>
          <cell r="N36">
            <v>0</v>
          </cell>
        </row>
        <row r="37">
          <cell r="I37" t="str">
            <v>0900</v>
          </cell>
          <cell r="J37">
            <v>447.06</v>
          </cell>
          <cell r="K37">
            <v>447.06</v>
          </cell>
          <cell r="N37">
            <v>0</v>
          </cell>
        </row>
        <row r="38">
          <cell r="I38" t="str">
            <v>0915</v>
          </cell>
          <cell r="J38">
            <v>398.24</v>
          </cell>
          <cell r="K38">
            <v>398.24</v>
          </cell>
          <cell r="N38">
            <v>0</v>
          </cell>
        </row>
        <row r="39">
          <cell r="I39" t="str">
            <v>0930</v>
          </cell>
          <cell r="J39">
            <v>332.16</v>
          </cell>
          <cell r="K39">
            <v>332.16</v>
          </cell>
          <cell r="N39">
            <v>0</v>
          </cell>
        </row>
        <row r="40">
          <cell r="I40" t="str">
            <v>0945</v>
          </cell>
          <cell r="J40">
            <v>84.8</v>
          </cell>
          <cell r="K40">
            <v>84.8</v>
          </cell>
          <cell r="N40">
            <v>0</v>
          </cell>
        </row>
        <row r="41">
          <cell r="I41" t="str">
            <v>1000</v>
          </cell>
          <cell r="J41">
            <v>74.8</v>
          </cell>
          <cell r="K41">
            <v>74.8</v>
          </cell>
          <cell r="N41">
            <v>0</v>
          </cell>
        </row>
        <row r="42">
          <cell r="I42" t="str">
            <v>1015</v>
          </cell>
          <cell r="J42">
            <v>49.6</v>
          </cell>
          <cell r="K42">
            <v>49.6</v>
          </cell>
          <cell r="N42">
            <v>0</v>
          </cell>
        </row>
        <row r="43">
          <cell r="I43" t="str">
            <v>1030</v>
          </cell>
          <cell r="J43">
            <v>90</v>
          </cell>
          <cell r="K43">
            <v>90</v>
          </cell>
          <cell r="N43">
            <v>0</v>
          </cell>
        </row>
        <row r="44">
          <cell r="I44" t="str">
            <v>1045</v>
          </cell>
          <cell r="J44">
            <v>-57.2</v>
          </cell>
          <cell r="K44">
            <v>-57.2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-95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-95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-13.33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-13.33</v>
          </cell>
        </row>
        <row r="57">
          <cell r="I57" t="str">
            <v>1400</v>
          </cell>
          <cell r="J57">
            <v>-100</v>
          </cell>
          <cell r="K57">
            <v>-100</v>
          </cell>
          <cell r="N57">
            <v>-13.33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-100</v>
          </cell>
          <cell r="K60">
            <v>-100</v>
          </cell>
          <cell r="N60">
            <v>0</v>
          </cell>
        </row>
        <row r="61">
          <cell r="I61" t="str">
            <v>1500</v>
          </cell>
          <cell r="J61">
            <v>-100</v>
          </cell>
          <cell r="K61">
            <v>-100</v>
          </cell>
          <cell r="N61">
            <v>0</v>
          </cell>
        </row>
        <row r="62">
          <cell r="I62" t="str">
            <v>1515</v>
          </cell>
          <cell r="J62">
            <v>69.14</v>
          </cell>
          <cell r="K62">
            <v>69.14</v>
          </cell>
          <cell r="N62">
            <v>0</v>
          </cell>
        </row>
        <row r="63">
          <cell r="I63" t="str">
            <v>1530</v>
          </cell>
          <cell r="J63">
            <v>309.26</v>
          </cell>
          <cell r="K63">
            <v>309.26</v>
          </cell>
          <cell r="N63">
            <v>0</v>
          </cell>
        </row>
        <row r="64">
          <cell r="I64" t="str">
            <v>1545</v>
          </cell>
          <cell r="J64">
            <v>362.9</v>
          </cell>
          <cell r="K64">
            <v>362.9</v>
          </cell>
          <cell r="N64">
            <v>0</v>
          </cell>
        </row>
        <row r="65">
          <cell r="I65" t="str">
            <v>1600</v>
          </cell>
          <cell r="J65">
            <v>422</v>
          </cell>
          <cell r="K65">
            <v>422</v>
          </cell>
          <cell r="N65">
            <v>0</v>
          </cell>
        </row>
        <row r="66">
          <cell r="I66" t="str">
            <v>1615</v>
          </cell>
          <cell r="J66">
            <v>444</v>
          </cell>
          <cell r="K66">
            <v>444</v>
          </cell>
          <cell r="N66">
            <v>0</v>
          </cell>
        </row>
        <row r="67">
          <cell r="I67" t="str">
            <v>1630</v>
          </cell>
          <cell r="J67">
            <v>454</v>
          </cell>
          <cell r="K67">
            <v>454</v>
          </cell>
          <cell r="N67">
            <v>0</v>
          </cell>
        </row>
        <row r="68">
          <cell r="I68" t="str">
            <v>1645</v>
          </cell>
          <cell r="J68">
            <v>456</v>
          </cell>
          <cell r="K68">
            <v>456</v>
          </cell>
          <cell r="N68">
            <v>95</v>
          </cell>
        </row>
        <row r="69">
          <cell r="I69" t="str">
            <v>1700</v>
          </cell>
          <cell r="J69">
            <v>453.02</v>
          </cell>
          <cell r="K69">
            <v>453.02</v>
          </cell>
          <cell r="N69">
            <v>95</v>
          </cell>
        </row>
        <row r="70">
          <cell r="I70" t="str">
            <v>1715</v>
          </cell>
          <cell r="J70">
            <v>408.75</v>
          </cell>
          <cell r="K70">
            <v>408.75</v>
          </cell>
          <cell r="N70">
            <v>95</v>
          </cell>
        </row>
        <row r="71">
          <cell r="I71" t="str">
            <v>1730</v>
          </cell>
          <cell r="J71">
            <v>364</v>
          </cell>
          <cell r="K71">
            <v>364</v>
          </cell>
          <cell r="N71">
            <v>95</v>
          </cell>
        </row>
        <row r="72">
          <cell r="I72" t="str">
            <v>1745</v>
          </cell>
          <cell r="J72">
            <v>293.60000000000002</v>
          </cell>
          <cell r="K72">
            <v>293.60000000000002</v>
          </cell>
          <cell r="N72">
            <v>95</v>
          </cell>
        </row>
        <row r="73">
          <cell r="I73" t="str">
            <v>1800</v>
          </cell>
          <cell r="J73">
            <v>260</v>
          </cell>
          <cell r="K73">
            <v>260</v>
          </cell>
          <cell r="N73">
            <v>11.09</v>
          </cell>
        </row>
        <row r="74">
          <cell r="I74" t="str">
            <v>1815</v>
          </cell>
          <cell r="J74">
            <v>260</v>
          </cell>
          <cell r="K74">
            <v>260</v>
          </cell>
          <cell r="N74">
            <v>11.09</v>
          </cell>
        </row>
        <row r="75">
          <cell r="I75" t="str">
            <v>1830</v>
          </cell>
          <cell r="J75">
            <v>260</v>
          </cell>
          <cell r="K75">
            <v>260</v>
          </cell>
          <cell r="N75">
            <v>11.09</v>
          </cell>
        </row>
        <row r="76">
          <cell r="I76" t="str">
            <v>1845</v>
          </cell>
          <cell r="J76">
            <v>260</v>
          </cell>
          <cell r="K76">
            <v>260</v>
          </cell>
          <cell r="N76">
            <v>0</v>
          </cell>
        </row>
        <row r="77">
          <cell r="I77" t="str">
            <v>1900</v>
          </cell>
          <cell r="J77">
            <v>260</v>
          </cell>
          <cell r="K77">
            <v>260</v>
          </cell>
          <cell r="N77">
            <v>0</v>
          </cell>
        </row>
        <row r="78">
          <cell r="I78" t="str">
            <v>1915</v>
          </cell>
          <cell r="J78">
            <v>260</v>
          </cell>
          <cell r="K78">
            <v>260</v>
          </cell>
          <cell r="N78">
            <v>0</v>
          </cell>
        </row>
        <row r="79">
          <cell r="I79" t="str">
            <v>1930</v>
          </cell>
          <cell r="J79">
            <v>260</v>
          </cell>
          <cell r="K79">
            <v>260</v>
          </cell>
          <cell r="N79">
            <v>0</v>
          </cell>
        </row>
        <row r="80">
          <cell r="I80" t="str">
            <v>1945</v>
          </cell>
          <cell r="J80">
            <v>260</v>
          </cell>
          <cell r="K80">
            <v>260</v>
          </cell>
          <cell r="N80">
            <v>0</v>
          </cell>
        </row>
        <row r="81">
          <cell r="I81" t="str">
            <v>2000</v>
          </cell>
          <cell r="J81">
            <v>260</v>
          </cell>
          <cell r="K81">
            <v>260</v>
          </cell>
          <cell r="N81">
            <v>0</v>
          </cell>
        </row>
        <row r="82">
          <cell r="I82" t="str">
            <v>2015</v>
          </cell>
          <cell r="J82">
            <v>260</v>
          </cell>
          <cell r="K82">
            <v>260</v>
          </cell>
          <cell r="N82">
            <v>0</v>
          </cell>
        </row>
        <row r="83">
          <cell r="I83" t="str">
            <v>2030</v>
          </cell>
          <cell r="J83">
            <v>260</v>
          </cell>
          <cell r="K83">
            <v>260</v>
          </cell>
          <cell r="N83">
            <v>0</v>
          </cell>
        </row>
        <row r="84">
          <cell r="I84" t="str">
            <v>2045</v>
          </cell>
          <cell r="J84">
            <v>260</v>
          </cell>
          <cell r="K84">
            <v>260</v>
          </cell>
          <cell r="N84">
            <v>0</v>
          </cell>
        </row>
        <row r="85">
          <cell r="I85" t="str">
            <v>2100</v>
          </cell>
          <cell r="J85">
            <v>260</v>
          </cell>
          <cell r="K85">
            <v>260</v>
          </cell>
          <cell r="N85">
            <v>0</v>
          </cell>
        </row>
        <row r="86">
          <cell r="I86" t="str">
            <v>2115</v>
          </cell>
          <cell r="J86">
            <v>260</v>
          </cell>
          <cell r="K86">
            <v>260</v>
          </cell>
          <cell r="N86">
            <v>95</v>
          </cell>
        </row>
        <row r="87">
          <cell r="I87" t="str">
            <v>2130</v>
          </cell>
          <cell r="J87">
            <v>260</v>
          </cell>
          <cell r="K87">
            <v>260</v>
          </cell>
          <cell r="N87">
            <v>58.36</v>
          </cell>
        </row>
        <row r="88">
          <cell r="I88" t="str">
            <v>2145</v>
          </cell>
          <cell r="J88">
            <v>260</v>
          </cell>
          <cell r="K88">
            <v>260</v>
          </cell>
          <cell r="N88">
            <v>58.36</v>
          </cell>
        </row>
        <row r="89">
          <cell r="I89" t="str">
            <v>2200</v>
          </cell>
          <cell r="J89">
            <v>260</v>
          </cell>
          <cell r="K89">
            <v>260</v>
          </cell>
          <cell r="N89">
            <v>0</v>
          </cell>
        </row>
        <row r="90">
          <cell r="I90" t="str">
            <v>2215</v>
          </cell>
          <cell r="J90">
            <v>276</v>
          </cell>
          <cell r="K90">
            <v>276</v>
          </cell>
          <cell r="N90">
            <v>0</v>
          </cell>
        </row>
        <row r="91">
          <cell r="I91" t="str">
            <v>2230</v>
          </cell>
          <cell r="J91">
            <v>244</v>
          </cell>
          <cell r="K91">
            <v>244</v>
          </cell>
          <cell r="N91">
            <v>0</v>
          </cell>
        </row>
        <row r="92">
          <cell r="I92" t="str">
            <v>2245</v>
          </cell>
          <cell r="J92">
            <v>92</v>
          </cell>
          <cell r="K92">
            <v>92</v>
          </cell>
          <cell r="N92">
            <v>0</v>
          </cell>
        </row>
        <row r="93">
          <cell r="I93" t="str">
            <v>2300</v>
          </cell>
          <cell r="J93">
            <v>0</v>
          </cell>
          <cell r="K93">
            <v>0</v>
          </cell>
          <cell r="N93">
            <v>0</v>
          </cell>
        </row>
        <row r="94">
          <cell r="I94" t="str">
            <v>2315</v>
          </cell>
          <cell r="J94">
            <v>144.80000000000001</v>
          </cell>
          <cell r="K94">
            <v>144.80000000000001</v>
          </cell>
          <cell r="N94">
            <v>0</v>
          </cell>
        </row>
        <row r="95">
          <cell r="I95" t="str">
            <v>2330</v>
          </cell>
          <cell r="J95">
            <v>0</v>
          </cell>
          <cell r="K95">
            <v>0</v>
          </cell>
          <cell r="N95">
            <v>0</v>
          </cell>
        </row>
        <row r="96">
          <cell r="I96" t="str">
            <v>2345</v>
          </cell>
          <cell r="J96">
            <v>-100</v>
          </cell>
          <cell r="K96">
            <v>-100</v>
          </cell>
          <cell r="N96">
            <v>0</v>
          </cell>
        </row>
        <row r="97">
          <cell r="I97" t="str">
            <v>2400</v>
          </cell>
          <cell r="J97">
            <v>-100</v>
          </cell>
          <cell r="K97">
            <v>-100</v>
          </cell>
          <cell r="N97">
            <v>-40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0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-80</v>
          </cell>
          <cell r="K5">
            <v>-80</v>
          </cell>
          <cell r="N5">
            <v>0</v>
          </cell>
        </row>
        <row r="6">
          <cell r="I6" t="str">
            <v>0115</v>
          </cell>
          <cell r="J6">
            <v>-80</v>
          </cell>
          <cell r="K6">
            <v>-80</v>
          </cell>
          <cell r="N6">
            <v>0</v>
          </cell>
        </row>
        <row r="7">
          <cell r="I7" t="str">
            <v>0130</v>
          </cell>
          <cell r="J7">
            <v>-80</v>
          </cell>
          <cell r="K7">
            <v>-80</v>
          </cell>
          <cell r="N7">
            <v>0</v>
          </cell>
        </row>
        <row r="8">
          <cell r="I8" t="str">
            <v>0145</v>
          </cell>
          <cell r="J8">
            <v>-80.13</v>
          </cell>
          <cell r="K8">
            <v>-80.13</v>
          </cell>
          <cell r="N8">
            <v>-95</v>
          </cell>
        </row>
        <row r="9">
          <cell r="I9" t="str">
            <v>0200</v>
          </cell>
          <cell r="J9">
            <v>-80.13</v>
          </cell>
          <cell r="K9">
            <v>-80.13</v>
          </cell>
          <cell r="N9">
            <v>-95</v>
          </cell>
        </row>
        <row r="10">
          <cell r="I10" t="str">
            <v>0215</v>
          </cell>
          <cell r="J10">
            <v>-80.13</v>
          </cell>
          <cell r="K10">
            <v>-80.13</v>
          </cell>
          <cell r="N10">
            <v>0</v>
          </cell>
        </row>
        <row r="11">
          <cell r="I11" t="str">
            <v>0230</v>
          </cell>
          <cell r="J11">
            <v>-80</v>
          </cell>
          <cell r="K11">
            <v>-80</v>
          </cell>
          <cell r="N11">
            <v>0</v>
          </cell>
        </row>
        <row r="12">
          <cell r="I12" t="str">
            <v>0245</v>
          </cell>
          <cell r="J12">
            <v>-80</v>
          </cell>
          <cell r="K12">
            <v>-80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-80</v>
          </cell>
          <cell r="K14">
            <v>-80</v>
          </cell>
          <cell r="N14">
            <v>0</v>
          </cell>
        </row>
        <row r="15">
          <cell r="I15" t="str">
            <v>0330</v>
          </cell>
          <cell r="J15">
            <v>-80.13</v>
          </cell>
          <cell r="K15">
            <v>-80.13</v>
          </cell>
          <cell r="N15">
            <v>0</v>
          </cell>
        </row>
        <row r="16">
          <cell r="I16" t="str">
            <v>0345</v>
          </cell>
          <cell r="J16">
            <v>-80.13</v>
          </cell>
          <cell r="K16">
            <v>-80.13</v>
          </cell>
          <cell r="N16">
            <v>0</v>
          </cell>
        </row>
        <row r="17">
          <cell r="I17" t="str">
            <v>0400</v>
          </cell>
          <cell r="J17">
            <v>-80.13</v>
          </cell>
          <cell r="K17">
            <v>-80.13</v>
          </cell>
          <cell r="N17">
            <v>-72.849999999999994</v>
          </cell>
        </row>
        <row r="18">
          <cell r="I18" t="str">
            <v>0415</v>
          </cell>
          <cell r="J18">
            <v>-80.13</v>
          </cell>
          <cell r="K18">
            <v>-80.13</v>
          </cell>
          <cell r="N18">
            <v>-95</v>
          </cell>
        </row>
        <row r="19">
          <cell r="I19" t="str">
            <v>0430</v>
          </cell>
          <cell r="J19">
            <v>-80.13</v>
          </cell>
          <cell r="K19">
            <v>-80.13</v>
          </cell>
          <cell r="N19">
            <v>-31.5</v>
          </cell>
        </row>
        <row r="20">
          <cell r="I20" t="str">
            <v>0445</v>
          </cell>
          <cell r="J20">
            <v>-80</v>
          </cell>
          <cell r="K20">
            <v>-80</v>
          </cell>
          <cell r="N20">
            <v>0</v>
          </cell>
        </row>
        <row r="21">
          <cell r="I21" t="str">
            <v>0500</v>
          </cell>
          <cell r="J21">
            <v>-80</v>
          </cell>
          <cell r="K21">
            <v>-80</v>
          </cell>
          <cell r="N21">
            <v>0</v>
          </cell>
        </row>
        <row r="22">
          <cell r="I22" t="str">
            <v>0515</v>
          </cell>
          <cell r="J22">
            <v>-80</v>
          </cell>
          <cell r="K22">
            <v>-80</v>
          </cell>
          <cell r="N22">
            <v>0</v>
          </cell>
        </row>
        <row r="23">
          <cell r="I23" t="str">
            <v>0530</v>
          </cell>
          <cell r="J23">
            <v>-80</v>
          </cell>
          <cell r="K23">
            <v>-80</v>
          </cell>
          <cell r="N23">
            <v>0</v>
          </cell>
        </row>
        <row r="24">
          <cell r="I24" t="str">
            <v>0545</v>
          </cell>
          <cell r="J24">
            <v>-80</v>
          </cell>
          <cell r="K24">
            <v>-80</v>
          </cell>
          <cell r="N24">
            <v>0</v>
          </cell>
        </row>
        <row r="25">
          <cell r="I25" t="str">
            <v>0600</v>
          </cell>
          <cell r="J25">
            <v>-80</v>
          </cell>
          <cell r="K25">
            <v>-80</v>
          </cell>
          <cell r="N25">
            <v>0</v>
          </cell>
        </row>
        <row r="26">
          <cell r="I26" t="str">
            <v>0615</v>
          </cell>
          <cell r="J26">
            <v>-80</v>
          </cell>
          <cell r="K26">
            <v>-80</v>
          </cell>
          <cell r="N26">
            <v>0</v>
          </cell>
        </row>
        <row r="27">
          <cell r="I27" t="str">
            <v>0630</v>
          </cell>
          <cell r="J27">
            <v>-80</v>
          </cell>
          <cell r="K27">
            <v>-80</v>
          </cell>
          <cell r="N27">
            <v>0</v>
          </cell>
        </row>
        <row r="28">
          <cell r="I28" t="str">
            <v>0645</v>
          </cell>
          <cell r="J28">
            <v>-80</v>
          </cell>
          <cell r="K28">
            <v>-80</v>
          </cell>
          <cell r="N28">
            <v>0</v>
          </cell>
        </row>
        <row r="29">
          <cell r="I29" t="str">
            <v>0700</v>
          </cell>
          <cell r="J29">
            <v>-80</v>
          </cell>
          <cell r="K29">
            <v>-80</v>
          </cell>
          <cell r="N29">
            <v>0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-80.56</v>
          </cell>
          <cell r="K31">
            <v>-80.56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83.42</v>
          </cell>
        </row>
        <row r="33">
          <cell r="I33" t="str">
            <v>0800</v>
          </cell>
          <cell r="J33">
            <v>144.80000000000001</v>
          </cell>
          <cell r="K33">
            <v>144.80000000000001</v>
          </cell>
          <cell r="N33">
            <v>95</v>
          </cell>
        </row>
        <row r="34">
          <cell r="I34" t="str">
            <v>0815</v>
          </cell>
          <cell r="J34">
            <v>55.65</v>
          </cell>
          <cell r="K34">
            <v>55.65</v>
          </cell>
          <cell r="N34">
            <v>95</v>
          </cell>
        </row>
        <row r="35">
          <cell r="I35" t="str">
            <v>0830</v>
          </cell>
          <cell r="J35">
            <v>108.94</v>
          </cell>
          <cell r="K35">
            <v>108.94</v>
          </cell>
          <cell r="N35">
            <v>95</v>
          </cell>
        </row>
        <row r="36">
          <cell r="I36" t="str">
            <v>0845</v>
          </cell>
          <cell r="J36">
            <v>-80</v>
          </cell>
          <cell r="K36">
            <v>-80</v>
          </cell>
          <cell r="N36">
            <v>0</v>
          </cell>
        </row>
        <row r="37">
          <cell r="I37" t="str">
            <v>0900</v>
          </cell>
          <cell r="J37">
            <v>-80</v>
          </cell>
          <cell r="K37">
            <v>-80</v>
          </cell>
          <cell r="N37">
            <v>0</v>
          </cell>
        </row>
        <row r="38">
          <cell r="I38" t="str">
            <v>0915</v>
          </cell>
          <cell r="J38">
            <v>-80</v>
          </cell>
          <cell r="K38">
            <v>-80</v>
          </cell>
          <cell r="N38">
            <v>0</v>
          </cell>
        </row>
        <row r="39">
          <cell r="I39" t="str">
            <v>0930</v>
          </cell>
          <cell r="J39">
            <v>-80</v>
          </cell>
          <cell r="K39">
            <v>-80</v>
          </cell>
          <cell r="N39">
            <v>0</v>
          </cell>
        </row>
        <row r="40">
          <cell r="I40" t="str">
            <v>0945</v>
          </cell>
          <cell r="J40">
            <v>-80</v>
          </cell>
          <cell r="K40">
            <v>-80</v>
          </cell>
          <cell r="N40">
            <v>0</v>
          </cell>
        </row>
        <row r="41">
          <cell r="I41" t="str">
            <v>1000</v>
          </cell>
          <cell r="J41">
            <v>-80</v>
          </cell>
          <cell r="K41">
            <v>-80</v>
          </cell>
          <cell r="N41">
            <v>0</v>
          </cell>
        </row>
        <row r="42">
          <cell r="I42" t="str">
            <v>1015</v>
          </cell>
          <cell r="J42">
            <v>-80</v>
          </cell>
          <cell r="K42">
            <v>-80</v>
          </cell>
          <cell r="N42">
            <v>0</v>
          </cell>
        </row>
        <row r="43">
          <cell r="I43" t="str">
            <v>1030</v>
          </cell>
          <cell r="J43">
            <v>-80</v>
          </cell>
          <cell r="K43">
            <v>-80</v>
          </cell>
          <cell r="N43">
            <v>0</v>
          </cell>
        </row>
        <row r="44">
          <cell r="I44" t="str">
            <v>1045</v>
          </cell>
          <cell r="J44">
            <v>-80.13</v>
          </cell>
          <cell r="K44">
            <v>-80.13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-80.27</v>
          </cell>
          <cell r="K46">
            <v>-80.27</v>
          </cell>
          <cell r="N46">
            <v>0</v>
          </cell>
        </row>
        <row r="47">
          <cell r="I47" t="str">
            <v>1130</v>
          </cell>
          <cell r="J47">
            <v>-80.13</v>
          </cell>
          <cell r="K47">
            <v>-80.13</v>
          </cell>
          <cell r="N47">
            <v>0</v>
          </cell>
        </row>
        <row r="48">
          <cell r="I48" t="str">
            <v>1145</v>
          </cell>
          <cell r="J48">
            <v>-80.13</v>
          </cell>
          <cell r="K48">
            <v>-80.13</v>
          </cell>
          <cell r="N48">
            <v>-95</v>
          </cell>
        </row>
        <row r="49">
          <cell r="I49" t="str">
            <v>1200</v>
          </cell>
          <cell r="J49">
            <v>-80.13</v>
          </cell>
          <cell r="K49">
            <v>-80.13</v>
          </cell>
          <cell r="N49">
            <v>-95</v>
          </cell>
        </row>
        <row r="50">
          <cell r="I50" t="str">
            <v>1215</v>
          </cell>
          <cell r="J50">
            <v>-80.13</v>
          </cell>
          <cell r="K50">
            <v>-80.13</v>
          </cell>
          <cell r="N50">
            <v>-95</v>
          </cell>
        </row>
        <row r="51">
          <cell r="I51" t="str">
            <v>1230</v>
          </cell>
          <cell r="J51">
            <v>-80.13</v>
          </cell>
          <cell r="K51">
            <v>-80.13</v>
          </cell>
          <cell r="N51">
            <v>-95</v>
          </cell>
        </row>
        <row r="52">
          <cell r="I52" t="str">
            <v>1245</v>
          </cell>
          <cell r="J52">
            <v>-80.13</v>
          </cell>
          <cell r="K52">
            <v>-80.13</v>
          </cell>
          <cell r="N52">
            <v>-95</v>
          </cell>
        </row>
        <row r="53">
          <cell r="I53" t="str">
            <v>1300</v>
          </cell>
          <cell r="J53">
            <v>-80.13</v>
          </cell>
          <cell r="K53">
            <v>-80.13</v>
          </cell>
          <cell r="N53">
            <v>-85.62</v>
          </cell>
        </row>
        <row r="54">
          <cell r="I54" t="str">
            <v>1315</v>
          </cell>
          <cell r="J54">
            <v>-80.13</v>
          </cell>
          <cell r="K54">
            <v>-80.13</v>
          </cell>
          <cell r="N54">
            <v>-59.85</v>
          </cell>
        </row>
        <row r="55">
          <cell r="I55" t="str">
            <v>1330</v>
          </cell>
          <cell r="J55">
            <v>-80.13</v>
          </cell>
          <cell r="K55">
            <v>-80.13</v>
          </cell>
          <cell r="N55">
            <v>-59.85</v>
          </cell>
        </row>
        <row r="56">
          <cell r="I56" t="str">
            <v>1345</v>
          </cell>
          <cell r="J56">
            <v>-80.13</v>
          </cell>
          <cell r="K56">
            <v>-80.13</v>
          </cell>
          <cell r="N56">
            <v>-59.85</v>
          </cell>
        </row>
        <row r="57">
          <cell r="I57" t="str">
            <v>1400</v>
          </cell>
          <cell r="J57">
            <v>-80.27</v>
          </cell>
          <cell r="K57">
            <v>-80.27</v>
          </cell>
          <cell r="N57">
            <v>-59.85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-80</v>
          </cell>
          <cell r="K62">
            <v>-80</v>
          </cell>
          <cell r="N62">
            <v>0</v>
          </cell>
        </row>
        <row r="63">
          <cell r="I63" t="str">
            <v>1530</v>
          </cell>
          <cell r="J63">
            <v>412</v>
          </cell>
          <cell r="K63">
            <v>412</v>
          </cell>
          <cell r="N63">
            <v>0</v>
          </cell>
        </row>
        <row r="64">
          <cell r="I64" t="str">
            <v>1545</v>
          </cell>
          <cell r="J64">
            <v>500</v>
          </cell>
          <cell r="K64">
            <v>500</v>
          </cell>
          <cell r="N64">
            <v>0</v>
          </cell>
        </row>
        <row r="65">
          <cell r="I65" t="str">
            <v>1600</v>
          </cell>
          <cell r="J65">
            <v>546.72</v>
          </cell>
          <cell r="K65">
            <v>546.72</v>
          </cell>
          <cell r="N65">
            <v>0</v>
          </cell>
        </row>
        <row r="66">
          <cell r="I66" t="str">
            <v>1615</v>
          </cell>
          <cell r="J66">
            <v>606.91999999999996</v>
          </cell>
          <cell r="K66">
            <v>606.91999999999996</v>
          </cell>
          <cell r="N66">
            <v>0</v>
          </cell>
        </row>
        <row r="67">
          <cell r="I67" t="str">
            <v>1630</v>
          </cell>
          <cell r="J67">
            <v>626.25</v>
          </cell>
          <cell r="K67">
            <v>626.25</v>
          </cell>
          <cell r="N67">
            <v>0</v>
          </cell>
        </row>
        <row r="68">
          <cell r="I68" t="str">
            <v>1645</v>
          </cell>
          <cell r="J68">
            <v>635</v>
          </cell>
          <cell r="K68">
            <v>635</v>
          </cell>
          <cell r="N68">
            <v>0</v>
          </cell>
        </row>
        <row r="69">
          <cell r="I69" t="str">
            <v>1700</v>
          </cell>
          <cell r="J69">
            <v>630.63</v>
          </cell>
          <cell r="K69">
            <v>630.63</v>
          </cell>
          <cell r="N69">
            <v>0</v>
          </cell>
        </row>
        <row r="70">
          <cell r="I70" t="str">
            <v>1715</v>
          </cell>
          <cell r="J70">
            <v>593</v>
          </cell>
          <cell r="K70">
            <v>593</v>
          </cell>
          <cell r="N70">
            <v>0</v>
          </cell>
        </row>
        <row r="71">
          <cell r="I71" t="str">
            <v>1730</v>
          </cell>
          <cell r="J71">
            <v>545.62</v>
          </cell>
          <cell r="K71">
            <v>545.62</v>
          </cell>
          <cell r="N71">
            <v>42.35</v>
          </cell>
        </row>
        <row r="72">
          <cell r="I72" t="str">
            <v>1745</v>
          </cell>
          <cell r="J72">
            <v>542.88</v>
          </cell>
          <cell r="K72">
            <v>542.88</v>
          </cell>
          <cell r="N72">
            <v>42.35</v>
          </cell>
        </row>
        <row r="73">
          <cell r="I73" t="str">
            <v>1800</v>
          </cell>
          <cell r="J73">
            <v>542.88</v>
          </cell>
          <cell r="K73">
            <v>542.88</v>
          </cell>
          <cell r="N73">
            <v>42.35</v>
          </cell>
        </row>
        <row r="74">
          <cell r="I74" t="str">
            <v>1815</v>
          </cell>
          <cell r="J74">
            <v>542.88</v>
          </cell>
          <cell r="K74">
            <v>542.88</v>
          </cell>
          <cell r="N74">
            <v>42.35</v>
          </cell>
        </row>
        <row r="75">
          <cell r="I75" t="str">
            <v>1830</v>
          </cell>
          <cell r="J75">
            <v>542.88</v>
          </cell>
          <cell r="K75">
            <v>542.88</v>
          </cell>
          <cell r="N75">
            <v>42.35</v>
          </cell>
        </row>
        <row r="76">
          <cell r="I76" t="str">
            <v>1845</v>
          </cell>
          <cell r="J76">
            <v>542.88</v>
          </cell>
          <cell r="K76">
            <v>542.88</v>
          </cell>
          <cell r="N76">
            <v>42.35</v>
          </cell>
        </row>
        <row r="77">
          <cell r="I77" t="str">
            <v>1900</v>
          </cell>
          <cell r="J77">
            <v>542.88</v>
          </cell>
          <cell r="K77">
            <v>542.88</v>
          </cell>
          <cell r="N77">
            <v>42.35</v>
          </cell>
        </row>
        <row r="78">
          <cell r="I78" t="str">
            <v>1915</v>
          </cell>
          <cell r="J78">
            <v>542.88</v>
          </cell>
          <cell r="K78">
            <v>542.88</v>
          </cell>
          <cell r="N78">
            <v>42.35</v>
          </cell>
        </row>
        <row r="79">
          <cell r="I79" t="str">
            <v>1930</v>
          </cell>
          <cell r="J79">
            <v>542.88</v>
          </cell>
          <cell r="K79">
            <v>542.88</v>
          </cell>
          <cell r="N79">
            <v>42.35</v>
          </cell>
        </row>
        <row r="80">
          <cell r="I80" t="str">
            <v>1945</v>
          </cell>
          <cell r="J80">
            <v>542.88</v>
          </cell>
          <cell r="K80">
            <v>542.88</v>
          </cell>
          <cell r="N80">
            <v>42.35</v>
          </cell>
        </row>
        <row r="81">
          <cell r="I81" t="str">
            <v>2000</v>
          </cell>
          <cell r="J81">
            <v>542.88</v>
          </cell>
          <cell r="K81">
            <v>542.88</v>
          </cell>
          <cell r="N81">
            <v>42.35</v>
          </cell>
        </row>
        <row r="82">
          <cell r="I82" t="str">
            <v>2015</v>
          </cell>
          <cell r="J82">
            <v>542.88</v>
          </cell>
          <cell r="K82">
            <v>542.88</v>
          </cell>
          <cell r="N82">
            <v>42.35</v>
          </cell>
        </row>
        <row r="83">
          <cell r="I83" t="str">
            <v>2030</v>
          </cell>
          <cell r="J83">
            <v>542.88</v>
          </cell>
          <cell r="K83">
            <v>542.88</v>
          </cell>
          <cell r="N83">
            <v>42.35</v>
          </cell>
        </row>
        <row r="84">
          <cell r="I84" t="str">
            <v>2045</v>
          </cell>
          <cell r="J84">
            <v>542.88</v>
          </cell>
          <cell r="K84">
            <v>542.88</v>
          </cell>
          <cell r="N84">
            <v>42.35</v>
          </cell>
        </row>
        <row r="85">
          <cell r="I85" t="str">
            <v>2100</v>
          </cell>
          <cell r="J85">
            <v>542.88</v>
          </cell>
          <cell r="K85">
            <v>542.88</v>
          </cell>
          <cell r="N85">
            <v>42.35</v>
          </cell>
        </row>
        <row r="86">
          <cell r="I86" t="str">
            <v>2115</v>
          </cell>
          <cell r="J86">
            <v>542.88</v>
          </cell>
          <cell r="K86">
            <v>542.88</v>
          </cell>
          <cell r="N86">
            <v>42.35</v>
          </cell>
        </row>
        <row r="87">
          <cell r="I87" t="str">
            <v>2130</v>
          </cell>
          <cell r="J87">
            <v>542.88</v>
          </cell>
          <cell r="K87">
            <v>542.88</v>
          </cell>
          <cell r="N87">
            <v>42.35</v>
          </cell>
        </row>
        <row r="88">
          <cell r="I88" t="str">
            <v>2145</v>
          </cell>
          <cell r="J88">
            <v>542.88</v>
          </cell>
          <cell r="K88">
            <v>542.88</v>
          </cell>
          <cell r="N88">
            <v>0</v>
          </cell>
        </row>
        <row r="89">
          <cell r="I89" t="str">
            <v>2200</v>
          </cell>
          <cell r="J89">
            <v>542.88</v>
          </cell>
          <cell r="K89">
            <v>542.88</v>
          </cell>
          <cell r="N89">
            <v>0</v>
          </cell>
        </row>
        <row r="90">
          <cell r="I90" t="str">
            <v>2215</v>
          </cell>
          <cell r="J90">
            <v>542.88</v>
          </cell>
          <cell r="K90">
            <v>542.88</v>
          </cell>
          <cell r="N90">
            <v>0</v>
          </cell>
        </row>
        <row r="91">
          <cell r="I91" t="str">
            <v>2230</v>
          </cell>
          <cell r="J91">
            <v>542.88</v>
          </cell>
          <cell r="K91">
            <v>542.88</v>
          </cell>
          <cell r="N91">
            <v>0</v>
          </cell>
        </row>
        <row r="92">
          <cell r="I92" t="str">
            <v>2245</v>
          </cell>
          <cell r="J92">
            <v>542.88</v>
          </cell>
          <cell r="K92">
            <v>542.88</v>
          </cell>
          <cell r="N92">
            <v>0</v>
          </cell>
        </row>
        <row r="93">
          <cell r="I93" t="str">
            <v>2300</v>
          </cell>
          <cell r="J93">
            <v>541</v>
          </cell>
          <cell r="K93">
            <v>541</v>
          </cell>
          <cell r="N93">
            <v>0</v>
          </cell>
        </row>
        <row r="94">
          <cell r="I94" t="str">
            <v>2315</v>
          </cell>
          <cell r="J94">
            <v>542.88</v>
          </cell>
          <cell r="K94">
            <v>542.88</v>
          </cell>
          <cell r="N94">
            <v>0</v>
          </cell>
        </row>
        <row r="95">
          <cell r="I95" t="str">
            <v>2330</v>
          </cell>
          <cell r="J95">
            <v>535.9</v>
          </cell>
          <cell r="K95">
            <v>535.9</v>
          </cell>
          <cell r="N95">
            <v>0</v>
          </cell>
        </row>
        <row r="96">
          <cell r="I96" t="str">
            <v>2345</v>
          </cell>
          <cell r="J96">
            <v>486</v>
          </cell>
          <cell r="K96">
            <v>486</v>
          </cell>
          <cell r="N96">
            <v>0</v>
          </cell>
        </row>
        <row r="97">
          <cell r="I97" t="str">
            <v>2400</v>
          </cell>
          <cell r="J97">
            <v>446</v>
          </cell>
          <cell r="K97">
            <v>446</v>
          </cell>
          <cell r="N97">
            <v>0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89.24</v>
          </cell>
          <cell r="K2">
            <v>89.24</v>
          </cell>
          <cell r="N2">
            <v>0</v>
          </cell>
        </row>
        <row r="3">
          <cell r="I3" t="str">
            <v>0030</v>
          </cell>
          <cell r="J3">
            <v>85.59</v>
          </cell>
          <cell r="K3">
            <v>85.59</v>
          </cell>
          <cell r="N3">
            <v>0</v>
          </cell>
        </row>
        <row r="4">
          <cell r="I4" t="str">
            <v>0045</v>
          </cell>
          <cell r="J4">
            <v>85.59</v>
          </cell>
          <cell r="K4">
            <v>85.59</v>
          </cell>
          <cell r="N4">
            <v>0</v>
          </cell>
        </row>
        <row r="5">
          <cell r="I5" t="str">
            <v>0100</v>
          </cell>
          <cell r="J5">
            <v>85.59</v>
          </cell>
          <cell r="K5">
            <v>85.59</v>
          </cell>
          <cell r="N5">
            <v>0</v>
          </cell>
        </row>
        <row r="6">
          <cell r="I6" t="str">
            <v>0115</v>
          </cell>
          <cell r="J6">
            <v>85.59</v>
          </cell>
          <cell r="K6">
            <v>85.59</v>
          </cell>
          <cell r="N6">
            <v>0</v>
          </cell>
        </row>
        <row r="7">
          <cell r="I7" t="str">
            <v>0130</v>
          </cell>
          <cell r="J7">
            <v>85.59</v>
          </cell>
          <cell r="K7">
            <v>85.59</v>
          </cell>
          <cell r="N7">
            <v>0</v>
          </cell>
        </row>
        <row r="8">
          <cell r="I8" t="str">
            <v>0145</v>
          </cell>
          <cell r="J8">
            <v>85.58</v>
          </cell>
          <cell r="K8">
            <v>85.58</v>
          </cell>
          <cell r="N8">
            <v>0</v>
          </cell>
        </row>
        <row r="9">
          <cell r="I9" t="str">
            <v>0200</v>
          </cell>
          <cell r="J9">
            <v>11.49</v>
          </cell>
          <cell r="K9">
            <v>11.49</v>
          </cell>
          <cell r="N9">
            <v>0</v>
          </cell>
        </row>
        <row r="10">
          <cell r="I10" t="str">
            <v>0215</v>
          </cell>
          <cell r="J10">
            <v>-88.69</v>
          </cell>
          <cell r="K10">
            <v>-88.69</v>
          </cell>
          <cell r="N10">
            <v>0</v>
          </cell>
        </row>
        <row r="11">
          <cell r="I11" t="str">
            <v>0230</v>
          </cell>
          <cell r="J11">
            <v>-81.67</v>
          </cell>
          <cell r="K11">
            <v>-81.67</v>
          </cell>
          <cell r="N11">
            <v>0</v>
          </cell>
        </row>
        <row r="12">
          <cell r="I12" t="str">
            <v>0245</v>
          </cell>
          <cell r="J12">
            <v>-81.67</v>
          </cell>
          <cell r="K12">
            <v>-81.67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85.36</v>
          </cell>
          <cell r="K14">
            <v>85.36</v>
          </cell>
          <cell r="N14">
            <v>0</v>
          </cell>
        </row>
        <row r="15">
          <cell r="I15" t="str">
            <v>0330</v>
          </cell>
          <cell r="J15">
            <v>85.59</v>
          </cell>
          <cell r="K15">
            <v>85.59</v>
          </cell>
          <cell r="N15">
            <v>0</v>
          </cell>
        </row>
        <row r="16">
          <cell r="I16" t="str">
            <v>0345</v>
          </cell>
          <cell r="J16">
            <v>85.59</v>
          </cell>
          <cell r="K16">
            <v>85.59</v>
          </cell>
          <cell r="N16">
            <v>-55.38</v>
          </cell>
        </row>
        <row r="17">
          <cell r="I17" t="str">
            <v>0400</v>
          </cell>
          <cell r="J17">
            <v>85.59</v>
          </cell>
          <cell r="K17">
            <v>85.59</v>
          </cell>
          <cell r="N17">
            <v>-55.38</v>
          </cell>
        </row>
        <row r="18">
          <cell r="I18" t="str">
            <v>0415</v>
          </cell>
          <cell r="J18">
            <v>85.59</v>
          </cell>
          <cell r="K18">
            <v>85.59</v>
          </cell>
          <cell r="N18">
            <v>-55.38</v>
          </cell>
        </row>
        <row r="19">
          <cell r="I19" t="str">
            <v>0430</v>
          </cell>
          <cell r="J19">
            <v>85.59</v>
          </cell>
          <cell r="K19">
            <v>85.59</v>
          </cell>
          <cell r="N19">
            <v>-55.38</v>
          </cell>
        </row>
        <row r="20">
          <cell r="I20" t="str">
            <v>0445</v>
          </cell>
          <cell r="J20">
            <v>85.59</v>
          </cell>
          <cell r="K20">
            <v>85.59</v>
          </cell>
          <cell r="N20">
            <v>-55.38</v>
          </cell>
        </row>
        <row r="21">
          <cell r="I21" t="str">
            <v>0500</v>
          </cell>
          <cell r="J21">
            <v>85.59</v>
          </cell>
          <cell r="K21">
            <v>85.59</v>
          </cell>
          <cell r="N21">
            <v>-55.38</v>
          </cell>
        </row>
        <row r="22">
          <cell r="I22" t="str">
            <v>0515</v>
          </cell>
          <cell r="J22">
            <v>85.59</v>
          </cell>
          <cell r="K22">
            <v>85.59</v>
          </cell>
          <cell r="N22">
            <v>-55.38</v>
          </cell>
        </row>
        <row r="23">
          <cell r="I23" t="str">
            <v>0530</v>
          </cell>
          <cell r="J23">
            <v>85.59</v>
          </cell>
          <cell r="K23">
            <v>85.59</v>
          </cell>
          <cell r="N23">
            <v>-55.38</v>
          </cell>
        </row>
        <row r="24">
          <cell r="I24" t="str">
            <v>0545</v>
          </cell>
          <cell r="J24">
            <v>85.59</v>
          </cell>
          <cell r="K24">
            <v>85.59</v>
          </cell>
          <cell r="N24">
            <v>-55.38</v>
          </cell>
        </row>
        <row r="25">
          <cell r="I25" t="str">
            <v>0600</v>
          </cell>
          <cell r="J25">
            <v>85.59</v>
          </cell>
          <cell r="K25">
            <v>85.59</v>
          </cell>
          <cell r="N25">
            <v>-55.38</v>
          </cell>
        </row>
        <row r="26">
          <cell r="I26" t="str">
            <v>0615</v>
          </cell>
          <cell r="J26">
            <v>85.59</v>
          </cell>
          <cell r="K26">
            <v>85.59</v>
          </cell>
          <cell r="N26">
            <v>-55.38</v>
          </cell>
        </row>
        <row r="27">
          <cell r="I27" t="str">
            <v>0630</v>
          </cell>
          <cell r="J27">
            <v>85.59</v>
          </cell>
          <cell r="K27">
            <v>85.59</v>
          </cell>
          <cell r="N27">
            <v>-55.38</v>
          </cell>
        </row>
        <row r="28">
          <cell r="I28" t="str">
            <v>0645</v>
          </cell>
          <cell r="J28">
            <v>85.59</v>
          </cell>
          <cell r="K28">
            <v>85.59</v>
          </cell>
          <cell r="N28">
            <v>-55.38</v>
          </cell>
        </row>
        <row r="29">
          <cell r="I29" t="str">
            <v>0700</v>
          </cell>
          <cell r="J29">
            <v>84.36</v>
          </cell>
          <cell r="K29">
            <v>84.36</v>
          </cell>
          <cell r="N29">
            <v>0</v>
          </cell>
        </row>
        <row r="30">
          <cell r="I30" t="str">
            <v>0715</v>
          </cell>
          <cell r="J30">
            <v>83.2</v>
          </cell>
          <cell r="K30">
            <v>83.2</v>
          </cell>
          <cell r="N30">
            <v>0</v>
          </cell>
        </row>
        <row r="31">
          <cell r="I31" t="str">
            <v>0730</v>
          </cell>
          <cell r="J31">
            <v>89.2</v>
          </cell>
          <cell r="K31">
            <v>89.2</v>
          </cell>
          <cell r="N31">
            <v>0</v>
          </cell>
        </row>
        <row r="32">
          <cell r="I32" t="str">
            <v>0745</v>
          </cell>
          <cell r="J32">
            <v>116.37</v>
          </cell>
          <cell r="K32">
            <v>116.37</v>
          </cell>
          <cell r="N32">
            <v>0</v>
          </cell>
        </row>
        <row r="33">
          <cell r="I33" t="str">
            <v>0800</v>
          </cell>
          <cell r="J33">
            <v>336.77</v>
          </cell>
          <cell r="K33">
            <v>336.77</v>
          </cell>
          <cell r="N33">
            <v>0</v>
          </cell>
        </row>
        <row r="34">
          <cell r="I34" t="str">
            <v>0815</v>
          </cell>
          <cell r="J34">
            <v>434.46</v>
          </cell>
          <cell r="K34">
            <v>434.46</v>
          </cell>
          <cell r="N34">
            <v>0</v>
          </cell>
        </row>
        <row r="35">
          <cell r="I35" t="str">
            <v>0830</v>
          </cell>
          <cell r="J35">
            <v>434.46</v>
          </cell>
          <cell r="K35">
            <v>434.46</v>
          </cell>
          <cell r="N35">
            <v>0</v>
          </cell>
        </row>
        <row r="36">
          <cell r="I36" t="str">
            <v>0845</v>
          </cell>
          <cell r="J36">
            <v>434.46</v>
          </cell>
          <cell r="K36">
            <v>434.46</v>
          </cell>
          <cell r="N36">
            <v>0</v>
          </cell>
        </row>
        <row r="37">
          <cell r="I37" t="str">
            <v>0900</v>
          </cell>
          <cell r="J37">
            <v>434.46</v>
          </cell>
          <cell r="K37">
            <v>434.46</v>
          </cell>
          <cell r="N37">
            <v>0</v>
          </cell>
        </row>
        <row r="38">
          <cell r="I38" t="str">
            <v>0915</v>
          </cell>
          <cell r="J38">
            <v>434.46</v>
          </cell>
          <cell r="K38">
            <v>434.46</v>
          </cell>
          <cell r="N38">
            <v>0</v>
          </cell>
        </row>
        <row r="39">
          <cell r="I39" t="str">
            <v>0930</v>
          </cell>
          <cell r="J39">
            <v>434.46</v>
          </cell>
          <cell r="K39">
            <v>434.46</v>
          </cell>
          <cell r="N39">
            <v>0</v>
          </cell>
        </row>
        <row r="40">
          <cell r="I40" t="str">
            <v>0945</v>
          </cell>
          <cell r="J40">
            <v>434.46</v>
          </cell>
          <cell r="K40">
            <v>434.46</v>
          </cell>
          <cell r="N40">
            <v>0</v>
          </cell>
        </row>
        <row r="41">
          <cell r="I41" t="str">
            <v>1000</v>
          </cell>
          <cell r="J41">
            <v>399.4</v>
          </cell>
          <cell r="K41">
            <v>399.4</v>
          </cell>
          <cell r="N41">
            <v>92.57</v>
          </cell>
        </row>
        <row r="42">
          <cell r="I42" t="str">
            <v>1015</v>
          </cell>
          <cell r="J42">
            <v>469.52</v>
          </cell>
          <cell r="K42">
            <v>469.52</v>
          </cell>
          <cell r="N42">
            <v>92.57</v>
          </cell>
        </row>
        <row r="43">
          <cell r="I43" t="str">
            <v>1030</v>
          </cell>
          <cell r="J43">
            <v>434.46</v>
          </cell>
          <cell r="K43">
            <v>434.46</v>
          </cell>
          <cell r="N43">
            <v>92.57</v>
          </cell>
        </row>
        <row r="44">
          <cell r="I44" t="str">
            <v>1045</v>
          </cell>
          <cell r="J44">
            <v>434.46</v>
          </cell>
          <cell r="K44">
            <v>434.46</v>
          </cell>
          <cell r="N44">
            <v>92.57</v>
          </cell>
        </row>
        <row r="45">
          <cell r="I45" t="str">
            <v>1100</v>
          </cell>
          <cell r="J45">
            <v>434.46</v>
          </cell>
          <cell r="K45">
            <v>434.46</v>
          </cell>
          <cell r="N45">
            <v>92.57</v>
          </cell>
        </row>
        <row r="46">
          <cell r="I46" t="str">
            <v>1115</v>
          </cell>
          <cell r="J46">
            <v>476.17</v>
          </cell>
          <cell r="K46">
            <v>476.17</v>
          </cell>
          <cell r="N46">
            <v>92.57</v>
          </cell>
        </row>
        <row r="47">
          <cell r="I47" t="str">
            <v>1130</v>
          </cell>
          <cell r="J47">
            <v>392.76</v>
          </cell>
          <cell r="K47">
            <v>392.76</v>
          </cell>
          <cell r="N47">
            <v>92.57</v>
          </cell>
        </row>
        <row r="48">
          <cell r="I48" t="str">
            <v>1145</v>
          </cell>
          <cell r="J48">
            <v>421.88</v>
          </cell>
          <cell r="K48">
            <v>421.88</v>
          </cell>
          <cell r="N48">
            <v>0</v>
          </cell>
        </row>
        <row r="49">
          <cell r="I49" t="str">
            <v>1200</v>
          </cell>
          <cell r="J49">
            <v>370</v>
          </cell>
          <cell r="K49">
            <v>370</v>
          </cell>
          <cell r="N49">
            <v>0</v>
          </cell>
        </row>
        <row r="50">
          <cell r="I50" t="str">
            <v>1215</v>
          </cell>
          <cell r="J50">
            <v>375</v>
          </cell>
          <cell r="K50">
            <v>375</v>
          </cell>
          <cell r="N50">
            <v>0</v>
          </cell>
        </row>
        <row r="51">
          <cell r="I51" t="str">
            <v>1230</v>
          </cell>
          <cell r="J51">
            <v>375</v>
          </cell>
          <cell r="K51">
            <v>375</v>
          </cell>
          <cell r="N51">
            <v>0</v>
          </cell>
        </row>
        <row r="52">
          <cell r="I52" t="str">
            <v>1245</v>
          </cell>
          <cell r="J52">
            <v>391.9</v>
          </cell>
          <cell r="K52">
            <v>391.9</v>
          </cell>
          <cell r="N52">
            <v>0</v>
          </cell>
        </row>
        <row r="53">
          <cell r="I53" t="str">
            <v>1300</v>
          </cell>
          <cell r="J53">
            <v>394.9</v>
          </cell>
          <cell r="K53">
            <v>394.9</v>
          </cell>
          <cell r="N53">
            <v>0</v>
          </cell>
        </row>
        <row r="54">
          <cell r="I54" t="str">
            <v>1315</v>
          </cell>
          <cell r="J54">
            <v>396</v>
          </cell>
          <cell r="K54">
            <v>396</v>
          </cell>
          <cell r="N54">
            <v>0</v>
          </cell>
        </row>
        <row r="55">
          <cell r="I55" t="str">
            <v>1330</v>
          </cell>
          <cell r="J55">
            <v>400</v>
          </cell>
          <cell r="K55">
            <v>400</v>
          </cell>
          <cell r="N55">
            <v>0</v>
          </cell>
        </row>
        <row r="56">
          <cell r="I56" t="str">
            <v>1345</v>
          </cell>
          <cell r="J56">
            <v>409</v>
          </cell>
          <cell r="K56">
            <v>409</v>
          </cell>
          <cell r="N56">
            <v>0</v>
          </cell>
        </row>
        <row r="57">
          <cell r="I57" t="str">
            <v>1400</v>
          </cell>
          <cell r="J57">
            <v>408.05</v>
          </cell>
          <cell r="K57">
            <v>408.05</v>
          </cell>
          <cell r="N57">
            <v>0</v>
          </cell>
        </row>
        <row r="58">
          <cell r="I58" t="str">
            <v>1415</v>
          </cell>
          <cell r="J58">
            <v>398.13</v>
          </cell>
          <cell r="K58">
            <v>398.13</v>
          </cell>
          <cell r="N58">
            <v>0</v>
          </cell>
        </row>
        <row r="59">
          <cell r="I59" t="str">
            <v>1430</v>
          </cell>
          <cell r="J59">
            <v>394.17</v>
          </cell>
          <cell r="K59">
            <v>394.17</v>
          </cell>
          <cell r="N59">
            <v>0</v>
          </cell>
        </row>
        <row r="60">
          <cell r="I60" t="str">
            <v>1445</v>
          </cell>
          <cell r="J60">
            <v>401.09</v>
          </cell>
          <cell r="K60">
            <v>401.09</v>
          </cell>
          <cell r="N60">
            <v>0</v>
          </cell>
        </row>
        <row r="61">
          <cell r="I61" t="str">
            <v>1500</v>
          </cell>
          <cell r="J61">
            <v>394</v>
          </cell>
          <cell r="K61">
            <v>394</v>
          </cell>
          <cell r="N61">
            <v>0</v>
          </cell>
        </row>
        <row r="62">
          <cell r="I62" t="str">
            <v>1515</v>
          </cell>
          <cell r="J62">
            <v>434.46</v>
          </cell>
          <cell r="K62">
            <v>434.46</v>
          </cell>
          <cell r="N62">
            <v>0</v>
          </cell>
        </row>
        <row r="63">
          <cell r="I63" t="str">
            <v>1530</v>
          </cell>
          <cell r="J63">
            <v>434.46</v>
          </cell>
          <cell r="K63">
            <v>434.46</v>
          </cell>
          <cell r="N63">
            <v>0</v>
          </cell>
        </row>
        <row r="64">
          <cell r="I64" t="str">
            <v>1545</v>
          </cell>
          <cell r="J64">
            <v>434.46</v>
          </cell>
          <cell r="K64">
            <v>434.46</v>
          </cell>
          <cell r="N64">
            <v>0</v>
          </cell>
        </row>
        <row r="65">
          <cell r="I65" t="str">
            <v>1600</v>
          </cell>
          <cell r="J65">
            <v>434.46</v>
          </cell>
          <cell r="K65">
            <v>434.46</v>
          </cell>
          <cell r="N65">
            <v>0</v>
          </cell>
        </row>
        <row r="66">
          <cell r="I66" t="str">
            <v>1615</v>
          </cell>
          <cell r="J66">
            <v>434.46</v>
          </cell>
          <cell r="K66">
            <v>434.46</v>
          </cell>
          <cell r="N66">
            <v>0</v>
          </cell>
        </row>
        <row r="67">
          <cell r="I67" t="str">
            <v>1630</v>
          </cell>
          <cell r="J67">
            <v>434.46</v>
          </cell>
          <cell r="K67">
            <v>434.46</v>
          </cell>
          <cell r="N67">
            <v>0</v>
          </cell>
        </row>
        <row r="68">
          <cell r="I68" t="str">
            <v>1645</v>
          </cell>
          <cell r="J68">
            <v>434.46</v>
          </cell>
          <cell r="K68">
            <v>434.46</v>
          </cell>
          <cell r="N68">
            <v>0</v>
          </cell>
        </row>
        <row r="69">
          <cell r="I69" t="str">
            <v>1700</v>
          </cell>
          <cell r="J69">
            <v>434.46</v>
          </cell>
          <cell r="K69">
            <v>434.46</v>
          </cell>
          <cell r="N69">
            <v>0</v>
          </cell>
        </row>
        <row r="70">
          <cell r="I70" t="str">
            <v>1715</v>
          </cell>
          <cell r="J70">
            <v>434.46</v>
          </cell>
          <cell r="K70">
            <v>434.46</v>
          </cell>
          <cell r="N70">
            <v>0</v>
          </cell>
        </row>
        <row r="71">
          <cell r="I71" t="str">
            <v>1730</v>
          </cell>
          <cell r="J71">
            <v>434.46</v>
          </cell>
          <cell r="K71">
            <v>434.46</v>
          </cell>
          <cell r="N71">
            <v>0</v>
          </cell>
        </row>
        <row r="72">
          <cell r="I72" t="str">
            <v>1745</v>
          </cell>
          <cell r="J72">
            <v>434.46</v>
          </cell>
          <cell r="K72">
            <v>434.46</v>
          </cell>
          <cell r="N72">
            <v>0</v>
          </cell>
        </row>
        <row r="73">
          <cell r="I73" t="str">
            <v>1800</v>
          </cell>
          <cell r="J73">
            <v>434.2</v>
          </cell>
          <cell r="K73">
            <v>434.2</v>
          </cell>
          <cell r="N73">
            <v>0</v>
          </cell>
        </row>
        <row r="74">
          <cell r="I74" t="str">
            <v>1815</v>
          </cell>
          <cell r="J74">
            <v>415.33</v>
          </cell>
          <cell r="K74">
            <v>415.33</v>
          </cell>
          <cell r="N74">
            <v>0</v>
          </cell>
        </row>
        <row r="75">
          <cell r="I75" t="str">
            <v>1830</v>
          </cell>
          <cell r="J75">
            <v>404</v>
          </cell>
          <cell r="K75">
            <v>404</v>
          </cell>
          <cell r="N75">
            <v>0</v>
          </cell>
        </row>
        <row r="76">
          <cell r="I76" t="str">
            <v>1845</v>
          </cell>
          <cell r="J76">
            <v>386.88</v>
          </cell>
          <cell r="K76">
            <v>386.88</v>
          </cell>
          <cell r="N76">
            <v>0</v>
          </cell>
        </row>
        <row r="77">
          <cell r="I77" t="str">
            <v>1900</v>
          </cell>
          <cell r="J77">
            <v>392.5</v>
          </cell>
          <cell r="K77">
            <v>392.5</v>
          </cell>
          <cell r="N77">
            <v>0</v>
          </cell>
        </row>
        <row r="78">
          <cell r="I78" t="str">
            <v>1915</v>
          </cell>
          <cell r="J78">
            <v>393.27</v>
          </cell>
          <cell r="K78">
            <v>393.27</v>
          </cell>
          <cell r="N78">
            <v>0</v>
          </cell>
        </row>
        <row r="79">
          <cell r="I79" t="str">
            <v>1930</v>
          </cell>
          <cell r="J79">
            <v>375</v>
          </cell>
          <cell r="K79">
            <v>375</v>
          </cell>
          <cell r="N79">
            <v>0</v>
          </cell>
        </row>
        <row r="80">
          <cell r="I80" t="str">
            <v>1945</v>
          </cell>
          <cell r="J80">
            <v>375</v>
          </cell>
          <cell r="K80">
            <v>375</v>
          </cell>
          <cell r="N80">
            <v>0</v>
          </cell>
        </row>
        <row r="81">
          <cell r="I81" t="str">
            <v>2000</v>
          </cell>
          <cell r="J81">
            <v>359.23</v>
          </cell>
          <cell r="K81">
            <v>359.23</v>
          </cell>
          <cell r="N81">
            <v>0</v>
          </cell>
        </row>
        <row r="82">
          <cell r="I82" t="str">
            <v>2015</v>
          </cell>
          <cell r="J82">
            <v>355</v>
          </cell>
          <cell r="K82">
            <v>355</v>
          </cell>
          <cell r="N82">
            <v>0</v>
          </cell>
        </row>
        <row r="83">
          <cell r="I83" t="str">
            <v>2030</v>
          </cell>
          <cell r="J83">
            <v>362</v>
          </cell>
          <cell r="K83">
            <v>362</v>
          </cell>
          <cell r="N83">
            <v>0</v>
          </cell>
        </row>
        <row r="84">
          <cell r="I84" t="str">
            <v>2045</v>
          </cell>
          <cell r="J84">
            <v>359.23</v>
          </cell>
          <cell r="K84">
            <v>359.23</v>
          </cell>
          <cell r="N84">
            <v>0</v>
          </cell>
        </row>
        <row r="85">
          <cell r="I85" t="str">
            <v>2100</v>
          </cell>
          <cell r="J85">
            <v>360</v>
          </cell>
          <cell r="K85">
            <v>360</v>
          </cell>
          <cell r="N85">
            <v>0</v>
          </cell>
        </row>
        <row r="86">
          <cell r="I86" t="str">
            <v>2115</v>
          </cell>
          <cell r="J86">
            <v>382</v>
          </cell>
          <cell r="K86">
            <v>382</v>
          </cell>
          <cell r="N86">
            <v>0</v>
          </cell>
        </row>
        <row r="87">
          <cell r="I87" t="str">
            <v>2130</v>
          </cell>
          <cell r="J87">
            <v>374</v>
          </cell>
          <cell r="K87">
            <v>374</v>
          </cell>
          <cell r="N87">
            <v>0</v>
          </cell>
        </row>
        <row r="88">
          <cell r="I88" t="str">
            <v>2145</v>
          </cell>
          <cell r="J88">
            <v>346</v>
          </cell>
          <cell r="K88">
            <v>346</v>
          </cell>
          <cell r="N88">
            <v>0</v>
          </cell>
        </row>
        <row r="89">
          <cell r="I89" t="str">
            <v>2200</v>
          </cell>
          <cell r="J89">
            <v>298.33</v>
          </cell>
          <cell r="K89">
            <v>298.33</v>
          </cell>
          <cell r="N89">
            <v>0</v>
          </cell>
        </row>
        <row r="90">
          <cell r="I90" t="str">
            <v>2215</v>
          </cell>
          <cell r="J90">
            <v>320</v>
          </cell>
          <cell r="K90">
            <v>320</v>
          </cell>
          <cell r="N90">
            <v>0</v>
          </cell>
        </row>
        <row r="91">
          <cell r="I91" t="str">
            <v>2230</v>
          </cell>
          <cell r="J91">
            <v>306</v>
          </cell>
          <cell r="K91">
            <v>306</v>
          </cell>
          <cell r="N91">
            <v>0</v>
          </cell>
        </row>
        <row r="92">
          <cell r="I92" t="str">
            <v>2245</v>
          </cell>
          <cell r="J92">
            <v>304</v>
          </cell>
          <cell r="K92">
            <v>304</v>
          </cell>
          <cell r="N92">
            <v>0</v>
          </cell>
        </row>
        <row r="93">
          <cell r="I93" t="str">
            <v>2300</v>
          </cell>
          <cell r="J93">
            <v>294.32</v>
          </cell>
          <cell r="K93">
            <v>294.32</v>
          </cell>
          <cell r="N93">
            <v>0</v>
          </cell>
        </row>
        <row r="94">
          <cell r="I94" t="str">
            <v>2315</v>
          </cell>
          <cell r="J94">
            <v>361.92</v>
          </cell>
          <cell r="K94">
            <v>361.92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298.33</v>
          </cell>
          <cell r="K96">
            <v>298.33</v>
          </cell>
          <cell r="N96">
            <v>0</v>
          </cell>
        </row>
        <row r="97">
          <cell r="I97" t="str">
            <v>2400</v>
          </cell>
          <cell r="J97">
            <v>280</v>
          </cell>
          <cell r="K97">
            <v>280</v>
          </cell>
          <cell r="N97">
            <v>0</v>
          </cell>
        </row>
      </sheetData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-0.02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-81.58</v>
          </cell>
          <cell r="K5">
            <v>-81.58</v>
          </cell>
          <cell r="N5">
            <v>0</v>
          </cell>
        </row>
        <row r="6">
          <cell r="I6" t="str">
            <v>0115</v>
          </cell>
          <cell r="J6">
            <v>-81.58</v>
          </cell>
          <cell r="K6">
            <v>-81.58</v>
          </cell>
          <cell r="N6">
            <v>0</v>
          </cell>
        </row>
        <row r="7">
          <cell r="I7" t="str">
            <v>0130</v>
          </cell>
          <cell r="J7">
            <v>-81.58</v>
          </cell>
          <cell r="K7">
            <v>-81.58</v>
          </cell>
          <cell r="N7">
            <v>0</v>
          </cell>
        </row>
        <row r="8">
          <cell r="I8" t="str">
            <v>0145</v>
          </cell>
          <cell r="J8">
            <v>-81.58</v>
          </cell>
          <cell r="K8">
            <v>-81.58</v>
          </cell>
          <cell r="N8">
            <v>0</v>
          </cell>
        </row>
        <row r="9">
          <cell r="I9" t="str">
            <v>0200</v>
          </cell>
          <cell r="J9">
            <v>-81.58</v>
          </cell>
          <cell r="K9">
            <v>-81.58</v>
          </cell>
          <cell r="N9">
            <v>0</v>
          </cell>
        </row>
        <row r="10">
          <cell r="I10" t="str">
            <v>0215</v>
          </cell>
          <cell r="J10">
            <v>-81.58</v>
          </cell>
          <cell r="K10">
            <v>-81.58</v>
          </cell>
          <cell r="N10">
            <v>0</v>
          </cell>
        </row>
        <row r="11">
          <cell r="I11" t="str">
            <v>0230</v>
          </cell>
          <cell r="J11">
            <v>-81.58</v>
          </cell>
          <cell r="K11">
            <v>-81.58</v>
          </cell>
          <cell r="N11">
            <v>0</v>
          </cell>
        </row>
        <row r="12">
          <cell r="I12" t="str">
            <v>0245</v>
          </cell>
          <cell r="J12">
            <v>-81.58</v>
          </cell>
          <cell r="K12">
            <v>-81.58</v>
          </cell>
          <cell r="N12">
            <v>0</v>
          </cell>
        </row>
        <row r="13">
          <cell r="I13" t="str">
            <v>0300</v>
          </cell>
          <cell r="J13">
            <v>-81.58</v>
          </cell>
          <cell r="K13">
            <v>-81.58</v>
          </cell>
          <cell r="N13">
            <v>0</v>
          </cell>
        </row>
        <row r="14">
          <cell r="I14" t="str">
            <v>0315</v>
          </cell>
          <cell r="J14">
            <v>-81.58</v>
          </cell>
          <cell r="K14">
            <v>-81.58</v>
          </cell>
          <cell r="N14">
            <v>0</v>
          </cell>
        </row>
        <row r="15">
          <cell r="I15" t="str">
            <v>0330</v>
          </cell>
          <cell r="J15">
            <v>-81.58</v>
          </cell>
          <cell r="K15">
            <v>-81.58</v>
          </cell>
          <cell r="N15">
            <v>0</v>
          </cell>
        </row>
        <row r="16">
          <cell r="I16" t="str">
            <v>0345</v>
          </cell>
          <cell r="J16">
            <v>-81.58</v>
          </cell>
          <cell r="K16">
            <v>-81.58</v>
          </cell>
          <cell r="N16">
            <v>0</v>
          </cell>
        </row>
        <row r="17">
          <cell r="I17" t="str">
            <v>0400</v>
          </cell>
          <cell r="J17">
            <v>-81.58</v>
          </cell>
          <cell r="K17">
            <v>-81.58</v>
          </cell>
          <cell r="N17">
            <v>0</v>
          </cell>
        </row>
        <row r="18">
          <cell r="I18" t="str">
            <v>0415</v>
          </cell>
          <cell r="J18">
            <v>-81.58</v>
          </cell>
          <cell r="K18">
            <v>-81.58</v>
          </cell>
          <cell r="N18">
            <v>0</v>
          </cell>
        </row>
        <row r="19">
          <cell r="I19" t="str">
            <v>0430</v>
          </cell>
          <cell r="J19">
            <v>-81.58</v>
          </cell>
          <cell r="K19">
            <v>-81.58</v>
          </cell>
          <cell r="N19">
            <v>0</v>
          </cell>
        </row>
        <row r="20">
          <cell r="I20" t="str">
            <v>0445</v>
          </cell>
          <cell r="J20">
            <v>-81.58</v>
          </cell>
          <cell r="K20">
            <v>-81.58</v>
          </cell>
          <cell r="N20">
            <v>0</v>
          </cell>
        </row>
        <row r="21">
          <cell r="I21" t="str">
            <v>0500</v>
          </cell>
          <cell r="J21">
            <v>-81.58</v>
          </cell>
          <cell r="K21">
            <v>-81.58</v>
          </cell>
          <cell r="N21">
            <v>-50</v>
          </cell>
        </row>
        <row r="22">
          <cell r="I22" t="str">
            <v>0515</v>
          </cell>
          <cell r="J22">
            <v>-81.58</v>
          </cell>
          <cell r="K22">
            <v>-81.58</v>
          </cell>
          <cell r="N22">
            <v>-50</v>
          </cell>
        </row>
        <row r="23">
          <cell r="I23" t="str">
            <v>0530</v>
          </cell>
          <cell r="J23">
            <v>-81.58</v>
          </cell>
          <cell r="K23">
            <v>-81.58</v>
          </cell>
          <cell r="N23">
            <v>-50</v>
          </cell>
        </row>
        <row r="24">
          <cell r="I24" t="str">
            <v>0545</v>
          </cell>
          <cell r="J24">
            <v>-81.58</v>
          </cell>
          <cell r="K24">
            <v>-81.58</v>
          </cell>
          <cell r="N24">
            <v>-95</v>
          </cell>
        </row>
        <row r="25">
          <cell r="I25" t="str">
            <v>0600</v>
          </cell>
          <cell r="J25">
            <v>-81.58</v>
          </cell>
          <cell r="K25">
            <v>-81.58</v>
          </cell>
          <cell r="N25">
            <v>-95</v>
          </cell>
        </row>
        <row r="26">
          <cell r="I26" t="str">
            <v>0615</v>
          </cell>
          <cell r="J26">
            <v>-81.58</v>
          </cell>
          <cell r="K26">
            <v>-81.58</v>
          </cell>
          <cell r="N26">
            <v>-95</v>
          </cell>
        </row>
        <row r="27">
          <cell r="I27" t="str">
            <v>0630</v>
          </cell>
          <cell r="J27">
            <v>-81.58</v>
          </cell>
          <cell r="K27">
            <v>-81.58</v>
          </cell>
          <cell r="N27">
            <v>-95</v>
          </cell>
        </row>
        <row r="28">
          <cell r="I28" t="str">
            <v>0645</v>
          </cell>
          <cell r="J28">
            <v>-81.58</v>
          </cell>
          <cell r="K28">
            <v>-81.58</v>
          </cell>
          <cell r="N28">
            <v>-95</v>
          </cell>
        </row>
        <row r="29">
          <cell r="I29" t="str">
            <v>0700</v>
          </cell>
          <cell r="J29">
            <v>-81.58</v>
          </cell>
          <cell r="K29">
            <v>-81.58</v>
          </cell>
          <cell r="N29">
            <v>-95</v>
          </cell>
        </row>
        <row r="30">
          <cell r="I30" t="str">
            <v>0715</v>
          </cell>
          <cell r="J30">
            <v>-81.58</v>
          </cell>
          <cell r="K30">
            <v>-81.58</v>
          </cell>
          <cell r="N30">
            <v>0</v>
          </cell>
        </row>
        <row r="31">
          <cell r="I31" t="str">
            <v>0730</v>
          </cell>
          <cell r="J31">
            <v>-81.58</v>
          </cell>
          <cell r="K31">
            <v>-81.58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0</v>
          </cell>
        </row>
        <row r="33">
          <cell r="I33" t="str">
            <v>0800</v>
          </cell>
          <cell r="J33">
            <v>382</v>
          </cell>
          <cell r="K33">
            <v>382</v>
          </cell>
          <cell r="N33">
            <v>0</v>
          </cell>
        </row>
        <row r="34">
          <cell r="I34" t="str">
            <v>0815</v>
          </cell>
          <cell r="J34">
            <v>458.6</v>
          </cell>
          <cell r="K34">
            <v>458.6</v>
          </cell>
          <cell r="N34">
            <v>0</v>
          </cell>
        </row>
        <row r="35">
          <cell r="I35" t="str">
            <v>0830</v>
          </cell>
          <cell r="J35">
            <v>548.02</v>
          </cell>
          <cell r="K35">
            <v>548.02</v>
          </cell>
          <cell r="N35">
            <v>0</v>
          </cell>
        </row>
        <row r="36">
          <cell r="I36" t="str">
            <v>0845</v>
          </cell>
          <cell r="J36">
            <v>632.86</v>
          </cell>
          <cell r="K36">
            <v>632.86</v>
          </cell>
          <cell r="N36">
            <v>0</v>
          </cell>
        </row>
        <row r="37">
          <cell r="I37" t="str">
            <v>0900</v>
          </cell>
          <cell r="J37">
            <v>541.71</v>
          </cell>
          <cell r="K37">
            <v>541.71</v>
          </cell>
          <cell r="N37">
            <v>0</v>
          </cell>
        </row>
        <row r="38">
          <cell r="I38" t="str">
            <v>0915</v>
          </cell>
          <cell r="J38">
            <v>724</v>
          </cell>
          <cell r="K38">
            <v>724</v>
          </cell>
          <cell r="N38">
            <v>69.13</v>
          </cell>
        </row>
        <row r="39">
          <cell r="I39" t="str">
            <v>0930</v>
          </cell>
          <cell r="J39">
            <v>632.86</v>
          </cell>
          <cell r="K39">
            <v>632.86</v>
          </cell>
          <cell r="N39">
            <v>69.13</v>
          </cell>
        </row>
        <row r="40">
          <cell r="I40" t="str">
            <v>0945</v>
          </cell>
          <cell r="J40">
            <v>632.86</v>
          </cell>
          <cell r="K40">
            <v>632.86</v>
          </cell>
          <cell r="N40">
            <v>69.13</v>
          </cell>
        </row>
        <row r="41">
          <cell r="I41" t="str">
            <v>1000</v>
          </cell>
          <cell r="J41">
            <v>620.79999999999995</v>
          </cell>
          <cell r="K41">
            <v>620.79999999999995</v>
          </cell>
          <cell r="N41">
            <v>69.13</v>
          </cell>
        </row>
        <row r="42">
          <cell r="I42" t="str">
            <v>1015</v>
          </cell>
          <cell r="J42">
            <v>644.91</v>
          </cell>
          <cell r="K42">
            <v>644.91</v>
          </cell>
          <cell r="N42">
            <v>69.13</v>
          </cell>
        </row>
        <row r="43">
          <cell r="I43" t="str">
            <v>1030</v>
          </cell>
          <cell r="J43">
            <v>632.86</v>
          </cell>
          <cell r="K43">
            <v>632.86</v>
          </cell>
          <cell r="N43">
            <v>69.13</v>
          </cell>
        </row>
        <row r="44">
          <cell r="I44" t="str">
            <v>1045</v>
          </cell>
          <cell r="J44">
            <v>632.86</v>
          </cell>
          <cell r="K44">
            <v>632.86</v>
          </cell>
          <cell r="N44">
            <v>69.13</v>
          </cell>
        </row>
        <row r="45">
          <cell r="I45" t="str">
            <v>1100</v>
          </cell>
          <cell r="J45">
            <v>632.86</v>
          </cell>
          <cell r="K45">
            <v>632.86</v>
          </cell>
          <cell r="N45">
            <v>69.13</v>
          </cell>
        </row>
        <row r="46">
          <cell r="I46" t="str">
            <v>1115</v>
          </cell>
          <cell r="J46">
            <v>679.2</v>
          </cell>
          <cell r="K46">
            <v>679.2</v>
          </cell>
          <cell r="N46">
            <v>95</v>
          </cell>
        </row>
        <row r="47">
          <cell r="I47" t="str">
            <v>1130</v>
          </cell>
          <cell r="J47">
            <v>646.74</v>
          </cell>
          <cell r="K47">
            <v>646.74</v>
          </cell>
          <cell r="N47">
            <v>0</v>
          </cell>
        </row>
        <row r="48">
          <cell r="I48" t="str">
            <v>1145</v>
          </cell>
          <cell r="J48">
            <v>626.4</v>
          </cell>
          <cell r="K48">
            <v>626.4</v>
          </cell>
          <cell r="N48">
            <v>0</v>
          </cell>
        </row>
        <row r="49">
          <cell r="I49" t="str">
            <v>1200</v>
          </cell>
          <cell r="J49">
            <v>592.79999999999995</v>
          </cell>
          <cell r="K49">
            <v>592.79999999999995</v>
          </cell>
          <cell r="N49">
            <v>0</v>
          </cell>
        </row>
        <row r="50">
          <cell r="I50" t="str">
            <v>1215</v>
          </cell>
          <cell r="J50">
            <v>619.14</v>
          </cell>
          <cell r="K50">
            <v>619.14</v>
          </cell>
          <cell r="N50">
            <v>0</v>
          </cell>
        </row>
        <row r="51">
          <cell r="I51" t="str">
            <v>1230</v>
          </cell>
          <cell r="J51">
            <v>632.86</v>
          </cell>
          <cell r="K51">
            <v>632.86</v>
          </cell>
          <cell r="N51">
            <v>0</v>
          </cell>
        </row>
        <row r="52">
          <cell r="I52" t="str">
            <v>1245</v>
          </cell>
          <cell r="J52">
            <v>632.86</v>
          </cell>
          <cell r="K52">
            <v>632.86</v>
          </cell>
          <cell r="N52">
            <v>0</v>
          </cell>
        </row>
        <row r="53">
          <cell r="I53" t="str">
            <v>1300</v>
          </cell>
          <cell r="J53">
            <v>632</v>
          </cell>
          <cell r="K53">
            <v>632</v>
          </cell>
          <cell r="N53">
            <v>0</v>
          </cell>
        </row>
        <row r="54">
          <cell r="I54" t="str">
            <v>1315</v>
          </cell>
          <cell r="J54">
            <v>633.71</v>
          </cell>
          <cell r="K54">
            <v>633.71</v>
          </cell>
          <cell r="N54">
            <v>0</v>
          </cell>
        </row>
        <row r="55">
          <cell r="I55" t="str">
            <v>1330</v>
          </cell>
          <cell r="J55">
            <v>632.86</v>
          </cell>
          <cell r="K55">
            <v>632.86</v>
          </cell>
          <cell r="N55">
            <v>0</v>
          </cell>
        </row>
        <row r="56">
          <cell r="I56" t="str">
            <v>1345</v>
          </cell>
          <cell r="J56">
            <v>632.86</v>
          </cell>
          <cell r="K56">
            <v>632.86</v>
          </cell>
          <cell r="N56">
            <v>0</v>
          </cell>
        </row>
        <row r="57">
          <cell r="I57" t="str">
            <v>1400</v>
          </cell>
          <cell r="J57">
            <v>632.86</v>
          </cell>
          <cell r="K57">
            <v>632.86</v>
          </cell>
          <cell r="N57">
            <v>0</v>
          </cell>
        </row>
        <row r="58">
          <cell r="I58" t="str">
            <v>1415</v>
          </cell>
          <cell r="J58">
            <v>632.86</v>
          </cell>
          <cell r="K58">
            <v>632.86</v>
          </cell>
          <cell r="N58">
            <v>0</v>
          </cell>
        </row>
        <row r="59">
          <cell r="I59" t="str">
            <v>1430</v>
          </cell>
          <cell r="J59">
            <v>632.86</v>
          </cell>
          <cell r="K59">
            <v>632.86</v>
          </cell>
          <cell r="N59">
            <v>0</v>
          </cell>
        </row>
        <row r="60">
          <cell r="I60" t="str">
            <v>1445</v>
          </cell>
          <cell r="J60">
            <v>629.16999999999996</v>
          </cell>
          <cell r="K60">
            <v>629.16999999999996</v>
          </cell>
          <cell r="N60">
            <v>0</v>
          </cell>
        </row>
        <row r="61">
          <cell r="I61" t="str">
            <v>1500</v>
          </cell>
          <cell r="J61">
            <v>543.6</v>
          </cell>
          <cell r="K61">
            <v>543.6</v>
          </cell>
          <cell r="N61">
            <v>0</v>
          </cell>
        </row>
        <row r="62">
          <cell r="I62" t="str">
            <v>1515</v>
          </cell>
          <cell r="J62">
            <v>484.72</v>
          </cell>
          <cell r="K62">
            <v>484.72</v>
          </cell>
          <cell r="N62">
            <v>0</v>
          </cell>
        </row>
        <row r="63">
          <cell r="I63" t="str">
            <v>1530</v>
          </cell>
          <cell r="J63">
            <v>491.28</v>
          </cell>
          <cell r="K63">
            <v>491.28</v>
          </cell>
          <cell r="N63">
            <v>0</v>
          </cell>
        </row>
        <row r="64">
          <cell r="I64" t="str">
            <v>1545</v>
          </cell>
          <cell r="J64">
            <v>496.52</v>
          </cell>
          <cell r="K64">
            <v>496.52</v>
          </cell>
          <cell r="N64">
            <v>0</v>
          </cell>
        </row>
        <row r="65">
          <cell r="I65" t="str">
            <v>1600</v>
          </cell>
          <cell r="J65">
            <v>484.72</v>
          </cell>
          <cell r="K65">
            <v>484.72</v>
          </cell>
          <cell r="N65">
            <v>0</v>
          </cell>
        </row>
        <row r="66">
          <cell r="I66" t="str">
            <v>1615</v>
          </cell>
          <cell r="J66">
            <v>490</v>
          </cell>
          <cell r="K66">
            <v>490</v>
          </cell>
          <cell r="N66">
            <v>0</v>
          </cell>
        </row>
        <row r="67">
          <cell r="I67" t="str">
            <v>1630</v>
          </cell>
          <cell r="J67">
            <v>484.72</v>
          </cell>
          <cell r="K67">
            <v>484.72</v>
          </cell>
          <cell r="N67">
            <v>0</v>
          </cell>
        </row>
        <row r="68">
          <cell r="I68" t="str">
            <v>1645</v>
          </cell>
          <cell r="J68">
            <v>482.28</v>
          </cell>
          <cell r="K68">
            <v>482.28</v>
          </cell>
          <cell r="N68">
            <v>0</v>
          </cell>
        </row>
        <row r="69">
          <cell r="I69" t="str">
            <v>1700</v>
          </cell>
          <cell r="J69">
            <v>478</v>
          </cell>
          <cell r="K69">
            <v>478</v>
          </cell>
          <cell r="N69">
            <v>0</v>
          </cell>
        </row>
        <row r="70">
          <cell r="I70" t="str">
            <v>1715</v>
          </cell>
          <cell r="J70">
            <v>468.14</v>
          </cell>
          <cell r="K70">
            <v>468.14</v>
          </cell>
          <cell r="N70">
            <v>0</v>
          </cell>
        </row>
        <row r="71">
          <cell r="I71" t="str">
            <v>1730</v>
          </cell>
          <cell r="J71">
            <v>474</v>
          </cell>
          <cell r="K71">
            <v>474</v>
          </cell>
          <cell r="N71">
            <v>0</v>
          </cell>
        </row>
        <row r="72">
          <cell r="I72" t="str">
            <v>1745</v>
          </cell>
          <cell r="J72">
            <v>478</v>
          </cell>
          <cell r="K72">
            <v>478</v>
          </cell>
          <cell r="N72">
            <v>0</v>
          </cell>
        </row>
        <row r="73">
          <cell r="I73" t="str">
            <v>1800</v>
          </cell>
          <cell r="J73">
            <v>465.2</v>
          </cell>
          <cell r="K73">
            <v>465.2</v>
          </cell>
          <cell r="N73">
            <v>0</v>
          </cell>
        </row>
        <row r="74">
          <cell r="I74" t="str">
            <v>1815</v>
          </cell>
          <cell r="J74">
            <v>450</v>
          </cell>
          <cell r="K74">
            <v>450</v>
          </cell>
          <cell r="N74">
            <v>0</v>
          </cell>
        </row>
        <row r="75">
          <cell r="I75" t="str">
            <v>1830</v>
          </cell>
          <cell r="J75">
            <v>455.2</v>
          </cell>
          <cell r="K75">
            <v>455.2</v>
          </cell>
          <cell r="N75">
            <v>0</v>
          </cell>
        </row>
        <row r="76">
          <cell r="I76" t="str">
            <v>1845</v>
          </cell>
          <cell r="J76">
            <v>457.88</v>
          </cell>
          <cell r="K76">
            <v>457.88</v>
          </cell>
          <cell r="N76">
            <v>0</v>
          </cell>
        </row>
        <row r="77">
          <cell r="I77" t="str">
            <v>1900</v>
          </cell>
          <cell r="J77">
            <v>463.21</v>
          </cell>
          <cell r="K77">
            <v>463.21</v>
          </cell>
          <cell r="N77">
            <v>0</v>
          </cell>
        </row>
        <row r="78">
          <cell r="I78" t="str">
            <v>1915</v>
          </cell>
          <cell r="J78">
            <v>462.76</v>
          </cell>
          <cell r="K78">
            <v>462.76</v>
          </cell>
          <cell r="N78">
            <v>0</v>
          </cell>
        </row>
        <row r="79">
          <cell r="I79" t="str">
            <v>1930</v>
          </cell>
          <cell r="J79">
            <v>451.73</v>
          </cell>
          <cell r="K79">
            <v>451.73</v>
          </cell>
          <cell r="N79">
            <v>0</v>
          </cell>
        </row>
        <row r="80">
          <cell r="I80" t="str">
            <v>1945</v>
          </cell>
          <cell r="J80">
            <v>451.06</v>
          </cell>
          <cell r="K80">
            <v>451.06</v>
          </cell>
          <cell r="N80">
            <v>0</v>
          </cell>
        </row>
        <row r="81">
          <cell r="I81" t="str">
            <v>2000</v>
          </cell>
          <cell r="J81">
            <v>441.21</v>
          </cell>
          <cell r="K81">
            <v>441.21</v>
          </cell>
          <cell r="N81">
            <v>0</v>
          </cell>
        </row>
        <row r="82">
          <cell r="I82" t="str">
            <v>2015</v>
          </cell>
          <cell r="J82">
            <v>441</v>
          </cell>
          <cell r="K82">
            <v>441</v>
          </cell>
          <cell r="N82">
            <v>0</v>
          </cell>
        </row>
        <row r="83">
          <cell r="I83" t="str">
            <v>2030</v>
          </cell>
          <cell r="J83">
            <v>440</v>
          </cell>
          <cell r="K83">
            <v>440</v>
          </cell>
          <cell r="N83">
            <v>0</v>
          </cell>
        </row>
        <row r="84">
          <cell r="I84" t="str">
            <v>2045</v>
          </cell>
          <cell r="J84">
            <v>439.24</v>
          </cell>
          <cell r="K84">
            <v>439.24</v>
          </cell>
          <cell r="N84">
            <v>0</v>
          </cell>
        </row>
        <row r="85">
          <cell r="I85" t="str">
            <v>2100</v>
          </cell>
          <cell r="J85">
            <v>439.6</v>
          </cell>
          <cell r="K85">
            <v>439.6</v>
          </cell>
          <cell r="N85">
            <v>0</v>
          </cell>
        </row>
        <row r="86">
          <cell r="I86" t="str">
            <v>2115</v>
          </cell>
          <cell r="J86">
            <v>457.29</v>
          </cell>
          <cell r="K86">
            <v>457.29</v>
          </cell>
          <cell r="N86">
            <v>0</v>
          </cell>
        </row>
        <row r="87">
          <cell r="I87" t="str">
            <v>2130</v>
          </cell>
          <cell r="J87">
            <v>447.44</v>
          </cell>
          <cell r="K87">
            <v>447.44</v>
          </cell>
          <cell r="N87">
            <v>0</v>
          </cell>
        </row>
        <row r="88">
          <cell r="I88" t="str">
            <v>2145</v>
          </cell>
          <cell r="J88">
            <v>439</v>
          </cell>
          <cell r="K88">
            <v>439</v>
          </cell>
          <cell r="N88">
            <v>0</v>
          </cell>
        </row>
        <row r="89">
          <cell r="I89" t="str">
            <v>2200</v>
          </cell>
          <cell r="J89">
            <v>425.24</v>
          </cell>
          <cell r="K89">
            <v>425.24</v>
          </cell>
          <cell r="N89">
            <v>0</v>
          </cell>
        </row>
        <row r="90">
          <cell r="I90" t="str">
            <v>2215</v>
          </cell>
          <cell r="J90">
            <v>419.55</v>
          </cell>
          <cell r="K90">
            <v>419.55</v>
          </cell>
          <cell r="N90">
            <v>0</v>
          </cell>
        </row>
        <row r="91">
          <cell r="I91" t="str">
            <v>2230</v>
          </cell>
          <cell r="J91">
            <v>418.8</v>
          </cell>
          <cell r="K91">
            <v>418.8</v>
          </cell>
          <cell r="N91">
            <v>0</v>
          </cell>
        </row>
        <row r="92">
          <cell r="I92" t="str">
            <v>2245</v>
          </cell>
          <cell r="J92">
            <v>413.93</v>
          </cell>
          <cell r="K92">
            <v>413.93</v>
          </cell>
          <cell r="N92">
            <v>0</v>
          </cell>
        </row>
        <row r="93">
          <cell r="I93" t="str">
            <v>2300</v>
          </cell>
          <cell r="J93">
            <v>404.38</v>
          </cell>
          <cell r="K93">
            <v>404.38</v>
          </cell>
          <cell r="N93">
            <v>0</v>
          </cell>
        </row>
        <row r="94">
          <cell r="I94" t="str">
            <v>2315</v>
          </cell>
          <cell r="J94">
            <v>419.44</v>
          </cell>
          <cell r="K94">
            <v>419.44</v>
          </cell>
          <cell r="N94">
            <v>0</v>
          </cell>
        </row>
        <row r="95">
          <cell r="I95" t="str">
            <v>2330</v>
          </cell>
          <cell r="J95">
            <v>406</v>
          </cell>
          <cell r="K95">
            <v>406</v>
          </cell>
          <cell r="N95">
            <v>0</v>
          </cell>
        </row>
        <row r="96">
          <cell r="I96" t="str">
            <v>2345</v>
          </cell>
          <cell r="J96">
            <v>398</v>
          </cell>
          <cell r="K96">
            <v>398</v>
          </cell>
          <cell r="N96">
            <v>0</v>
          </cell>
        </row>
        <row r="97">
          <cell r="I97" t="str">
            <v>2400</v>
          </cell>
          <cell r="J97">
            <v>380</v>
          </cell>
          <cell r="K97">
            <v>380</v>
          </cell>
          <cell r="N97">
            <v>0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399</v>
          </cell>
          <cell r="K2">
            <v>399</v>
          </cell>
          <cell r="N2">
            <v>-0.02</v>
          </cell>
        </row>
        <row r="3">
          <cell r="I3" t="str">
            <v>0030</v>
          </cell>
          <cell r="J3">
            <v>395.59</v>
          </cell>
          <cell r="K3">
            <v>395.59</v>
          </cell>
          <cell r="N3">
            <v>0</v>
          </cell>
        </row>
        <row r="4">
          <cell r="I4" t="str">
            <v>0045</v>
          </cell>
          <cell r="J4">
            <v>394</v>
          </cell>
          <cell r="K4">
            <v>394</v>
          </cell>
          <cell r="N4">
            <v>0</v>
          </cell>
        </row>
        <row r="5">
          <cell r="I5" t="str">
            <v>0100</v>
          </cell>
          <cell r="J5">
            <v>393</v>
          </cell>
          <cell r="K5">
            <v>393</v>
          </cell>
          <cell r="N5">
            <v>0</v>
          </cell>
        </row>
        <row r="6">
          <cell r="I6" t="str">
            <v>0115</v>
          </cell>
          <cell r="J6">
            <v>390</v>
          </cell>
          <cell r="K6">
            <v>390</v>
          </cell>
          <cell r="N6">
            <v>0</v>
          </cell>
        </row>
        <row r="7">
          <cell r="I7" t="str">
            <v>0130</v>
          </cell>
          <cell r="J7">
            <v>386</v>
          </cell>
          <cell r="K7">
            <v>386</v>
          </cell>
          <cell r="N7">
            <v>0</v>
          </cell>
        </row>
        <row r="8">
          <cell r="I8" t="str">
            <v>0145</v>
          </cell>
          <cell r="J8">
            <v>383.75</v>
          </cell>
          <cell r="K8">
            <v>383.75</v>
          </cell>
          <cell r="N8">
            <v>0</v>
          </cell>
        </row>
        <row r="9">
          <cell r="I9" t="str">
            <v>0200</v>
          </cell>
          <cell r="J9">
            <v>383.75</v>
          </cell>
          <cell r="K9">
            <v>383.75</v>
          </cell>
          <cell r="N9">
            <v>0</v>
          </cell>
        </row>
        <row r="10">
          <cell r="I10" t="str">
            <v>0215</v>
          </cell>
          <cell r="J10">
            <v>403</v>
          </cell>
          <cell r="K10">
            <v>403</v>
          </cell>
          <cell r="N10">
            <v>0</v>
          </cell>
        </row>
        <row r="11">
          <cell r="I11" t="str">
            <v>0230</v>
          </cell>
          <cell r="J11">
            <v>404</v>
          </cell>
          <cell r="K11">
            <v>404</v>
          </cell>
          <cell r="N11">
            <v>0</v>
          </cell>
        </row>
        <row r="12">
          <cell r="I12" t="str">
            <v>0245</v>
          </cell>
          <cell r="J12">
            <v>400.38</v>
          </cell>
          <cell r="K12">
            <v>400.38</v>
          </cell>
          <cell r="N12">
            <v>0</v>
          </cell>
        </row>
        <row r="13">
          <cell r="I13" t="str">
            <v>0300</v>
          </cell>
          <cell r="J13">
            <v>395.59</v>
          </cell>
          <cell r="K13">
            <v>395.59</v>
          </cell>
          <cell r="N13">
            <v>0</v>
          </cell>
        </row>
        <row r="14">
          <cell r="I14" t="str">
            <v>0315</v>
          </cell>
          <cell r="J14">
            <v>389.38</v>
          </cell>
          <cell r="K14">
            <v>389.38</v>
          </cell>
          <cell r="N14">
            <v>0</v>
          </cell>
        </row>
        <row r="15">
          <cell r="I15" t="str">
            <v>0330</v>
          </cell>
          <cell r="J15">
            <v>388</v>
          </cell>
          <cell r="K15">
            <v>388</v>
          </cell>
          <cell r="N15">
            <v>0</v>
          </cell>
        </row>
        <row r="16">
          <cell r="I16" t="str">
            <v>0345</v>
          </cell>
          <cell r="J16">
            <v>384.39</v>
          </cell>
          <cell r="K16">
            <v>384.39</v>
          </cell>
          <cell r="N16">
            <v>0</v>
          </cell>
        </row>
        <row r="17">
          <cell r="I17" t="str">
            <v>0400</v>
          </cell>
          <cell r="J17">
            <v>383.75</v>
          </cell>
          <cell r="K17">
            <v>383.75</v>
          </cell>
          <cell r="N17">
            <v>0</v>
          </cell>
        </row>
        <row r="18">
          <cell r="I18" t="str">
            <v>0415</v>
          </cell>
          <cell r="J18">
            <v>383.75</v>
          </cell>
          <cell r="K18">
            <v>383.75</v>
          </cell>
          <cell r="N18">
            <v>0</v>
          </cell>
        </row>
        <row r="19">
          <cell r="I19" t="str">
            <v>0430</v>
          </cell>
          <cell r="J19">
            <v>385.63</v>
          </cell>
          <cell r="K19">
            <v>385.63</v>
          </cell>
          <cell r="N19">
            <v>0</v>
          </cell>
        </row>
        <row r="20">
          <cell r="I20" t="str">
            <v>0445</v>
          </cell>
          <cell r="J20">
            <v>385.63</v>
          </cell>
          <cell r="K20">
            <v>385.63</v>
          </cell>
          <cell r="N20">
            <v>0</v>
          </cell>
        </row>
        <row r="21">
          <cell r="I21" t="str">
            <v>0500</v>
          </cell>
          <cell r="J21">
            <v>390</v>
          </cell>
          <cell r="K21">
            <v>390</v>
          </cell>
          <cell r="N21">
            <v>0</v>
          </cell>
        </row>
        <row r="22">
          <cell r="I22" t="str">
            <v>0515</v>
          </cell>
          <cell r="J22">
            <v>398</v>
          </cell>
          <cell r="K22">
            <v>398</v>
          </cell>
          <cell r="N22">
            <v>0</v>
          </cell>
        </row>
        <row r="23">
          <cell r="I23" t="str">
            <v>0530</v>
          </cell>
          <cell r="J23">
            <v>395</v>
          </cell>
          <cell r="K23">
            <v>395</v>
          </cell>
          <cell r="N23">
            <v>0</v>
          </cell>
        </row>
        <row r="24">
          <cell r="I24" t="str">
            <v>0545</v>
          </cell>
          <cell r="J24">
            <v>393.2</v>
          </cell>
          <cell r="K24">
            <v>393.2</v>
          </cell>
          <cell r="N24">
            <v>0</v>
          </cell>
        </row>
        <row r="25">
          <cell r="I25" t="str">
            <v>0600</v>
          </cell>
          <cell r="J25">
            <v>387.5</v>
          </cell>
          <cell r="K25">
            <v>387.5</v>
          </cell>
          <cell r="N25">
            <v>0</v>
          </cell>
        </row>
        <row r="26">
          <cell r="I26" t="str">
            <v>0615</v>
          </cell>
          <cell r="J26">
            <v>392</v>
          </cell>
          <cell r="K26">
            <v>392</v>
          </cell>
          <cell r="N26">
            <v>0</v>
          </cell>
        </row>
        <row r="27">
          <cell r="I27" t="str">
            <v>0630</v>
          </cell>
          <cell r="J27">
            <v>400</v>
          </cell>
          <cell r="K27">
            <v>400</v>
          </cell>
          <cell r="N27">
            <v>0</v>
          </cell>
        </row>
        <row r="28">
          <cell r="I28" t="str">
            <v>0645</v>
          </cell>
          <cell r="J28">
            <v>407</v>
          </cell>
          <cell r="K28">
            <v>407</v>
          </cell>
          <cell r="N28">
            <v>0</v>
          </cell>
        </row>
        <row r="29">
          <cell r="I29" t="str">
            <v>0700</v>
          </cell>
          <cell r="J29">
            <v>410</v>
          </cell>
          <cell r="K29">
            <v>410</v>
          </cell>
          <cell r="N29">
            <v>0</v>
          </cell>
        </row>
        <row r="30">
          <cell r="I30" t="str">
            <v>0715</v>
          </cell>
          <cell r="J30">
            <v>413</v>
          </cell>
          <cell r="K30">
            <v>413</v>
          </cell>
          <cell r="N30">
            <v>0</v>
          </cell>
        </row>
        <row r="31">
          <cell r="I31" t="str">
            <v>0730</v>
          </cell>
          <cell r="J31">
            <v>421</v>
          </cell>
          <cell r="K31">
            <v>421</v>
          </cell>
          <cell r="N31">
            <v>0</v>
          </cell>
        </row>
        <row r="32">
          <cell r="I32" t="str">
            <v>0745</v>
          </cell>
          <cell r="J32">
            <v>434.38</v>
          </cell>
          <cell r="K32">
            <v>434.38</v>
          </cell>
          <cell r="N32">
            <v>0</v>
          </cell>
        </row>
        <row r="33">
          <cell r="I33" t="str">
            <v>0800</v>
          </cell>
          <cell r="J33">
            <v>436.25</v>
          </cell>
          <cell r="K33">
            <v>436.25</v>
          </cell>
          <cell r="N33">
            <v>0.01</v>
          </cell>
        </row>
        <row r="34">
          <cell r="I34" t="str">
            <v>0815</v>
          </cell>
          <cell r="J34">
            <v>433.54</v>
          </cell>
          <cell r="K34">
            <v>433.54</v>
          </cell>
          <cell r="N34">
            <v>0</v>
          </cell>
        </row>
        <row r="35">
          <cell r="I35" t="str">
            <v>0830</v>
          </cell>
          <cell r="J35">
            <v>419</v>
          </cell>
          <cell r="K35">
            <v>419</v>
          </cell>
          <cell r="N35">
            <v>0</v>
          </cell>
        </row>
        <row r="36">
          <cell r="I36" t="str">
            <v>0845</v>
          </cell>
          <cell r="J36">
            <v>395</v>
          </cell>
          <cell r="K36">
            <v>395</v>
          </cell>
          <cell r="N36">
            <v>0</v>
          </cell>
        </row>
        <row r="37">
          <cell r="I37" t="str">
            <v>0900</v>
          </cell>
          <cell r="J37">
            <v>368.94</v>
          </cell>
          <cell r="K37">
            <v>368.94</v>
          </cell>
          <cell r="N37">
            <v>0</v>
          </cell>
        </row>
        <row r="38">
          <cell r="I38" t="str">
            <v>0915</v>
          </cell>
          <cell r="J38">
            <v>360</v>
          </cell>
          <cell r="K38">
            <v>360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164</v>
          </cell>
          <cell r="K40">
            <v>164</v>
          </cell>
          <cell r="N40">
            <v>0</v>
          </cell>
        </row>
        <row r="41">
          <cell r="I41" t="str">
            <v>1000</v>
          </cell>
          <cell r="J41">
            <v>56.8</v>
          </cell>
          <cell r="K41">
            <v>56.8</v>
          </cell>
          <cell r="N41">
            <v>0</v>
          </cell>
        </row>
        <row r="42">
          <cell r="I42" t="str">
            <v>1015</v>
          </cell>
          <cell r="J42">
            <v>280</v>
          </cell>
          <cell r="K42">
            <v>280</v>
          </cell>
          <cell r="N42">
            <v>0</v>
          </cell>
        </row>
        <row r="43">
          <cell r="I43" t="str">
            <v>1030</v>
          </cell>
          <cell r="J43">
            <v>215.2</v>
          </cell>
          <cell r="K43">
            <v>215.2</v>
          </cell>
          <cell r="N43">
            <v>0</v>
          </cell>
        </row>
        <row r="44">
          <cell r="I44" t="str">
            <v>1045</v>
          </cell>
          <cell r="J44">
            <v>0</v>
          </cell>
          <cell r="K44">
            <v>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</v>
          </cell>
          <cell r="K46">
            <v>-80</v>
          </cell>
          <cell r="N46">
            <v>0</v>
          </cell>
        </row>
        <row r="47">
          <cell r="I47" t="str">
            <v>1130</v>
          </cell>
          <cell r="J47">
            <v>-80</v>
          </cell>
          <cell r="K47">
            <v>-80</v>
          </cell>
          <cell r="N47">
            <v>0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0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-95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-95</v>
          </cell>
        </row>
        <row r="52">
          <cell r="I52" t="str">
            <v>1245</v>
          </cell>
          <cell r="J52">
            <v>-80</v>
          </cell>
          <cell r="K52">
            <v>-80</v>
          </cell>
          <cell r="N52">
            <v>-95</v>
          </cell>
        </row>
        <row r="53">
          <cell r="I53" t="str">
            <v>1300</v>
          </cell>
          <cell r="J53">
            <v>-80</v>
          </cell>
          <cell r="K53">
            <v>-80</v>
          </cell>
          <cell r="N53">
            <v>-95</v>
          </cell>
        </row>
        <row r="54">
          <cell r="I54" t="str">
            <v>1315</v>
          </cell>
          <cell r="J54">
            <v>-80</v>
          </cell>
          <cell r="K54">
            <v>-80</v>
          </cell>
          <cell r="N54">
            <v>-95</v>
          </cell>
        </row>
        <row r="55">
          <cell r="I55" t="str">
            <v>1330</v>
          </cell>
          <cell r="J55">
            <v>-80</v>
          </cell>
          <cell r="K55">
            <v>-80</v>
          </cell>
          <cell r="N55">
            <v>-95</v>
          </cell>
        </row>
        <row r="56">
          <cell r="I56" t="str">
            <v>1345</v>
          </cell>
          <cell r="J56">
            <v>-80</v>
          </cell>
          <cell r="K56">
            <v>-80</v>
          </cell>
          <cell r="N56">
            <v>-55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106</v>
          </cell>
          <cell r="K60">
            <v>106</v>
          </cell>
          <cell r="N60">
            <v>0</v>
          </cell>
        </row>
        <row r="61">
          <cell r="I61" t="str">
            <v>1500</v>
          </cell>
          <cell r="J61">
            <v>0</v>
          </cell>
          <cell r="K61">
            <v>0</v>
          </cell>
          <cell r="N61">
            <v>0</v>
          </cell>
        </row>
        <row r="62">
          <cell r="I62" t="str">
            <v>1515</v>
          </cell>
          <cell r="J62">
            <v>106</v>
          </cell>
          <cell r="K62">
            <v>106</v>
          </cell>
          <cell r="N62">
            <v>0</v>
          </cell>
        </row>
        <row r="63">
          <cell r="I63" t="str">
            <v>1530</v>
          </cell>
          <cell r="J63">
            <v>306.16000000000003</v>
          </cell>
          <cell r="K63">
            <v>306.16000000000003</v>
          </cell>
          <cell r="N63">
            <v>0</v>
          </cell>
        </row>
        <row r="64">
          <cell r="I64" t="str">
            <v>1545</v>
          </cell>
          <cell r="J64">
            <v>368</v>
          </cell>
          <cell r="K64">
            <v>368</v>
          </cell>
          <cell r="N64">
            <v>0</v>
          </cell>
        </row>
        <row r="65">
          <cell r="I65" t="str">
            <v>1600</v>
          </cell>
          <cell r="J65">
            <v>382</v>
          </cell>
          <cell r="K65">
            <v>382</v>
          </cell>
          <cell r="N65">
            <v>0</v>
          </cell>
        </row>
        <row r="66">
          <cell r="I66" t="str">
            <v>1615</v>
          </cell>
          <cell r="J66">
            <v>405.12</v>
          </cell>
          <cell r="K66">
            <v>405.12</v>
          </cell>
          <cell r="N66">
            <v>0</v>
          </cell>
        </row>
        <row r="67">
          <cell r="I67" t="str">
            <v>1630</v>
          </cell>
          <cell r="J67">
            <v>421.67</v>
          </cell>
          <cell r="K67">
            <v>421.67</v>
          </cell>
          <cell r="N67">
            <v>0</v>
          </cell>
        </row>
        <row r="68">
          <cell r="I68" t="str">
            <v>1645</v>
          </cell>
          <cell r="J68">
            <v>437</v>
          </cell>
          <cell r="K68">
            <v>437</v>
          </cell>
          <cell r="N68">
            <v>0</v>
          </cell>
        </row>
        <row r="69">
          <cell r="I69" t="str">
            <v>1700</v>
          </cell>
          <cell r="J69">
            <v>440</v>
          </cell>
          <cell r="K69">
            <v>440</v>
          </cell>
          <cell r="N69">
            <v>0</v>
          </cell>
        </row>
        <row r="70">
          <cell r="I70" t="str">
            <v>1715</v>
          </cell>
          <cell r="J70">
            <v>436.96</v>
          </cell>
          <cell r="K70">
            <v>436.96</v>
          </cell>
          <cell r="N70">
            <v>0</v>
          </cell>
        </row>
        <row r="71">
          <cell r="I71" t="str">
            <v>1730</v>
          </cell>
          <cell r="J71">
            <v>436.25</v>
          </cell>
          <cell r="K71">
            <v>436.25</v>
          </cell>
          <cell r="N71">
            <v>38.119999999999997</v>
          </cell>
        </row>
        <row r="72">
          <cell r="I72" t="str">
            <v>1745</v>
          </cell>
          <cell r="J72">
            <v>434.38</v>
          </cell>
          <cell r="K72">
            <v>434.38</v>
          </cell>
          <cell r="N72">
            <v>38.119999999999997</v>
          </cell>
        </row>
        <row r="73">
          <cell r="I73" t="str">
            <v>1800</v>
          </cell>
          <cell r="J73">
            <v>434.38</v>
          </cell>
          <cell r="K73">
            <v>434.38</v>
          </cell>
          <cell r="N73">
            <v>38.119999999999997</v>
          </cell>
        </row>
        <row r="74">
          <cell r="I74" t="str">
            <v>1815</v>
          </cell>
          <cell r="J74">
            <v>434.38</v>
          </cell>
          <cell r="K74">
            <v>434.38</v>
          </cell>
          <cell r="N74">
            <v>38.119999999999997</v>
          </cell>
        </row>
        <row r="75">
          <cell r="I75" t="str">
            <v>1830</v>
          </cell>
          <cell r="J75">
            <v>434.38</v>
          </cell>
          <cell r="K75">
            <v>434.38</v>
          </cell>
          <cell r="N75">
            <v>38.119999999999997</v>
          </cell>
        </row>
        <row r="76">
          <cell r="I76" t="str">
            <v>1845</v>
          </cell>
          <cell r="J76">
            <v>434.38</v>
          </cell>
          <cell r="K76">
            <v>434.38</v>
          </cell>
          <cell r="N76">
            <v>38.119999999999997</v>
          </cell>
        </row>
        <row r="77">
          <cell r="I77" t="str">
            <v>1900</v>
          </cell>
          <cell r="J77">
            <v>434.38</v>
          </cell>
          <cell r="K77">
            <v>434.38</v>
          </cell>
          <cell r="N77">
            <v>38.119999999999997</v>
          </cell>
        </row>
        <row r="78">
          <cell r="I78" t="str">
            <v>1915</v>
          </cell>
          <cell r="J78">
            <v>434.38</v>
          </cell>
          <cell r="K78">
            <v>434.38</v>
          </cell>
          <cell r="N78">
            <v>38.119999999999997</v>
          </cell>
        </row>
        <row r="79">
          <cell r="I79" t="str">
            <v>1930</v>
          </cell>
          <cell r="J79">
            <v>434.38</v>
          </cell>
          <cell r="K79">
            <v>434.38</v>
          </cell>
          <cell r="N79">
            <v>38.119999999999997</v>
          </cell>
        </row>
        <row r="80">
          <cell r="I80" t="str">
            <v>1945</v>
          </cell>
          <cell r="J80">
            <v>434.38</v>
          </cell>
          <cell r="K80">
            <v>434.38</v>
          </cell>
          <cell r="N80">
            <v>38.119999999999997</v>
          </cell>
        </row>
        <row r="81">
          <cell r="I81" t="str">
            <v>2000</v>
          </cell>
          <cell r="J81">
            <v>434.38</v>
          </cell>
          <cell r="K81">
            <v>434.38</v>
          </cell>
          <cell r="N81">
            <v>38.119999999999997</v>
          </cell>
        </row>
        <row r="82">
          <cell r="I82" t="str">
            <v>2015</v>
          </cell>
          <cell r="J82">
            <v>434.38</v>
          </cell>
          <cell r="K82">
            <v>434.38</v>
          </cell>
          <cell r="N82">
            <v>38.119999999999997</v>
          </cell>
        </row>
        <row r="83">
          <cell r="I83" t="str">
            <v>2030</v>
          </cell>
          <cell r="J83">
            <v>434.38</v>
          </cell>
          <cell r="K83">
            <v>434.38</v>
          </cell>
          <cell r="N83">
            <v>38.119999999999997</v>
          </cell>
        </row>
        <row r="84">
          <cell r="I84" t="str">
            <v>2045</v>
          </cell>
          <cell r="J84">
            <v>434.38</v>
          </cell>
          <cell r="K84">
            <v>434.38</v>
          </cell>
          <cell r="N84">
            <v>38.119999999999997</v>
          </cell>
        </row>
        <row r="85">
          <cell r="I85" t="str">
            <v>2100</v>
          </cell>
          <cell r="J85">
            <v>434.38</v>
          </cell>
          <cell r="K85">
            <v>434.38</v>
          </cell>
          <cell r="N85">
            <v>38.119999999999997</v>
          </cell>
        </row>
        <row r="86">
          <cell r="I86" t="str">
            <v>2115</v>
          </cell>
          <cell r="J86">
            <v>434.38</v>
          </cell>
          <cell r="K86">
            <v>434.38</v>
          </cell>
          <cell r="N86">
            <v>38.119999999999997</v>
          </cell>
        </row>
        <row r="87">
          <cell r="I87" t="str">
            <v>2130</v>
          </cell>
          <cell r="J87">
            <v>434.38</v>
          </cell>
          <cell r="K87">
            <v>434.38</v>
          </cell>
          <cell r="N87">
            <v>38.119999999999997</v>
          </cell>
        </row>
        <row r="88">
          <cell r="I88" t="str">
            <v>2145</v>
          </cell>
          <cell r="J88">
            <v>434.38</v>
          </cell>
          <cell r="K88">
            <v>434.38</v>
          </cell>
          <cell r="N88">
            <v>0</v>
          </cell>
        </row>
        <row r="89">
          <cell r="I89" t="str">
            <v>2200</v>
          </cell>
          <cell r="J89">
            <v>434.38</v>
          </cell>
          <cell r="K89">
            <v>434.38</v>
          </cell>
          <cell r="N89">
            <v>0</v>
          </cell>
        </row>
        <row r="90">
          <cell r="I90" t="str">
            <v>2215</v>
          </cell>
          <cell r="J90">
            <v>430.63</v>
          </cell>
          <cell r="K90">
            <v>430.63</v>
          </cell>
          <cell r="N90">
            <v>0</v>
          </cell>
        </row>
        <row r="91">
          <cell r="I91" t="str">
            <v>2230</v>
          </cell>
          <cell r="J91">
            <v>421</v>
          </cell>
          <cell r="K91">
            <v>421</v>
          </cell>
          <cell r="N91">
            <v>0</v>
          </cell>
        </row>
        <row r="92">
          <cell r="I92" t="str">
            <v>2245</v>
          </cell>
          <cell r="J92">
            <v>414</v>
          </cell>
          <cell r="K92">
            <v>414</v>
          </cell>
          <cell r="N92">
            <v>0</v>
          </cell>
        </row>
        <row r="93">
          <cell r="I93" t="str">
            <v>2300</v>
          </cell>
          <cell r="J93">
            <v>408</v>
          </cell>
          <cell r="K93">
            <v>408</v>
          </cell>
          <cell r="N93">
            <v>0</v>
          </cell>
        </row>
        <row r="94">
          <cell r="I94" t="str">
            <v>2315</v>
          </cell>
          <cell r="J94">
            <v>408</v>
          </cell>
          <cell r="K94">
            <v>408</v>
          </cell>
          <cell r="N94">
            <v>0</v>
          </cell>
        </row>
        <row r="95">
          <cell r="I95" t="str">
            <v>2330</v>
          </cell>
          <cell r="J95">
            <v>401</v>
          </cell>
          <cell r="K95">
            <v>401</v>
          </cell>
          <cell r="N95">
            <v>0</v>
          </cell>
        </row>
        <row r="96">
          <cell r="I96" t="str">
            <v>2345</v>
          </cell>
          <cell r="J96">
            <v>394</v>
          </cell>
          <cell r="K96">
            <v>394</v>
          </cell>
          <cell r="N96">
            <v>0</v>
          </cell>
        </row>
        <row r="97">
          <cell r="I97" t="str">
            <v>2400</v>
          </cell>
          <cell r="J97">
            <v>386</v>
          </cell>
          <cell r="K97">
            <v>386</v>
          </cell>
          <cell r="N97">
            <v>0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289.33</v>
          </cell>
          <cell r="K2">
            <v>289.33</v>
          </cell>
          <cell r="N2">
            <v>-0.1</v>
          </cell>
        </row>
        <row r="3">
          <cell r="I3" t="str">
            <v>0030</v>
          </cell>
          <cell r="J3">
            <v>292.01</v>
          </cell>
          <cell r="K3">
            <v>292.01</v>
          </cell>
          <cell r="N3">
            <v>0</v>
          </cell>
        </row>
        <row r="4">
          <cell r="I4" t="str">
            <v>0045</v>
          </cell>
          <cell r="J4">
            <v>291.27999999999997</v>
          </cell>
          <cell r="K4">
            <v>291.27999999999997</v>
          </cell>
          <cell r="N4">
            <v>0</v>
          </cell>
        </row>
        <row r="5">
          <cell r="I5" t="str">
            <v>0100</v>
          </cell>
          <cell r="J5">
            <v>288.06</v>
          </cell>
          <cell r="K5">
            <v>288.06</v>
          </cell>
          <cell r="N5">
            <v>0</v>
          </cell>
        </row>
        <row r="6">
          <cell r="I6" t="str">
            <v>0115</v>
          </cell>
          <cell r="J6">
            <v>286.08999999999997</v>
          </cell>
          <cell r="K6">
            <v>286.08999999999997</v>
          </cell>
          <cell r="N6">
            <v>0</v>
          </cell>
        </row>
        <row r="7">
          <cell r="I7" t="str">
            <v>0130</v>
          </cell>
          <cell r="J7">
            <v>285.13</v>
          </cell>
          <cell r="K7">
            <v>285.13</v>
          </cell>
          <cell r="N7">
            <v>0</v>
          </cell>
        </row>
        <row r="8">
          <cell r="I8" t="str">
            <v>0145</v>
          </cell>
          <cell r="J8">
            <v>284.11</v>
          </cell>
          <cell r="K8">
            <v>284.11</v>
          </cell>
          <cell r="N8">
            <v>0</v>
          </cell>
        </row>
        <row r="9">
          <cell r="I9" t="str">
            <v>0200</v>
          </cell>
          <cell r="J9">
            <v>284.11</v>
          </cell>
          <cell r="K9">
            <v>284.11</v>
          </cell>
          <cell r="N9">
            <v>0</v>
          </cell>
        </row>
        <row r="10">
          <cell r="I10" t="str">
            <v>0215</v>
          </cell>
          <cell r="J10">
            <v>295</v>
          </cell>
          <cell r="K10">
            <v>295</v>
          </cell>
          <cell r="N10">
            <v>0</v>
          </cell>
        </row>
        <row r="11">
          <cell r="I11" t="str">
            <v>0230</v>
          </cell>
          <cell r="J11">
            <v>298.32</v>
          </cell>
          <cell r="K11">
            <v>298.32</v>
          </cell>
          <cell r="N11">
            <v>0</v>
          </cell>
        </row>
        <row r="12">
          <cell r="I12" t="str">
            <v>0245</v>
          </cell>
          <cell r="J12">
            <v>298.32</v>
          </cell>
          <cell r="K12">
            <v>298.32</v>
          </cell>
          <cell r="N12">
            <v>0</v>
          </cell>
        </row>
        <row r="13">
          <cell r="I13" t="str">
            <v>0300</v>
          </cell>
          <cell r="J13">
            <v>295.95</v>
          </cell>
          <cell r="K13">
            <v>295.95</v>
          </cell>
          <cell r="N13">
            <v>0</v>
          </cell>
        </row>
        <row r="14">
          <cell r="I14" t="str">
            <v>0315</v>
          </cell>
          <cell r="J14">
            <v>296.55</v>
          </cell>
          <cell r="K14">
            <v>296.55</v>
          </cell>
          <cell r="N14">
            <v>0</v>
          </cell>
        </row>
        <row r="15">
          <cell r="I15" t="str">
            <v>0330</v>
          </cell>
          <cell r="J15">
            <v>298.32</v>
          </cell>
          <cell r="K15">
            <v>298.32</v>
          </cell>
          <cell r="N15">
            <v>0</v>
          </cell>
        </row>
        <row r="16">
          <cell r="I16" t="str">
            <v>0345</v>
          </cell>
          <cell r="J16">
            <v>298.32</v>
          </cell>
          <cell r="K16">
            <v>298.32</v>
          </cell>
          <cell r="N16">
            <v>0</v>
          </cell>
        </row>
        <row r="17">
          <cell r="I17" t="str">
            <v>0400</v>
          </cell>
          <cell r="J17">
            <v>299.89</v>
          </cell>
          <cell r="K17">
            <v>299.89</v>
          </cell>
          <cell r="N17">
            <v>0</v>
          </cell>
        </row>
        <row r="18">
          <cell r="I18" t="str">
            <v>0415</v>
          </cell>
          <cell r="J18">
            <v>301.47000000000003</v>
          </cell>
          <cell r="K18">
            <v>301.47000000000003</v>
          </cell>
          <cell r="N18">
            <v>0</v>
          </cell>
        </row>
        <row r="19">
          <cell r="I19" t="str">
            <v>0430</v>
          </cell>
          <cell r="J19">
            <v>302.66000000000003</v>
          </cell>
          <cell r="K19">
            <v>302.66000000000003</v>
          </cell>
          <cell r="N19">
            <v>0</v>
          </cell>
        </row>
        <row r="20">
          <cell r="I20" t="str">
            <v>0445</v>
          </cell>
          <cell r="J20">
            <v>308.97000000000003</v>
          </cell>
          <cell r="K20">
            <v>308.97000000000003</v>
          </cell>
          <cell r="N20">
            <v>0</v>
          </cell>
        </row>
        <row r="21">
          <cell r="I21" t="str">
            <v>0500</v>
          </cell>
          <cell r="J21">
            <v>313.75</v>
          </cell>
          <cell r="K21">
            <v>313.75</v>
          </cell>
          <cell r="N21">
            <v>0</v>
          </cell>
        </row>
        <row r="22">
          <cell r="I22" t="str">
            <v>0515</v>
          </cell>
          <cell r="J22">
            <v>324</v>
          </cell>
          <cell r="K22">
            <v>324</v>
          </cell>
          <cell r="N22">
            <v>0</v>
          </cell>
        </row>
        <row r="23">
          <cell r="I23" t="str">
            <v>0530</v>
          </cell>
          <cell r="J23">
            <v>320</v>
          </cell>
          <cell r="K23">
            <v>320</v>
          </cell>
          <cell r="N23">
            <v>0</v>
          </cell>
        </row>
        <row r="24">
          <cell r="I24" t="str">
            <v>0545</v>
          </cell>
          <cell r="J24">
            <v>324</v>
          </cell>
          <cell r="K24">
            <v>324</v>
          </cell>
          <cell r="N24">
            <v>0</v>
          </cell>
        </row>
        <row r="25">
          <cell r="I25" t="str">
            <v>0600</v>
          </cell>
          <cell r="J25">
            <v>320.81</v>
          </cell>
          <cell r="K25">
            <v>320.81</v>
          </cell>
          <cell r="N25">
            <v>0</v>
          </cell>
        </row>
        <row r="26">
          <cell r="I26" t="str">
            <v>0615</v>
          </cell>
          <cell r="J26">
            <v>323.63</v>
          </cell>
          <cell r="K26">
            <v>323.63</v>
          </cell>
          <cell r="N26">
            <v>0</v>
          </cell>
        </row>
        <row r="27">
          <cell r="I27" t="str">
            <v>0630</v>
          </cell>
          <cell r="J27">
            <v>336.32</v>
          </cell>
          <cell r="K27">
            <v>336.32</v>
          </cell>
          <cell r="N27">
            <v>0</v>
          </cell>
        </row>
        <row r="28">
          <cell r="I28" t="str">
            <v>0645</v>
          </cell>
          <cell r="J28">
            <v>356</v>
          </cell>
          <cell r="K28">
            <v>356</v>
          </cell>
          <cell r="N28">
            <v>0</v>
          </cell>
        </row>
        <row r="29">
          <cell r="I29" t="str">
            <v>0700</v>
          </cell>
          <cell r="J29">
            <v>368</v>
          </cell>
          <cell r="K29">
            <v>368</v>
          </cell>
          <cell r="N29">
            <v>0</v>
          </cell>
        </row>
        <row r="30">
          <cell r="I30" t="str">
            <v>0715</v>
          </cell>
          <cell r="J30">
            <v>372</v>
          </cell>
          <cell r="K30">
            <v>372</v>
          </cell>
          <cell r="N30">
            <v>0</v>
          </cell>
        </row>
        <row r="31">
          <cell r="I31" t="str">
            <v>0730</v>
          </cell>
          <cell r="J31">
            <v>395.53</v>
          </cell>
          <cell r="K31">
            <v>395.53</v>
          </cell>
          <cell r="N31">
            <v>0</v>
          </cell>
        </row>
        <row r="32">
          <cell r="I32" t="str">
            <v>0745</v>
          </cell>
          <cell r="J32">
            <v>415</v>
          </cell>
          <cell r="K32">
            <v>415</v>
          </cell>
          <cell r="N32">
            <v>0</v>
          </cell>
        </row>
        <row r="33">
          <cell r="I33" t="str">
            <v>0800</v>
          </cell>
          <cell r="J33">
            <v>411.75</v>
          </cell>
          <cell r="K33">
            <v>411.75</v>
          </cell>
          <cell r="N33">
            <v>0</v>
          </cell>
        </row>
        <row r="34">
          <cell r="I34" t="str">
            <v>0815</v>
          </cell>
          <cell r="J34">
            <v>414.26</v>
          </cell>
          <cell r="K34">
            <v>414.26</v>
          </cell>
          <cell r="N34">
            <v>0</v>
          </cell>
        </row>
        <row r="35">
          <cell r="I35" t="str">
            <v>0830</v>
          </cell>
          <cell r="J35">
            <v>404.38</v>
          </cell>
          <cell r="K35">
            <v>404.38</v>
          </cell>
          <cell r="N35">
            <v>0</v>
          </cell>
        </row>
        <row r="36">
          <cell r="I36" t="str">
            <v>0845</v>
          </cell>
          <cell r="J36">
            <v>385</v>
          </cell>
          <cell r="K36">
            <v>385</v>
          </cell>
          <cell r="N36">
            <v>0</v>
          </cell>
        </row>
        <row r="37">
          <cell r="I37" t="str">
            <v>0900</v>
          </cell>
          <cell r="J37">
            <v>352</v>
          </cell>
          <cell r="K37">
            <v>352</v>
          </cell>
          <cell r="N37">
            <v>0</v>
          </cell>
        </row>
        <row r="38">
          <cell r="I38" t="str">
            <v>0915</v>
          </cell>
          <cell r="J38">
            <v>320</v>
          </cell>
          <cell r="K38">
            <v>320</v>
          </cell>
          <cell r="N38">
            <v>0</v>
          </cell>
        </row>
        <row r="39">
          <cell r="I39" t="str">
            <v>0930</v>
          </cell>
          <cell r="J39">
            <v>298.13</v>
          </cell>
          <cell r="K39">
            <v>298.13</v>
          </cell>
          <cell r="N39">
            <v>0</v>
          </cell>
        </row>
        <row r="40">
          <cell r="I40" t="str">
            <v>0945</v>
          </cell>
          <cell r="J40">
            <v>282.01</v>
          </cell>
          <cell r="K40">
            <v>282.01</v>
          </cell>
          <cell r="N40">
            <v>0</v>
          </cell>
        </row>
        <row r="41">
          <cell r="I41" t="str">
            <v>1000</v>
          </cell>
          <cell r="J41">
            <v>205.65</v>
          </cell>
          <cell r="K41">
            <v>205.65</v>
          </cell>
          <cell r="N41">
            <v>0</v>
          </cell>
        </row>
        <row r="42">
          <cell r="I42" t="str">
            <v>1015</v>
          </cell>
          <cell r="J42">
            <v>211.05</v>
          </cell>
          <cell r="K42">
            <v>211.05</v>
          </cell>
          <cell r="N42">
            <v>0</v>
          </cell>
        </row>
        <row r="43">
          <cell r="I43" t="str">
            <v>1030</v>
          </cell>
          <cell r="J43">
            <v>206</v>
          </cell>
          <cell r="K43">
            <v>206</v>
          </cell>
          <cell r="N43">
            <v>0</v>
          </cell>
        </row>
        <row r="44">
          <cell r="I44" t="str">
            <v>1045</v>
          </cell>
          <cell r="J44">
            <v>188.14</v>
          </cell>
          <cell r="K44">
            <v>188.14</v>
          </cell>
          <cell r="N44">
            <v>0</v>
          </cell>
        </row>
        <row r="45">
          <cell r="I45" t="str">
            <v>1100</v>
          </cell>
          <cell r="J45">
            <v>172</v>
          </cell>
          <cell r="K45">
            <v>172</v>
          </cell>
          <cell r="N45">
            <v>0</v>
          </cell>
        </row>
        <row r="46">
          <cell r="I46" t="str">
            <v>1115</v>
          </cell>
          <cell r="J46">
            <v>248.6</v>
          </cell>
          <cell r="K46">
            <v>248.6</v>
          </cell>
          <cell r="N46">
            <v>0</v>
          </cell>
        </row>
        <row r="47">
          <cell r="I47" t="str">
            <v>1130</v>
          </cell>
          <cell r="J47">
            <v>23.4</v>
          </cell>
          <cell r="K47">
            <v>23.4</v>
          </cell>
          <cell r="N47">
            <v>-36.65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-36.65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-36.65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-82.82</v>
          </cell>
          <cell r="K51">
            <v>-82.82</v>
          </cell>
          <cell r="N51">
            <v>-95</v>
          </cell>
        </row>
        <row r="52">
          <cell r="I52" t="str">
            <v>1245</v>
          </cell>
          <cell r="J52">
            <v>0</v>
          </cell>
          <cell r="K52">
            <v>0</v>
          </cell>
          <cell r="N52">
            <v>-95</v>
          </cell>
        </row>
        <row r="53">
          <cell r="I53" t="str">
            <v>1300</v>
          </cell>
          <cell r="J53">
            <v>6.4</v>
          </cell>
          <cell r="K53">
            <v>6.4</v>
          </cell>
          <cell r="N53">
            <v>-95</v>
          </cell>
        </row>
        <row r="54">
          <cell r="I54" t="str">
            <v>1315</v>
          </cell>
          <cell r="J54">
            <v>6.4</v>
          </cell>
          <cell r="K54">
            <v>6.4</v>
          </cell>
          <cell r="N54">
            <v>-95</v>
          </cell>
        </row>
        <row r="55">
          <cell r="I55" t="str">
            <v>1330</v>
          </cell>
          <cell r="J55">
            <v>6.4</v>
          </cell>
          <cell r="K55">
            <v>6.4</v>
          </cell>
          <cell r="N55">
            <v>-95</v>
          </cell>
        </row>
        <row r="56">
          <cell r="I56" t="str">
            <v>1345</v>
          </cell>
          <cell r="J56">
            <v>0</v>
          </cell>
          <cell r="K56">
            <v>0</v>
          </cell>
          <cell r="N56">
            <v>0</v>
          </cell>
        </row>
        <row r="57">
          <cell r="I57" t="str">
            <v>1400</v>
          </cell>
          <cell r="J57">
            <v>12.8</v>
          </cell>
          <cell r="K57">
            <v>12.8</v>
          </cell>
          <cell r="N57">
            <v>0</v>
          </cell>
        </row>
        <row r="58">
          <cell r="I58" t="str">
            <v>1415</v>
          </cell>
          <cell r="J58">
            <v>6.4</v>
          </cell>
          <cell r="K58">
            <v>6.4</v>
          </cell>
          <cell r="N58">
            <v>0</v>
          </cell>
        </row>
        <row r="59">
          <cell r="I59" t="str">
            <v>1430</v>
          </cell>
          <cell r="J59">
            <v>6.4</v>
          </cell>
          <cell r="K59">
            <v>6.4</v>
          </cell>
          <cell r="N59">
            <v>0</v>
          </cell>
        </row>
        <row r="60">
          <cell r="I60" t="str">
            <v>1445</v>
          </cell>
          <cell r="J60">
            <v>216.64</v>
          </cell>
          <cell r="K60">
            <v>216.64</v>
          </cell>
          <cell r="N60">
            <v>0</v>
          </cell>
        </row>
        <row r="61">
          <cell r="I61" t="str">
            <v>1500</v>
          </cell>
          <cell r="J61">
            <v>188</v>
          </cell>
          <cell r="K61">
            <v>188</v>
          </cell>
          <cell r="N61">
            <v>0</v>
          </cell>
        </row>
        <row r="62">
          <cell r="I62" t="str">
            <v>1515</v>
          </cell>
          <cell r="J62">
            <v>168.4</v>
          </cell>
          <cell r="K62">
            <v>168.4</v>
          </cell>
          <cell r="N62">
            <v>0</v>
          </cell>
        </row>
        <row r="63">
          <cell r="I63" t="str">
            <v>1530</v>
          </cell>
          <cell r="J63">
            <v>287.79000000000002</v>
          </cell>
          <cell r="K63">
            <v>287.79000000000002</v>
          </cell>
          <cell r="N63">
            <v>0</v>
          </cell>
        </row>
        <row r="64">
          <cell r="I64" t="str">
            <v>1545</v>
          </cell>
          <cell r="J64">
            <v>306.52999999999997</v>
          </cell>
          <cell r="K64">
            <v>306.52999999999997</v>
          </cell>
          <cell r="N64">
            <v>0</v>
          </cell>
        </row>
        <row r="65">
          <cell r="I65" t="str">
            <v>1600</v>
          </cell>
          <cell r="J65">
            <v>310.72000000000003</v>
          </cell>
          <cell r="K65">
            <v>310.72000000000003</v>
          </cell>
          <cell r="N65">
            <v>0</v>
          </cell>
        </row>
        <row r="66">
          <cell r="I66" t="str">
            <v>1615</v>
          </cell>
          <cell r="J66">
            <v>357.4</v>
          </cell>
          <cell r="K66">
            <v>357.4</v>
          </cell>
          <cell r="N66">
            <v>0</v>
          </cell>
        </row>
        <row r="67">
          <cell r="I67" t="str">
            <v>1630</v>
          </cell>
          <cell r="J67">
            <v>400.63</v>
          </cell>
          <cell r="K67">
            <v>400.63</v>
          </cell>
          <cell r="N67">
            <v>0</v>
          </cell>
        </row>
        <row r="68">
          <cell r="I68" t="str">
            <v>1645</v>
          </cell>
          <cell r="J68">
            <v>426.5</v>
          </cell>
          <cell r="K68">
            <v>426.5</v>
          </cell>
          <cell r="N68">
            <v>0</v>
          </cell>
        </row>
        <row r="69">
          <cell r="I69" t="str">
            <v>1700</v>
          </cell>
          <cell r="J69">
            <v>434</v>
          </cell>
          <cell r="K69">
            <v>434</v>
          </cell>
          <cell r="N69">
            <v>0</v>
          </cell>
        </row>
        <row r="70">
          <cell r="I70" t="str">
            <v>1715</v>
          </cell>
          <cell r="J70">
            <v>430.25</v>
          </cell>
          <cell r="K70">
            <v>430.25</v>
          </cell>
          <cell r="N70">
            <v>0</v>
          </cell>
        </row>
        <row r="71">
          <cell r="I71" t="str">
            <v>1730</v>
          </cell>
          <cell r="J71">
            <v>430.25</v>
          </cell>
          <cell r="K71">
            <v>430.25</v>
          </cell>
          <cell r="N71">
            <v>59.89</v>
          </cell>
        </row>
        <row r="72">
          <cell r="I72" t="str">
            <v>1745</v>
          </cell>
          <cell r="J72">
            <v>430.25</v>
          </cell>
          <cell r="K72">
            <v>430.25</v>
          </cell>
          <cell r="N72">
            <v>59.89</v>
          </cell>
        </row>
        <row r="73">
          <cell r="I73" t="str">
            <v>1800</v>
          </cell>
          <cell r="J73">
            <v>430.25</v>
          </cell>
          <cell r="K73">
            <v>430.25</v>
          </cell>
          <cell r="N73">
            <v>59.89</v>
          </cell>
        </row>
        <row r="74">
          <cell r="I74" t="str">
            <v>1815</v>
          </cell>
          <cell r="J74">
            <v>430.25</v>
          </cell>
          <cell r="K74">
            <v>430.25</v>
          </cell>
          <cell r="N74">
            <v>59.89</v>
          </cell>
        </row>
        <row r="75">
          <cell r="I75" t="str">
            <v>1830</v>
          </cell>
          <cell r="J75">
            <v>430.25</v>
          </cell>
          <cell r="K75">
            <v>430.25</v>
          </cell>
          <cell r="N75">
            <v>59.89</v>
          </cell>
        </row>
        <row r="76">
          <cell r="I76" t="str">
            <v>1845</v>
          </cell>
          <cell r="J76">
            <v>430.25</v>
          </cell>
          <cell r="K76">
            <v>430.25</v>
          </cell>
          <cell r="N76">
            <v>59.89</v>
          </cell>
        </row>
        <row r="77">
          <cell r="I77" t="str">
            <v>1900</v>
          </cell>
          <cell r="J77">
            <v>430.25</v>
          </cell>
          <cell r="K77">
            <v>430.25</v>
          </cell>
          <cell r="N77">
            <v>59.89</v>
          </cell>
        </row>
        <row r="78">
          <cell r="I78" t="str">
            <v>1915</v>
          </cell>
          <cell r="J78">
            <v>430.25</v>
          </cell>
          <cell r="K78">
            <v>430.25</v>
          </cell>
          <cell r="N78">
            <v>59.89</v>
          </cell>
        </row>
        <row r="79">
          <cell r="I79" t="str">
            <v>1930</v>
          </cell>
          <cell r="J79">
            <v>430.25</v>
          </cell>
          <cell r="K79">
            <v>430.25</v>
          </cell>
          <cell r="N79">
            <v>0</v>
          </cell>
        </row>
        <row r="80">
          <cell r="I80" t="str">
            <v>1945</v>
          </cell>
          <cell r="J80">
            <v>430.25</v>
          </cell>
          <cell r="K80">
            <v>430.25</v>
          </cell>
          <cell r="N80">
            <v>0</v>
          </cell>
        </row>
        <row r="81">
          <cell r="I81" t="str">
            <v>2000</v>
          </cell>
          <cell r="J81">
            <v>430.25</v>
          </cell>
          <cell r="K81">
            <v>430.25</v>
          </cell>
          <cell r="N81">
            <v>0</v>
          </cell>
        </row>
        <row r="82">
          <cell r="I82" t="str">
            <v>2015</v>
          </cell>
          <cell r="J82">
            <v>430.25</v>
          </cell>
          <cell r="K82">
            <v>430.25</v>
          </cell>
          <cell r="N82">
            <v>20.05</v>
          </cell>
        </row>
        <row r="83">
          <cell r="I83" t="str">
            <v>2030</v>
          </cell>
          <cell r="J83">
            <v>430.25</v>
          </cell>
          <cell r="K83">
            <v>430.25</v>
          </cell>
          <cell r="N83">
            <v>20.05</v>
          </cell>
        </row>
        <row r="84">
          <cell r="I84" t="str">
            <v>2045</v>
          </cell>
          <cell r="J84">
            <v>430.25</v>
          </cell>
          <cell r="K84">
            <v>430.25</v>
          </cell>
          <cell r="N84">
            <v>20.05</v>
          </cell>
        </row>
        <row r="85">
          <cell r="I85" t="str">
            <v>2100</v>
          </cell>
          <cell r="J85">
            <v>430.25</v>
          </cell>
          <cell r="K85">
            <v>430.25</v>
          </cell>
          <cell r="N85">
            <v>20.05</v>
          </cell>
        </row>
        <row r="86">
          <cell r="I86" t="str">
            <v>2115</v>
          </cell>
          <cell r="J86">
            <v>430.25</v>
          </cell>
          <cell r="K86">
            <v>430.25</v>
          </cell>
          <cell r="N86">
            <v>20.05</v>
          </cell>
        </row>
        <row r="87">
          <cell r="I87" t="str">
            <v>2130</v>
          </cell>
          <cell r="J87">
            <v>430.25</v>
          </cell>
          <cell r="K87">
            <v>430.25</v>
          </cell>
          <cell r="N87">
            <v>20.05</v>
          </cell>
        </row>
        <row r="88">
          <cell r="I88" t="str">
            <v>2145</v>
          </cell>
          <cell r="J88">
            <v>430.25</v>
          </cell>
          <cell r="K88">
            <v>430.25</v>
          </cell>
          <cell r="N88">
            <v>20.05</v>
          </cell>
        </row>
        <row r="89">
          <cell r="I89" t="str">
            <v>2200</v>
          </cell>
          <cell r="J89">
            <v>430.25</v>
          </cell>
          <cell r="K89">
            <v>430.25</v>
          </cell>
          <cell r="N89">
            <v>20.05</v>
          </cell>
        </row>
        <row r="90">
          <cell r="I90" t="str">
            <v>2215</v>
          </cell>
          <cell r="J90">
            <v>430.25</v>
          </cell>
          <cell r="K90">
            <v>430.25</v>
          </cell>
          <cell r="N90">
            <v>20.05</v>
          </cell>
        </row>
        <row r="91">
          <cell r="I91" t="str">
            <v>2230</v>
          </cell>
          <cell r="J91">
            <v>430.25</v>
          </cell>
          <cell r="K91">
            <v>430.25</v>
          </cell>
          <cell r="N91">
            <v>0</v>
          </cell>
        </row>
        <row r="92">
          <cell r="I92" t="str">
            <v>2245</v>
          </cell>
          <cell r="J92">
            <v>430.25</v>
          </cell>
          <cell r="K92">
            <v>430.25</v>
          </cell>
          <cell r="N92">
            <v>0</v>
          </cell>
        </row>
        <row r="93">
          <cell r="I93" t="str">
            <v>2300</v>
          </cell>
          <cell r="J93">
            <v>422</v>
          </cell>
          <cell r="K93">
            <v>422</v>
          </cell>
          <cell r="N93">
            <v>0</v>
          </cell>
        </row>
        <row r="94">
          <cell r="I94" t="str">
            <v>2315</v>
          </cell>
          <cell r="J94">
            <v>423.75</v>
          </cell>
          <cell r="K94">
            <v>423.75</v>
          </cell>
          <cell r="N94">
            <v>0</v>
          </cell>
        </row>
        <row r="95">
          <cell r="I95" t="str">
            <v>2330</v>
          </cell>
          <cell r="J95">
            <v>407.31</v>
          </cell>
          <cell r="K95">
            <v>407.31</v>
          </cell>
          <cell r="N95">
            <v>0</v>
          </cell>
        </row>
        <row r="96">
          <cell r="I96" t="str">
            <v>2345</v>
          </cell>
          <cell r="J96">
            <v>396.88</v>
          </cell>
          <cell r="K96">
            <v>396.88</v>
          </cell>
          <cell r="N96">
            <v>0</v>
          </cell>
        </row>
        <row r="97">
          <cell r="I97" t="str">
            <v>2400</v>
          </cell>
          <cell r="J97">
            <v>385</v>
          </cell>
          <cell r="K97">
            <v>385</v>
          </cell>
          <cell r="N97">
            <v>0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353.29</v>
          </cell>
          <cell r="K2">
            <v>353.29</v>
          </cell>
          <cell r="N2">
            <v>-31.94</v>
          </cell>
        </row>
        <row r="3">
          <cell r="I3" t="str">
            <v>0030</v>
          </cell>
          <cell r="J3">
            <v>351.14</v>
          </cell>
          <cell r="K3">
            <v>351.14</v>
          </cell>
          <cell r="N3">
            <v>0</v>
          </cell>
        </row>
        <row r="4">
          <cell r="I4" t="str">
            <v>0045</v>
          </cell>
          <cell r="J4">
            <v>350.63</v>
          </cell>
          <cell r="K4">
            <v>350.63</v>
          </cell>
          <cell r="N4">
            <v>0</v>
          </cell>
        </row>
        <row r="5">
          <cell r="I5" t="str">
            <v>0100</v>
          </cell>
          <cell r="J5">
            <v>348.75</v>
          </cell>
          <cell r="K5">
            <v>348.75</v>
          </cell>
          <cell r="N5">
            <v>0</v>
          </cell>
        </row>
        <row r="6">
          <cell r="I6" t="str">
            <v>0115</v>
          </cell>
          <cell r="J6">
            <v>347</v>
          </cell>
          <cell r="K6">
            <v>347</v>
          </cell>
          <cell r="N6">
            <v>0</v>
          </cell>
        </row>
        <row r="7">
          <cell r="I7" t="str">
            <v>0130</v>
          </cell>
          <cell r="J7">
            <v>344</v>
          </cell>
          <cell r="K7">
            <v>344</v>
          </cell>
          <cell r="N7">
            <v>0</v>
          </cell>
        </row>
        <row r="8">
          <cell r="I8" t="str">
            <v>0145</v>
          </cell>
          <cell r="J8">
            <v>344</v>
          </cell>
          <cell r="K8">
            <v>344</v>
          </cell>
          <cell r="N8">
            <v>0</v>
          </cell>
        </row>
        <row r="9">
          <cell r="I9" t="str">
            <v>0200</v>
          </cell>
          <cell r="J9">
            <v>342.09</v>
          </cell>
          <cell r="K9">
            <v>342.09</v>
          </cell>
          <cell r="N9">
            <v>0</v>
          </cell>
        </row>
        <row r="10">
          <cell r="I10" t="str">
            <v>0215</v>
          </cell>
          <cell r="J10">
            <v>356.25</v>
          </cell>
          <cell r="K10">
            <v>356.25</v>
          </cell>
          <cell r="N10">
            <v>0</v>
          </cell>
        </row>
        <row r="11">
          <cell r="I11" t="str">
            <v>0230</v>
          </cell>
          <cell r="J11">
            <v>356.25</v>
          </cell>
          <cell r="K11">
            <v>356.25</v>
          </cell>
          <cell r="N11">
            <v>0</v>
          </cell>
        </row>
        <row r="12">
          <cell r="I12" t="str">
            <v>0245</v>
          </cell>
          <cell r="J12">
            <v>355</v>
          </cell>
          <cell r="K12">
            <v>355</v>
          </cell>
          <cell r="N12">
            <v>0</v>
          </cell>
        </row>
        <row r="13">
          <cell r="I13" t="str">
            <v>0300</v>
          </cell>
          <cell r="J13">
            <v>350</v>
          </cell>
          <cell r="K13">
            <v>350</v>
          </cell>
          <cell r="N13">
            <v>0</v>
          </cell>
        </row>
        <row r="14">
          <cell r="I14" t="str">
            <v>0315</v>
          </cell>
          <cell r="J14">
            <v>350</v>
          </cell>
          <cell r="K14">
            <v>350</v>
          </cell>
          <cell r="N14">
            <v>0</v>
          </cell>
        </row>
        <row r="15">
          <cell r="I15" t="str">
            <v>0330</v>
          </cell>
          <cell r="J15">
            <v>348</v>
          </cell>
          <cell r="K15">
            <v>348</v>
          </cell>
          <cell r="N15">
            <v>0</v>
          </cell>
        </row>
        <row r="16">
          <cell r="I16" t="str">
            <v>0345</v>
          </cell>
          <cell r="J16">
            <v>347.71</v>
          </cell>
          <cell r="K16">
            <v>347.71</v>
          </cell>
          <cell r="N16">
            <v>0</v>
          </cell>
        </row>
        <row r="17">
          <cell r="I17" t="str">
            <v>0400</v>
          </cell>
          <cell r="J17">
            <v>345.77</v>
          </cell>
          <cell r="K17">
            <v>345.77</v>
          </cell>
          <cell r="N17">
            <v>0</v>
          </cell>
        </row>
        <row r="18">
          <cell r="I18" t="str">
            <v>0415</v>
          </cell>
          <cell r="J18">
            <v>346</v>
          </cell>
          <cell r="K18">
            <v>346</v>
          </cell>
          <cell r="N18">
            <v>0</v>
          </cell>
        </row>
        <row r="19">
          <cell r="I19" t="str">
            <v>0430</v>
          </cell>
          <cell r="J19">
            <v>347</v>
          </cell>
          <cell r="K19">
            <v>347</v>
          </cell>
          <cell r="N19">
            <v>0</v>
          </cell>
        </row>
        <row r="20">
          <cell r="I20" t="str">
            <v>0445</v>
          </cell>
          <cell r="J20">
            <v>348</v>
          </cell>
          <cell r="K20">
            <v>348</v>
          </cell>
          <cell r="N20">
            <v>0</v>
          </cell>
        </row>
        <row r="21">
          <cell r="I21" t="str">
            <v>0500</v>
          </cell>
          <cell r="J21">
            <v>350</v>
          </cell>
          <cell r="K21">
            <v>350</v>
          </cell>
          <cell r="N21">
            <v>0</v>
          </cell>
        </row>
        <row r="22">
          <cell r="I22" t="str">
            <v>0515</v>
          </cell>
          <cell r="J22">
            <v>354.38</v>
          </cell>
          <cell r="K22">
            <v>354.38</v>
          </cell>
          <cell r="N22">
            <v>0</v>
          </cell>
        </row>
        <row r="23">
          <cell r="I23" t="str">
            <v>0530</v>
          </cell>
          <cell r="J23">
            <v>350</v>
          </cell>
          <cell r="K23">
            <v>350</v>
          </cell>
          <cell r="N23">
            <v>0</v>
          </cell>
        </row>
        <row r="24">
          <cell r="I24" t="str">
            <v>0545</v>
          </cell>
          <cell r="J24">
            <v>345</v>
          </cell>
          <cell r="K24">
            <v>345</v>
          </cell>
          <cell r="N24">
            <v>0</v>
          </cell>
        </row>
        <row r="25">
          <cell r="I25" t="str">
            <v>0600</v>
          </cell>
          <cell r="J25">
            <v>340.33</v>
          </cell>
          <cell r="K25">
            <v>340.33</v>
          </cell>
          <cell r="N25">
            <v>0</v>
          </cell>
        </row>
        <row r="26">
          <cell r="I26" t="str">
            <v>0615</v>
          </cell>
          <cell r="J26">
            <v>339</v>
          </cell>
          <cell r="K26">
            <v>339</v>
          </cell>
          <cell r="N26">
            <v>0</v>
          </cell>
        </row>
        <row r="27">
          <cell r="I27" t="str">
            <v>0630</v>
          </cell>
          <cell r="J27">
            <v>339</v>
          </cell>
          <cell r="K27">
            <v>339</v>
          </cell>
          <cell r="N27">
            <v>0</v>
          </cell>
        </row>
        <row r="28">
          <cell r="I28" t="str">
            <v>0645</v>
          </cell>
          <cell r="J28">
            <v>340</v>
          </cell>
          <cell r="K28">
            <v>340</v>
          </cell>
          <cell r="N28">
            <v>0</v>
          </cell>
        </row>
        <row r="29">
          <cell r="I29" t="str">
            <v>0700</v>
          </cell>
          <cell r="J29">
            <v>340</v>
          </cell>
          <cell r="K29">
            <v>340</v>
          </cell>
          <cell r="N29">
            <v>0</v>
          </cell>
        </row>
        <row r="30">
          <cell r="I30" t="str">
            <v>0715</v>
          </cell>
          <cell r="J30">
            <v>342</v>
          </cell>
          <cell r="K30">
            <v>342</v>
          </cell>
          <cell r="N30">
            <v>0</v>
          </cell>
        </row>
        <row r="31">
          <cell r="I31" t="str">
            <v>0730</v>
          </cell>
          <cell r="J31">
            <v>356</v>
          </cell>
          <cell r="K31">
            <v>356</v>
          </cell>
          <cell r="N31">
            <v>0</v>
          </cell>
        </row>
        <row r="32">
          <cell r="I32" t="str">
            <v>0745</v>
          </cell>
          <cell r="J32">
            <v>370</v>
          </cell>
          <cell r="K32">
            <v>370</v>
          </cell>
          <cell r="N32">
            <v>0</v>
          </cell>
        </row>
        <row r="33">
          <cell r="I33" t="str">
            <v>0800</v>
          </cell>
          <cell r="J33">
            <v>371.33</v>
          </cell>
          <cell r="K33">
            <v>371.33</v>
          </cell>
          <cell r="N33">
            <v>0</v>
          </cell>
        </row>
        <row r="34">
          <cell r="I34" t="str">
            <v>0815</v>
          </cell>
          <cell r="J34">
            <v>368</v>
          </cell>
          <cell r="K34">
            <v>368</v>
          </cell>
          <cell r="N34">
            <v>0</v>
          </cell>
        </row>
        <row r="35">
          <cell r="I35" t="str">
            <v>0830</v>
          </cell>
          <cell r="J35">
            <v>354</v>
          </cell>
          <cell r="K35">
            <v>354</v>
          </cell>
          <cell r="N35">
            <v>0</v>
          </cell>
        </row>
        <row r="36">
          <cell r="I36" t="str">
            <v>0845</v>
          </cell>
          <cell r="J36">
            <v>339</v>
          </cell>
          <cell r="K36">
            <v>339</v>
          </cell>
          <cell r="N36">
            <v>0</v>
          </cell>
        </row>
        <row r="37">
          <cell r="I37" t="str">
            <v>0900</v>
          </cell>
          <cell r="J37">
            <v>328</v>
          </cell>
          <cell r="K37">
            <v>328</v>
          </cell>
          <cell r="N37">
            <v>0</v>
          </cell>
        </row>
        <row r="38">
          <cell r="I38" t="str">
            <v>0915</v>
          </cell>
          <cell r="J38">
            <v>320.75</v>
          </cell>
          <cell r="K38">
            <v>320.75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224</v>
          </cell>
          <cell r="K40">
            <v>224</v>
          </cell>
          <cell r="N40">
            <v>0</v>
          </cell>
        </row>
        <row r="41">
          <cell r="I41" t="str">
            <v>1000</v>
          </cell>
          <cell r="J41">
            <v>108</v>
          </cell>
          <cell r="K41">
            <v>108</v>
          </cell>
          <cell r="N41">
            <v>0</v>
          </cell>
        </row>
        <row r="42">
          <cell r="I42" t="str">
            <v>1015</v>
          </cell>
          <cell r="J42">
            <v>124.2</v>
          </cell>
          <cell r="K42">
            <v>124.2</v>
          </cell>
          <cell r="N42">
            <v>0</v>
          </cell>
        </row>
        <row r="43">
          <cell r="I43" t="str">
            <v>1030</v>
          </cell>
          <cell r="J43">
            <v>167.4</v>
          </cell>
          <cell r="K43">
            <v>167.4</v>
          </cell>
          <cell r="N43">
            <v>0</v>
          </cell>
        </row>
        <row r="44">
          <cell r="I44" t="str">
            <v>1045</v>
          </cell>
          <cell r="J44">
            <v>124.2</v>
          </cell>
          <cell r="K44">
            <v>124.2</v>
          </cell>
          <cell r="N44">
            <v>0</v>
          </cell>
        </row>
        <row r="45">
          <cell r="I45" t="str">
            <v>1100</v>
          </cell>
          <cell r="J45">
            <v>34.700000000000003</v>
          </cell>
          <cell r="K45">
            <v>34.700000000000003</v>
          </cell>
          <cell r="N45">
            <v>0</v>
          </cell>
        </row>
        <row r="46">
          <cell r="I46" t="str">
            <v>1115</v>
          </cell>
          <cell r="J46">
            <v>143.6</v>
          </cell>
          <cell r="K46">
            <v>143.6</v>
          </cell>
          <cell r="N46">
            <v>0</v>
          </cell>
        </row>
        <row r="47">
          <cell r="I47" t="str">
            <v>1130</v>
          </cell>
          <cell r="J47">
            <v>122.4</v>
          </cell>
          <cell r="K47">
            <v>122.4</v>
          </cell>
          <cell r="N47">
            <v>0</v>
          </cell>
        </row>
        <row r="48">
          <cell r="I48" t="str">
            <v>1145</v>
          </cell>
          <cell r="J48">
            <v>-51.51</v>
          </cell>
          <cell r="K48">
            <v>-51.51</v>
          </cell>
          <cell r="N48">
            <v>0</v>
          </cell>
        </row>
        <row r="49">
          <cell r="I49" t="str">
            <v>1200</v>
          </cell>
          <cell r="J49">
            <v>-58</v>
          </cell>
          <cell r="K49">
            <v>-58</v>
          </cell>
          <cell r="N49">
            <v>0</v>
          </cell>
        </row>
        <row r="50">
          <cell r="I50" t="str">
            <v>1215</v>
          </cell>
          <cell r="J50">
            <v>-24.26</v>
          </cell>
          <cell r="K50">
            <v>-24.26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-100</v>
          </cell>
        </row>
        <row r="52">
          <cell r="I52" t="str">
            <v>1245</v>
          </cell>
          <cell r="J52">
            <v>-14.4</v>
          </cell>
          <cell r="K52">
            <v>-14.4</v>
          </cell>
          <cell r="N52">
            <v>-95</v>
          </cell>
        </row>
        <row r="53">
          <cell r="I53" t="str">
            <v>1300</v>
          </cell>
          <cell r="J53">
            <v>0</v>
          </cell>
          <cell r="K53">
            <v>0</v>
          </cell>
          <cell r="N53">
            <v>-95</v>
          </cell>
        </row>
        <row r="54">
          <cell r="I54" t="str">
            <v>1315</v>
          </cell>
          <cell r="J54">
            <v>69.400000000000006</v>
          </cell>
          <cell r="K54">
            <v>69.400000000000006</v>
          </cell>
          <cell r="N54">
            <v>-69.760000000000005</v>
          </cell>
        </row>
        <row r="55">
          <cell r="I55" t="str">
            <v>1330</v>
          </cell>
          <cell r="J55">
            <v>34.700000000000003</v>
          </cell>
          <cell r="K55">
            <v>34.700000000000003</v>
          </cell>
          <cell r="N55">
            <v>-69.760000000000005</v>
          </cell>
        </row>
        <row r="56">
          <cell r="I56" t="str">
            <v>1345</v>
          </cell>
          <cell r="J56">
            <v>34.700000000000003</v>
          </cell>
          <cell r="K56">
            <v>34.700000000000003</v>
          </cell>
          <cell r="N56">
            <v>-69.760000000000005</v>
          </cell>
        </row>
        <row r="57">
          <cell r="I57" t="str">
            <v>1400</v>
          </cell>
          <cell r="J57">
            <v>34.700000000000003</v>
          </cell>
          <cell r="K57">
            <v>34.700000000000003</v>
          </cell>
          <cell r="N57">
            <v>-69.760000000000005</v>
          </cell>
        </row>
        <row r="58">
          <cell r="I58" t="str">
            <v>1415</v>
          </cell>
          <cell r="J58">
            <v>34.700000000000003</v>
          </cell>
          <cell r="K58">
            <v>34.700000000000003</v>
          </cell>
          <cell r="N58">
            <v>0</v>
          </cell>
        </row>
        <row r="59">
          <cell r="I59" t="str">
            <v>1430</v>
          </cell>
          <cell r="J59">
            <v>91.8</v>
          </cell>
          <cell r="K59">
            <v>91.8</v>
          </cell>
          <cell r="N59">
            <v>0</v>
          </cell>
        </row>
        <row r="60">
          <cell r="I60" t="str">
            <v>1445</v>
          </cell>
          <cell r="J60">
            <v>124.2</v>
          </cell>
          <cell r="K60">
            <v>124.2</v>
          </cell>
          <cell r="N60">
            <v>0</v>
          </cell>
        </row>
        <row r="61">
          <cell r="I61" t="str">
            <v>1500</v>
          </cell>
          <cell r="J61">
            <v>124.2</v>
          </cell>
          <cell r="K61">
            <v>124.2</v>
          </cell>
          <cell r="N61">
            <v>0</v>
          </cell>
        </row>
        <row r="62">
          <cell r="I62" t="str">
            <v>1515</v>
          </cell>
          <cell r="J62">
            <v>104</v>
          </cell>
          <cell r="K62">
            <v>104</v>
          </cell>
          <cell r="N62">
            <v>0</v>
          </cell>
        </row>
        <row r="63">
          <cell r="I63" t="str">
            <v>1530</v>
          </cell>
          <cell r="J63">
            <v>316</v>
          </cell>
          <cell r="K63">
            <v>316</v>
          </cell>
          <cell r="N63">
            <v>0</v>
          </cell>
        </row>
        <row r="64">
          <cell r="I64" t="str">
            <v>1545</v>
          </cell>
          <cell r="J64">
            <v>330</v>
          </cell>
          <cell r="K64">
            <v>330</v>
          </cell>
          <cell r="N64">
            <v>0</v>
          </cell>
        </row>
        <row r="65">
          <cell r="I65" t="str">
            <v>1600</v>
          </cell>
          <cell r="J65">
            <v>334.38</v>
          </cell>
          <cell r="K65">
            <v>334.38</v>
          </cell>
          <cell r="N65">
            <v>0</v>
          </cell>
        </row>
        <row r="66">
          <cell r="I66" t="str">
            <v>1615</v>
          </cell>
          <cell r="J66">
            <v>345</v>
          </cell>
          <cell r="K66">
            <v>345</v>
          </cell>
          <cell r="N66">
            <v>28.68</v>
          </cell>
        </row>
        <row r="67">
          <cell r="I67" t="str">
            <v>1630</v>
          </cell>
          <cell r="J67">
            <v>354.38</v>
          </cell>
          <cell r="K67">
            <v>354.38</v>
          </cell>
          <cell r="N67">
            <v>28.68</v>
          </cell>
        </row>
        <row r="68">
          <cell r="I68" t="str">
            <v>1645</v>
          </cell>
          <cell r="J68">
            <v>367.03</v>
          </cell>
          <cell r="K68">
            <v>367.03</v>
          </cell>
          <cell r="N68">
            <v>28.68</v>
          </cell>
        </row>
        <row r="69">
          <cell r="I69" t="str">
            <v>1700</v>
          </cell>
          <cell r="J69">
            <v>370</v>
          </cell>
          <cell r="K69">
            <v>370</v>
          </cell>
          <cell r="N69">
            <v>28.68</v>
          </cell>
        </row>
        <row r="70">
          <cell r="I70" t="str">
            <v>1715</v>
          </cell>
          <cell r="J70">
            <v>371.47</v>
          </cell>
          <cell r="K70">
            <v>371.47</v>
          </cell>
          <cell r="N70">
            <v>28.68</v>
          </cell>
        </row>
        <row r="71">
          <cell r="I71" t="str">
            <v>1730</v>
          </cell>
          <cell r="J71">
            <v>368.33</v>
          </cell>
          <cell r="K71">
            <v>368.33</v>
          </cell>
          <cell r="N71">
            <v>28.68</v>
          </cell>
        </row>
        <row r="72">
          <cell r="I72" t="str">
            <v>1745</v>
          </cell>
          <cell r="J72">
            <v>362.7</v>
          </cell>
          <cell r="K72">
            <v>362.7</v>
          </cell>
          <cell r="N72">
            <v>28.68</v>
          </cell>
        </row>
        <row r="73">
          <cell r="I73" t="str">
            <v>1800</v>
          </cell>
          <cell r="J73">
            <v>362.7</v>
          </cell>
          <cell r="K73">
            <v>362.7</v>
          </cell>
          <cell r="N73">
            <v>28.68</v>
          </cell>
        </row>
        <row r="74">
          <cell r="I74" t="str">
            <v>1815</v>
          </cell>
          <cell r="J74">
            <v>362.7</v>
          </cell>
          <cell r="K74">
            <v>362.7</v>
          </cell>
          <cell r="N74">
            <v>28.68</v>
          </cell>
        </row>
        <row r="75">
          <cell r="I75" t="str">
            <v>1830</v>
          </cell>
          <cell r="J75">
            <v>362.7</v>
          </cell>
          <cell r="K75">
            <v>362.7</v>
          </cell>
          <cell r="N75">
            <v>28.68</v>
          </cell>
        </row>
        <row r="76">
          <cell r="I76" t="str">
            <v>1845</v>
          </cell>
          <cell r="J76">
            <v>362.7</v>
          </cell>
          <cell r="K76">
            <v>362.7</v>
          </cell>
          <cell r="N76">
            <v>28.68</v>
          </cell>
        </row>
        <row r="77">
          <cell r="I77" t="str">
            <v>1900</v>
          </cell>
          <cell r="J77">
            <v>362.7</v>
          </cell>
          <cell r="K77">
            <v>362.7</v>
          </cell>
          <cell r="N77">
            <v>28.68</v>
          </cell>
        </row>
        <row r="78">
          <cell r="I78" t="str">
            <v>1915</v>
          </cell>
          <cell r="J78">
            <v>362.7</v>
          </cell>
          <cell r="K78">
            <v>362.7</v>
          </cell>
          <cell r="N78">
            <v>28.68</v>
          </cell>
        </row>
        <row r="79">
          <cell r="I79" t="str">
            <v>1930</v>
          </cell>
          <cell r="J79">
            <v>362.7</v>
          </cell>
          <cell r="K79">
            <v>362.7</v>
          </cell>
          <cell r="N79">
            <v>28.68</v>
          </cell>
        </row>
        <row r="80">
          <cell r="I80" t="str">
            <v>1945</v>
          </cell>
          <cell r="J80">
            <v>362.7</v>
          </cell>
          <cell r="K80">
            <v>362.7</v>
          </cell>
          <cell r="N80">
            <v>28.68</v>
          </cell>
        </row>
        <row r="81">
          <cell r="I81" t="str">
            <v>2000</v>
          </cell>
          <cell r="J81">
            <v>362.7</v>
          </cell>
          <cell r="K81">
            <v>362.7</v>
          </cell>
          <cell r="N81">
            <v>28.68</v>
          </cell>
        </row>
        <row r="82">
          <cell r="I82" t="str">
            <v>2015</v>
          </cell>
          <cell r="J82">
            <v>362.7</v>
          </cell>
          <cell r="K82">
            <v>362.7</v>
          </cell>
          <cell r="N82">
            <v>28.68</v>
          </cell>
        </row>
        <row r="83">
          <cell r="I83" t="str">
            <v>2030</v>
          </cell>
          <cell r="J83">
            <v>362.7</v>
          </cell>
          <cell r="K83">
            <v>362.7</v>
          </cell>
          <cell r="N83">
            <v>28.68</v>
          </cell>
        </row>
        <row r="84">
          <cell r="I84" t="str">
            <v>2045</v>
          </cell>
          <cell r="J84">
            <v>362.7</v>
          </cell>
          <cell r="K84">
            <v>362.7</v>
          </cell>
          <cell r="N84">
            <v>28.68</v>
          </cell>
        </row>
        <row r="85">
          <cell r="I85" t="str">
            <v>2100</v>
          </cell>
          <cell r="J85">
            <v>362.7</v>
          </cell>
          <cell r="K85">
            <v>362.7</v>
          </cell>
          <cell r="N85">
            <v>28.68</v>
          </cell>
        </row>
        <row r="86">
          <cell r="I86" t="str">
            <v>2115</v>
          </cell>
          <cell r="J86">
            <v>362.7</v>
          </cell>
          <cell r="K86">
            <v>362.7</v>
          </cell>
          <cell r="N86">
            <v>28.68</v>
          </cell>
        </row>
        <row r="87">
          <cell r="I87" t="str">
            <v>2130</v>
          </cell>
          <cell r="J87">
            <v>362.7</v>
          </cell>
          <cell r="K87">
            <v>362.7</v>
          </cell>
          <cell r="N87">
            <v>28.68</v>
          </cell>
        </row>
        <row r="88">
          <cell r="I88" t="str">
            <v>2145</v>
          </cell>
          <cell r="J88">
            <v>362.7</v>
          </cell>
          <cell r="K88">
            <v>362.7</v>
          </cell>
          <cell r="N88">
            <v>28.68</v>
          </cell>
        </row>
        <row r="89">
          <cell r="I89" t="str">
            <v>2200</v>
          </cell>
          <cell r="J89">
            <v>362.7</v>
          </cell>
          <cell r="K89">
            <v>362.7</v>
          </cell>
          <cell r="N89">
            <v>0</v>
          </cell>
        </row>
        <row r="90">
          <cell r="I90" t="str">
            <v>2215</v>
          </cell>
          <cell r="J90">
            <v>360</v>
          </cell>
          <cell r="K90">
            <v>360</v>
          </cell>
          <cell r="N90">
            <v>0</v>
          </cell>
        </row>
        <row r="91">
          <cell r="I91" t="str">
            <v>2230</v>
          </cell>
          <cell r="J91">
            <v>352.5</v>
          </cell>
          <cell r="K91">
            <v>352.5</v>
          </cell>
          <cell r="N91">
            <v>0</v>
          </cell>
        </row>
        <row r="92">
          <cell r="I92" t="str">
            <v>2245</v>
          </cell>
          <cell r="J92">
            <v>346.88</v>
          </cell>
          <cell r="K92">
            <v>346.88</v>
          </cell>
          <cell r="N92">
            <v>0</v>
          </cell>
        </row>
        <row r="93">
          <cell r="I93" t="str">
            <v>2300</v>
          </cell>
          <cell r="J93">
            <v>340</v>
          </cell>
          <cell r="K93">
            <v>340</v>
          </cell>
          <cell r="N93">
            <v>0</v>
          </cell>
        </row>
        <row r="94">
          <cell r="I94" t="str">
            <v>2315</v>
          </cell>
          <cell r="J94">
            <v>340.5</v>
          </cell>
          <cell r="K94">
            <v>340.5</v>
          </cell>
          <cell r="N94">
            <v>0</v>
          </cell>
        </row>
        <row r="95">
          <cell r="I95" t="str">
            <v>2330</v>
          </cell>
          <cell r="J95">
            <v>336</v>
          </cell>
          <cell r="K95">
            <v>336</v>
          </cell>
          <cell r="N95">
            <v>0</v>
          </cell>
        </row>
        <row r="96">
          <cell r="I96" t="str">
            <v>2345</v>
          </cell>
          <cell r="J96">
            <v>332</v>
          </cell>
          <cell r="K96">
            <v>332</v>
          </cell>
          <cell r="N96">
            <v>0</v>
          </cell>
        </row>
        <row r="97">
          <cell r="I97" t="str">
            <v>2400</v>
          </cell>
          <cell r="J97">
            <v>328</v>
          </cell>
          <cell r="K97">
            <v>328</v>
          </cell>
          <cell r="N97">
            <v>0</v>
          </cell>
        </row>
      </sheetData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301</v>
          </cell>
          <cell r="K2">
            <v>301</v>
          </cell>
          <cell r="N2">
            <v>-0.06</v>
          </cell>
        </row>
        <row r="3">
          <cell r="I3" t="str">
            <v>0030</v>
          </cell>
          <cell r="J3">
            <v>294</v>
          </cell>
          <cell r="K3">
            <v>294</v>
          </cell>
          <cell r="N3">
            <v>0</v>
          </cell>
        </row>
        <row r="4">
          <cell r="I4" t="str">
            <v>0045</v>
          </cell>
          <cell r="J4">
            <v>290</v>
          </cell>
          <cell r="K4">
            <v>290</v>
          </cell>
          <cell r="N4">
            <v>0</v>
          </cell>
        </row>
        <row r="5">
          <cell r="I5" t="str">
            <v>0100</v>
          </cell>
          <cell r="J5">
            <v>284</v>
          </cell>
          <cell r="K5">
            <v>284</v>
          </cell>
          <cell r="N5">
            <v>0</v>
          </cell>
        </row>
        <row r="6">
          <cell r="I6" t="str">
            <v>0115</v>
          </cell>
          <cell r="J6">
            <v>281</v>
          </cell>
          <cell r="K6">
            <v>281</v>
          </cell>
          <cell r="N6">
            <v>0</v>
          </cell>
        </row>
        <row r="7">
          <cell r="I7" t="str">
            <v>0130</v>
          </cell>
          <cell r="J7">
            <v>275.63</v>
          </cell>
          <cell r="K7">
            <v>275.63</v>
          </cell>
          <cell r="N7">
            <v>0</v>
          </cell>
        </row>
        <row r="8">
          <cell r="I8" t="str">
            <v>0145</v>
          </cell>
          <cell r="J8">
            <v>270</v>
          </cell>
          <cell r="K8">
            <v>270</v>
          </cell>
          <cell r="N8">
            <v>0</v>
          </cell>
        </row>
        <row r="9">
          <cell r="I9" t="str">
            <v>0200</v>
          </cell>
          <cell r="J9">
            <v>270</v>
          </cell>
          <cell r="K9">
            <v>270</v>
          </cell>
          <cell r="N9">
            <v>0</v>
          </cell>
        </row>
        <row r="10">
          <cell r="I10" t="str">
            <v>0215</v>
          </cell>
          <cell r="J10">
            <v>286</v>
          </cell>
          <cell r="K10">
            <v>286</v>
          </cell>
          <cell r="N10">
            <v>0</v>
          </cell>
        </row>
        <row r="11">
          <cell r="I11" t="str">
            <v>0230</v>
          </cell>
          <cell r="J11">
            <v>282</v>
          </cell>
          <cell r="K11">
            <v>282</v>
          </cell>
          <cell r="N11">
            <v>0</v>
          </cell>
        </row>
        <row r="12">
          <cell r="I12" t="str">
            <v>0245</v>
          </cell>
          <cell r="J12">
            <v>276</v>
          </cell>
          <cell r="K12">
            <v>276</v>
          </cell>
          <cell r="N12">
            <v>0</v>
          </cell>
        </row>
        <row r="13">
          <cell r="I13" t="str">
            <v>0300</v>
          </cell>
          <cell r="J13">
            <v>270</v>
          </cell>
          <cell r="K13">
            <v>270</v>
          </cell>
          <cell r="N13">
            <v>0</v>
          </cell>
        </row>
        <row r="14">
          <cell r="I14" t="str">
            <v>0315</v>
          </cell>
          <cell r="J14">
            <v>270</v>
          </cell>
          <cell r="K14">
            <v>270</v>
          </cell>
          <cell r="N14">
            <v>0</v>
          </cell>
        </row>
        <row r="15">
          <cell r="I15" t="str">
            <v>0330</v>
          </cell>
          <cell r="J15">
            <v>266</v>
          </cell>
          <cell r="K15">
            <v>266</v>
          </cell>
          <cell r="N15">
            <v>0</v>
          </cell>
        </row>
        <row r="16">
          <cell r="I16" t="str">
            <v>0345</v>
          </cell>
          <cell r="J16">
            <v>262</v>
          </cell>
          <cell r="K16">
            <v>262</v>
          </cell>
          <cell r="N16">
            <v>0</v>
          </cell>
        </row>
        <row r="17">
          <cell r="I17" t="str">
            <v>0400</v>
          </cell>
          <cell r="J17">
            <v>246</v>
          </cell>
          <cell r="K17">
            <v>246</v>
          </cell>
          <cell r="N17">
            <v>0</v>
          </cell>
        </row>
        <row r="18">
          <cell r="I18" t="str">
            <v>0415</v>
          </cell>
          <cell r="J18">
            <v>229.6</v>
          </cell>
          <cell r="K18">
            <v>229.6</v>
          </cell>
          <cell r="N18">
            <v>0</v>
          </cell>
        </row>
        <row r="19">
          <cell r="I19" t="str">
            <v>0430</v>
          </cell>
          <cell r="J19">
            <v>186.4</v>
          </cell>
          <cell r="K19">
            <v>186.4</v>
          </cell>
          <cell r="N19">
            <v>0</v>
          </cell>
        </row>
        <row r="20">
          <cell r="I20" t="str">
            <v>0445</v>
          </cell>
          <cell r="J20">
            <v>181.6</v>
          </cell>
          <cell r="K20">
            <v>181.6</v>
          </cell>
          <cell r="N20">
            <v>0</v>
          </cell>
        </row>
        <row r="21">
          <cell r="I21" t="str">
            <v>0500</v>
          </cell>
          <cell r="J21">
            <v>188</v>
          </cell>
          <cell r="K21">
            <v>188</v>
          </cell>
          <cell r="N21">
            <v>0</v>
          </cell>
        </row>
        <row r="22">
          <cell r="I22" t="str">
            <v>0515</v>
          </cell>
          <cell r="J22">
            <v>251</v>
          </cell>
          <cell r="K22">
            <v>251</v>
          </cell>
          <cell r="N22">
            <v>0</v>
          </cell>
        </row>
        <row r="23">
          <cell r="I23" t="str">
            <v>0530</v>
          </cell>
          <cell r="J23">
            <v>148.53</v>
          </cell>
          <cell r="K23">
            <v>148.53</v>
          </cell>
          <cell r="N23">
            <v>0</v>
          </cell>
        </row>
        <row r="24">
          <cell r="I24" t="str">
            <v>0545</v>
          </cell>
          <cell r="J24">
            <v>144.80000000000001</v>
          </cell>
          <cell r="K24">
            <v>144.80000000000001</v>
          </cell>
          <cell r="N24">
            <v>0</v>
          </cell>
        </row>
        <row r="25">
          <cell r="I25" t="str">
            <v>0600</v>
          </cell>
          <cell r="J25">
            <v>144.80000000000001</v>
          </cell>
          <cell r="K25">
            <v>144.80000000000001</v>
          </cell>
          <cell r="N25">
            <v>-2.23</v>
          </cell>
        </row>
        <row r="26">
          <cell r="I26" t="str">
            <v>0615</v>
          </cell>
          <cell r="J26">
            <v>144.80000000000001</v>
          </cell>
          <cell r="K26">
            <v>144.80000000000001</v>
          </cell>
          <cell r="N26">
            <v>-2.23</v>
          </cell>
        </row>
        <row r="27">
          <cell r="I27" t="str">
            <v>0630</v>
          </cell>
          <cell r="J27">
            <v>144.80000000000001</v>
          </cell>
          <cell r="K27">
            <v>144.80000000000001</v>
          </cell>
          <cell r="N27">
            <v>-2.23</v>
          </cell>
        </row>
        <row r="28">
          <cell r="I28" t="str">
            <v>0645</v>
          </cell>
          <cell r="J28">
            <v>144.80000000000001</v>
          </cell>
          <cell r="K28">
            <v>144.80000000000001</v>
          </cell>
          <cell r="N28">
            <v>-2.23</v>
          </cell>
        </row>
        <row r="29">
          <cell r="I29" t="str">
            <v>0700</v>
          </cell>
          <cell r="J29">
            <v>54.4</v>
          </cell>
          <cell r="K29">
            <v>54.4</v>
          </cell>
          <cell r="N29">
            <v>-2.23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280</v>
          </cell>
          <cell r="K31">
            <v>280</v>
          </cell>
          <cell r="N31">
            <v>0</v>
          </cell>
        </row>
        <row r="32">
          <cell r="I32" t="str">
            <v>0745</v>
          </cell>
          <cell r="J32">
            <v>284.41000000000003</v>
          </cell>
          <cell r="K32">
            <v>284.41000000000003</v>
          </cell>
          <cell r="N32">
            <v>0</v>
          </cell>
        </row>
        <row r="33">
          <cell r="I33" t="str">
            <v>0800</v>
          </cell>
          <cell r="J33">
            <v>286.39</v>
          </cell>
          <cell r="K33">
            <v>286.39</v>
          </cell>
          <cell r="N33">
            <v>0</v>
          </cell>
        </row>
        <row r="34">
          <cell r="I34" t="str">
            <v>0815</v>
          </cell>
          <cell r="J34">
            <v>284.41000000000003</v>
          </cell>
          <cell r="K34">
            <v>284.41000000000003</v>
          </cell>
          <cell r="N34">
            <v>0</v>
          </cell>
        </row>
        <row r="35">
          <cell r="I35" t="str">
            <v>0830</v>
          </cell>
          <cell r="J35">
            <v>284.60000000000002</v>
          </cell>
          <cell r="K35">
            <v>284.60000000000002</v>
          </cell>
          <cell r="N35">
            <v>0</v>
          </cell>
        </row>
        <row r="36">
          <cell r="I36" t="str">
            <v>0845</v>
          </cell>
          <cell r="J36">
            <v>284</v>
          </cell>
          <cell r="K36">
            <v>284</v>
          </cell>
          <cell r="N36">
            <v>0</v>
          </cell>
        </row>
        <row r="37">
          <cell r="I37" t="str">
            <v>0900</v>
          </cell>
          <cell r="J37">
            <v>283.33</v>
          </cell>
          <cell r="K37">
            <v>283.33</v>
          </cell>
          <cell r="N37">
            <v>0</v>
          </cell>
        </row>
        <row r="38">
          <cell r="I38" t="str">
            <v>0915</v>
          </cell>
          <cell r="J38">
            <v>280</v>
          </cell>
          <cell r="K38">
            <v>280</v>
          </cell>
          <cell r="N38">
            <v>0</v>
          </cell>
        </row>
        <row r="39">
          <cell r="I39" t="str">
            <v>0930</v>
          </cell>
          <cell r="J39">
            <v>272.8</v>
          </cell>
          <cell r="K39">
            <v>272.8</v>
          </cell>
          <cell r="N39">
            <v>0</v>
          </cell>
        </row>
        <row r="40">
          <cell r="I40" t="str">
            <v>0945</v>
          </cell>
          <cell r="J40">
            <v>272.8</v>
          </cell>
          <cell r="K40">
            <v>272.8</v>
          </cell>
          <cell r="N40">
            <v>0</v>
          </cell>
        </row>
        <row r="41">
          <cell r="I41" t="str">
            <v>1000</v>
          </cell>
          <cell r="J41">
            <v>240.42</v>
          </cell>
          <cell r="K41">
            <v>240.42</v>
          </cell>
          <cell r="N41">
            <v>0</v>
          </cell>
        </row>
        <row r="42">
          <cell r="I42" t="str">
            <v>1015</v>
          </cell>
          <cell r="J42">
            <v>270</v>
          </cell>
          <cell r="K42">
            <v>270</v>
          </cell>
          <cell r="N42">
            <v>0</v>
          </cell>
        </row>
        <row r="43">
          <cell r="I43" t="str">
            <v>1030</v>
          </cell>
          <cell r="J43">
            <v>264</v>
          </cell>
          <cell r="K43">
            <v>264</v>
          </cell>
          <cell r="N43">
            <v>0</v>
          </cell>
        </row>
        <row r="44">
          <cell r="I44" t="str">
            <v>1045</v>
          </cell>
          <cell r="J44">
            <v>144.80000000000001</v>
          </cell>
          <cell r="K44">
            <v>144.80000000000001</v>
          </cell>
          <cell r="N44">
            <v>0</v>
          </cell>
        </row>
        <row r="45">
          <cell r="I45" t="str">
            <v>1100</v>
          </cell>
          <cell r="J45">
            <v>144.80000000000001</v>
          </cell>
          <cell r="K45">
            <v>144.80000000000001</v>
          </cell>
          <cell r="N45">
            <v>0</v>
          </cell>
        </row>
        <row r="46">
          <cell r="I46" t="str">
            <v>1115</v>
          </cell>
          <cell r="J46">
            <v>167.4</v>
          </cell>
          <cell r="K46">
            <v>167.4</v>
          </cell>
          <cell r="N46">
            <v>0</v>
          </cell>
        </row>
        <row r="47">
          <cell r="I47" t="str">
            <v>1130</v>
          </cell>
          <cell r="J47">
            <v>149.6</v>
          </cell>
          <cell r="K47">
            <v>149.6</v>
          </cell>
          <cell r="N47">
            <v>-44.18</v>
          </cell>
        </row>
        <row r="48">
          <cell r="I48" t="str">
            <v>1145</v>
          </cell>
          <cell r="J48">
            <v>148.80000000000001</v>
          </cell>
          <cell r="K48">
            <v>148.80000000000001</v>
          </cell>
          <cell r="N48">
            <v>-44.18</v>
          </cell>
        </row>
        <row r="49">
          <cell r="I49" t="str">
            <v>1200</v>
          </cell>
          <cell r="J49">
            <v>113.4</v>
          </cell>
          <cell r="K49">
            <v>113.4</v>
          </cell>
          <cell r="N49">
            <v>-95</v>
          </cell>
        </row>
        <row r="50">
          <cell r="I50" t="str">
            <v>1215</v>
          </cell>
          <cell r="J50">
            <v>144.80000000000001</v>
          </cell>
          <cell r="K50">
            <v>144.80000000000001</v>
          </cell>
          <cell r="N50">
            <v>-95</v>
          </cell>
        </row>
        <row r="51">
          <cell r="I51" t="str">
            <v>1230</v>
          </cell>
          <cell r="J51">
            <v>124.8</v>
          </cell>
          <cell r="K51">
            <v>124.8</v>
          </cell>
          <cell r="N51">
            <v>-95</v>
          </cell>
        </row>
        <row r="52">
          <cell r="I52" t="str">
            <v>1245</v>
          </cell>
          <cell r="J52">
            <v>144.80000000000001</v>
          </cell>
          <cell r="K52">
            <v>144.80000000000001</v>
          </cell>
          <cell r="N52">
            <v>-95</v>
          </cell>
        </row>
        <row r="53">
          <cell r="I53" t="str">
            <v>1300</v>
          </cell>
          <cell r="J53">
            <v>108</v>
          </cell>
          <cell r="K53">
            <v>108</v>
          </cell>
          <cell r="N53">
            <v>-95</v>
          </cell>
        </row>
        <row r="54">
          <cell r="I54" t="str">
            <v>1315</v>
          </cell>
          <cell r="J54">
            <v>181.6</v>
          </cell>
          <cell r="K54">
            <v>181.6</v>
          </cell>
          <cell r="N54">
            <v>-95</v>
          </cell>
        </row>
        <row r="55">
          <cell r="I55" t="str">
            <v>1330</v>
          </cell>
          <cell r="J55">
            <v>144.80000000000001</v>
          </cell>
          <cell r="K55">
            <v>144.80000000000001</v>
          </cell>
          <cell r="N55">
            <v>-10.46</v>
          </cell>
        </row>
        <row r="56">
          <cell r="I56" t="str">
            <v>1345</v>
          </cell>
          <cell r="J56">
            <v>156.25</v>
          </cell>
          <cell r="K56">
            <v>156.25</v>
          </cell>
          <cell r="N56">
            <v>0</v>
          </cell>
        </row>
        <row r="57">
          <cell r="I57" t="str">
            <v>1400</v>
          </cell>
          <cell r="J57">
            <v>282</v>
          </cell>
          <cell r="K57">
            <v>282</v>
          </cell>
          <cell r="N57">
            <v>0</v>
          </cell>
        </row>
        <row r="58">
          <cell r="I58" t="str">
            <v>1415</v>
          </cell>
          <cell r="J58">
            <v>284</v>
          </cell>
          <cell r="K58">
            <v>284</v>
          </cell>
          <cell r="N58">
            <v>0</v>
          </cell>
        </row>
        <row r="59">
          <cell r="I59" t="str">
            <v>1430</v>
          </cell>
          <cell r="J59">
            <v>287.5</v>
          </cell>
          <cell r="K59">
            <v>287.5</v>
          </cell>
          <cell r="N59">
            <v>0</v>
          </cell>
        </row>
        <row r="60">
          <cell r="I60" t="str">
            <v>1445</v>
          </cell>
          <cell r="J60">
            <v>293.88</v>
          </cell>
          <cell r="K60">
            <v>293.88</v>
          </cell>
          <cell r="N60">
            <v>0</v>
          </cell>
        </row>
        <row r="61">
          <cell r="I61" t="str">
            <v>1500</v>
          </cell>
          <cell r="J61">
            <v>296</v>
          </cell>
          <cell r="K61">
            <v>296</v>
          </cell>
          <cell r="N61">
            <v>0</v>
          </cell>
        </row>
        <row r="62">
          <cell r="I62" t="str">
            <v>1515</v>
          </cell>
          <cell r="J62">
            <v>299.62</v>
          </cell>
          <cell r="K62">
            <v>299.62</v>
          </cell>
          <cell r="N62">
            <v>0</v>
          </cell>
        </row>
        <row r="63">
          <cell r="I63" t="str">
            <v>1530</v>
          </cell>
          <cell r="J63">
            <v>307</v>
          </cell>
          <cell r="K63">
            <v>307</v>
          </cell>
          <cell r="N63">
            <v>0</v>
          </cell>
        </row>
        <row r="64">
          <cell r="I64" t="str">
            <v>1545</v>
          </cell>
          <cell r="J64">
            <v>312</v>
          </cell>
          <cell r="K64">
            <v>312</v>
          </cell>
          <cell r="N64">
            <v>0</v>
          </cell>
        </row>
        <row r="65">
          <cell r="I65" t="str">
            <v>1600</v>
          </cell>
          <cell r="J65">
            <v>314</v>
          </cell>
          <cell r="K65">
            <v>314</v>
          </cell>
          <cell r="N65">
            <v>0</v>
          </cell>
        </row>
        <row r="66">
          <cell r="I66" t="str">
            <v>1615</v>
          </cell>
          <cell r="J66">
            <v>321.14</v>
          </cell>
          <cell r="K66">
            <v>321.14</v>
          </cell>
          <cell r="N66">
            <v>0</v>
          </cell>
        </row>
        <row r="67">
          <cell r="I67" t="str">
            <v>1630</v>
          </cell>
          <cell r="J67">
            <v>327.31</v>
          </cell>
          <cell r="K67">
            <v>327.31</v>
          </cell>
          <cell r="N67">
            <v>0</v>
          </cell>
        </row>
        <row r="68">
          <cell r="I68" t="str">
            <v>1645</v>
          </cell>
          <cell r="J68">
            <v>344</v>
          </cell>
          <cell r="K68">
            <v>344</v>
          </cell>
          <cell r="N68">
            <v>0</v>
          </cell>
        </row>
        <row r="69">
          <cell r="I69" t="str">
            <v>1700</v>
          </cell>
          <cell r="J69">
            <v>352</v>
          </cell>
          <cell r="K69">
            <v>352</v>
          </cell>
          <cell r="N69">
            <v>0</v>
          </cell>
        </row>
        <row r="70">
          <cell r="I70" t="str">
            <v>1715</v>
          </cell>
          <cell r="J70">
            <v>366.84</v>
          </cell>
          <cell r="K70">
            <v>366.84</v>
          </cell>
          <cell r="N70">
            <v>0</v>
          </cell>
        </row>
        <row r="71">
          <cell r="I71" t="str">
            <v>1730</v>
          </cell>
          <cell r="J71">
            <v>373.16</v>
          </cell>
          <cell r="K71">
            <v>373.16</v>
          </cell>
          <cell r="N71">
            <v>0</v>
          </cell>
        </row>
        <row r="72">
          <cell r="I72" t="str">
            <v>1745</v>
          </cell>
          <cell r="J72">
            <v>370</v>
          </cell>
          <cell r="K72">
            <v>370</v>
          </cell>
          <cell r="N72">
            <v>74.040000000000006</v>
          </cell>
        </row>
        <row r="73">
          <cell r="I73" t="str">
            <v>1800</v>
          </cell>
          <cell r="J73">
            <v>370</v>
          </cell>
          <cell r="K73">
            <v>370</v>
          </cell>
          <cell r="N73">
            <v>74.040000000000006</v>
          </cell>
        </row>
        <row r="74">
          <cell r="I74" t="str">
            <v>1815</v>
          </cell>
          <cell r="J74">
            <v>370</v>
          </cell>
          <cell r="K74">
            <v>370</v>
          </cell>
          <cell r="N74">
            <v>74.040000000000006</v>
          </cell>
        </row>
        <row r="75">
          <cell r="I75" t="str">
            <v>1830</v>
          </cell>
          <cell r="J75">
            <v>370</v>
          </cell>
          <cell r="K75">
            <v>370</v>
          </cell>
          <cell r="N75">
            <v>74.040000000000006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74.040000000000006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74.040000000000006</v>
          </cell>
        </row>
        <row r="78">
          <cell r="I78" t="str">
            <v>1915</v>
          </cell>
          <cell r="J78">
            <v>370</v>
          </cell>
          <cell r="K78">
            <v>370</v>
          </cell>
          <cell r="N78">
            <v>74.040000000000006</v>
          </cell>
        </row>
        <row r="79">
          <cell r="I79" t="str">
            <v>1930</v>
          </cell>
          <cell r="J79">
            <v>370</v>
          </cell>
          <cell r="K79">
            <v>370</v>
          </cell>
          <cell r="N79">
            <v>74.040000000000006</v>
          </cell>
        </row>
        <row r="80">
          <cell r="I80" t="str">
            <v>1945</v>
          </cell>
          <cell r="J80">
            <v>370</v>
          </cell>
          <cell r="K80">
            <v>370</v>
          </cell>
          <cell r="N80">
            <v>74.040000000000006</v>
          </cell>
        </row>
        <row r="81">
          <cell r="I81" t="str">
            <v>2000</v>
          </cell>
          <cell r="J81">
            <v>370</v>
          </cell>
          <cell r="K81">
            <v>370</v>
          </cell>
          <cell r="N81">
            <v>0</v>
          </cell>
        </row>
        <row r="82">
          <cell r="I82" t="str">
            <v>2015</v>
          </cell>
          <cell r="J82">
            <v>370</v>
          </cell>
          <cell r="K82">
            <v>370</v>
          </cell>
          <cell r="N82">
            <v>0</v>
          </cell>
        </row>
        <row r="83">
          <cell r="I83" t="str">
            <v>2030</v>
          </cell>
          <cell r="J83">
            <v>370</v>
          </cell>
          <cell r="K83">
            <v>370</v>
          </cell>
          <cell r="N83">
            <v>0</v>
          </cell>
        </row>
        <row r="84">
          <cell r="I84" t="str">
            <v>2045</v>
          </cell>
          <cell r="J84">
            <v>370</v>
          </cell>
          <cell r="K84">
            <v>370</v>
          </cell>
          <cell r="N84">
            <v>0</v>
          </cell>
        </row>
        <row r="85">
          <cell r="I85" t="str">
            <v>2100</v>
          </cell>
          <cell r="J85">
            <v>370</v>
          </cell>
          <cell r="K85">
            <v>370</v>
          </cell>
          <cell r="N85">
            <v>0</v>
          </cell>
        </row>
        <row r="86">
          <cell r="I86" t="str">
            <v>2115</v>
          </cell>
          <cell r="J86">
            <v>370</v>
          </cell>
          <cell r="K86">
            <v>370</v>
          </cell>
          <cell r="N86">
            <v>0</v>
          </cell>
        </row>
        <row r="87">
          <cell r="I87" t="str">
            <v>2130</v>
          </cell>
          <cell r="J87">
            <v>370</v>
          </cell>
          <cell r="K87">
            <v>370</v>
          </cell>
          <cell r="N87">
            <v>0</v>
          </cell>
        </row>
        <row r="88">
          <cell r="I88" t="str">
            <v>2145</v>
          </cell>
          <cell r="J88">
            <v>370</v>
          </cell>
          <cell r="K88">
            <v>370</v>
          </cell>
          <cell r="N88">
            <v>0</v>
          </cell>
        </row>
        <row r="89">
          <cell r="I89" t="str">
            <v>2200</v>
          </cell>
          <cell r="J89">
            <v>370</v>
          </cell>
          <cell r="K89">
            <v>370</v>
          </cell>
          <cell r="N89">
            <v>0</v>
          </cell>
        </row>
        <row r="90">
          <cell r="I90" t="str">
            <v>2215</v>
          </cell>
          <cell r="J90">
            <v>370</v>
          </cell>
          <cell r="K90">
            <v>370</v>
          </cell>
          <cell r="N90">
            <v>0</v>
          </cell>
        </row>
        <row r="91">
          <cell r="I91" t="str">
            <v>2230</v>
          </cell>
          <cell r="J91">
            <v>359.25</v>
          </cell>
          <cell r="K91">
            <v>359.25</v>
          </cell>
          <cell r="N91">
            <v>0</v>
          </cell>
        </row>
        <row r="92">
          <cell r="I92" t="str">
            <v>2245</v>
          </cell>
          <cell r="J92">
            <v>351.5</v>
          </cell>
          <cell r="K92">
            <v>351.5</v>
          </cell>
          <cell r="N92">
            <v>0</v>
          </cell>
        </row>
        <row r="93">
          <cell r="I93" t="str">
            <v>2300</v>
          </cell>
          <cell r="J93">
            <v>342.33</v>
          </cell>
          <cell r="K93">
            <v>342.33</v>
          </cell>
          <cell r="N93">
            <v>0</v>
          </cell>
        </row>
        <row r="94">
          <cell r="I94" t="str">
            <v>2315</v>
          </cell>
          <cell r="J94">
            <v>350</v>
          </cell>
          <cell r="K94">
            <v>350</v>
          </cell>
          <cell r="N94">
            <v>0</v>
          </cell>
        </row>
        <row r="95">
          <cell r="I95" t="str">
            <v>2330</v>
          </cell>
          <cell r="J95">
            <v>341.88</v>
          </cell>
          <cell r="K95">
            <v>341.88</v>
          </cell>
          <cell r="N95">
            <v>0</v>
          </cell>
        </row>
        <row r="96">
          <cell r="I96" t="str">
            <v>2345</v>
          </cell>
          <cell r="J96">
            <v>340</v>
          </cell>
          <cell r="K96">
            <v>340</v>
          </cell>
          <cell r="N96">
            <v>0</v>
          </cell>
        </row>
        <row r="97">
          <cell r="I97" t="str">
            <v>2400</v>
          </cell>
          <cell r="J97">
            <v>334</v>
          </cell>
          <cell r="K97">
            <v>334</v>
          </cell>
          <cell r="N97">
            <v>0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313.5</v>
          </cell>
          <cell r="K2">
            <v>313.5</v>
          </cell>
          <cell r="N2">
            <v>0</v>
          </cell>
        </row>
        <row r="3">
          <cell r="I3" t="str">
            <v>0030</v>
          </cell>
          <cell r="J3">
            <v>322.8</v>
          </cell>
          <cell r="K3">
            <v>322.8</v>
          </cell>
          <cell r="N3">
            <v>0</v>
          </cell>
        </row>
        <row r="4">
          <cell r="I4" t="str">
            <v>0045</v>
          </cell>
          <cell r="J4">
            <v>324.56</v>
          </cell>
          <cell r="K4">
            <v>324.56</v>
          </cell>
          <cell r="N4">
            <v>0</v>
          </cell>
        </row>
        <row r="5">
          <cell r="I5" t="str">
            <v>0100</v>
          </cell>
          <cell r="J5">
            <v>324.56</v>
          </cell>
          <cell r="K5">
            <v>324.56</v>
          </cell>
          <cell r="N5">
            <v>0</v>
          </cell>
        </row>
        <row r="6">
          <cell r="I6" t="str">
            <v>0115</v>
          </cell>
          <cell r="J6">
            <v>324.56</v>
          </cell>
          <cell r="K6">
            <v>324.56</v>
          </cell>
          <cell r="N6">
            <v>-76.33</v>
          </cell>
        </row>
        <row r="7">
          <cell r="I7" t="str">
            <v>0130</v>
          </cell>
          <cell r="J7">
            <v>324.56</v>
          </cell>
          <cell r="K7">
            <v>324.56</v>
          </cell>
          <cell r="N7">
            <v>-95</v>
          </cell>
        </row>
        <row r="8">
          <cell r="I8" t="str">
            <v>0145</v>
          </cell>
          <cell r="J8">
            <v>324.56</v>
          </cell>
          <cell r="K8">
            <v>324.56</v>
          </cell>
          <cell r="N8">
            <v>-95</v>
          </cell>
        </row>
        <row r="9">
          <cell r="I9" t="str">
            <v>0200</v>
          </cell>
          <cell r="J9">
            <v>323</v>
          </cell>
          <cell r="K9">
            <v>323</v>
          </cell>
          <cell r="N9">
            <v>-95</v>
          </cell>
        </row>
        <row r="10">
          <cell r="I10" t="str">
            <v>0215</v>
          </cell>
          <cell r="J10">
            <v>326.11</v>
          </cell>
          <cell r="K10">
            <v>326.11</v>
          </cell>
          <cell r="N10">
            <v>-95</v>
          </cell>
        </row>
        <row r="11">
          <cell r="I11" t="str">
            <v>0230</v>
          </cell>
          <cell r="J11">
            <v>324.56</v>
          </cell>
          <cell r="K11">
            <v>324.56</v>
          </cell>
          <cell r="N11">
            <v>-74.540000000000006</v>
          </cell>
        </row>
        <row r="12">
          <cell r="I12" t="str">
            <v>0245</v>
          </cell>
          <cell r="J12">
            <v>324.56</v>
          </cell>
          <cell r="K12">
            <v>324.56</v>
          </cell>
          <cell r="N12">
            <v>-74.540000000000006</v>
          </cell>
        </row>
        <row r="13">
          <cell r="I13" t="str">
            <v>0300</v>
          </cell>
          <cell r="J13">
            <v>324.56</v>
          </cell>
          <cell r="K13">
            <v>324.56</v>
          </cell>
          <cell r="N13">
            <v>-74.540000000000006</v>
          </cell>
        </row>
        <row r="14">
          <cell r="I14" t="str">
            <v>0315</v>
          </cell>
          <cell r="J14">
            <v>324.56</v>
          </cell>
          <cell r="K14">
            <v>324.56</v>
          </cell>
          <cell r="N14">
            <v>0</v>
          </cell>
        </row>
        <row r="15">
          <cell r="I15" t="str">
            <v>0330</v>
          </cell>
          <cell r="J15">
            <v>324.56</v>
          </cell>
          <cell r="K15">
            <v>324.56</v>
          </cell>
          <cell r="N15">
            <v>0</v>
          </cell>
        </row>
        <row r="16">
          <cell r="I16" t="str">
            <v>0345</v>
          </cell>
          <cell r="J16">
            <v>324.56</v>
          </cell>
          <cell r="K16">
            <v>324.56</v>
          </cell>
          <cell r="N16">
            <v>0</v>
          </cell>
        </row>
        <row r="17">
          <cell r="I17" t="str">
            <v>0400</v>
          </cell>
          <cell r="J17">
            <v>324.56</v>
          </cell>
          <cell r="K17">
            <v>324.56</v>
          </cell>
          <cell r="N17">
            <v>0</v>
          </cell>
        </row>
        <row r="18">
          <cell r="I18" t="str">
            <v>0415</v>
          </cell>
          <cell r="J18">
            <v>324.56</v>
          </cell>
          <cell r="K18">
            <v>324.56</v>
          </cell>
          <cell r="N18">
            <v>0</v>
          </cell>
        </row>
        <row r="19">
          <cell r="I19" t="str">
            <v>0430</v>
          </cell>
          <cell r="J19">
            <v>324.56</v>
          </cell>
          <cell r="K19">
            <v>324.56</v>
          </cell>
          <cell r="N19">
            <v>0</v>
          </cell>
        </row>
        <row r="20">
          <cell r="I20" t="str">
            <v>0445</v>
          </cell>
          <cell r="J20">
            <v>324.56</v>
          </cell>
          <cell r="K20">
            <v>324.56</v>
          </cell>
          <cell r="N20">
            <v>0</v>
          </cell>
        </row>
        <row r="21">
          <cell r="I21" t="str">
            <v>0500</v>
          </cell>
          <cell r="J21">
            <v>324.56</v>
          </cell>
          <cell r="K21">
            <v>324.56</v>
          </cell>
          <cell r="N21">
            <v>0</v>
          </cell>
        </row>
        <row r="22">
          <cell r="I22" t="str">
            <v>0515</v>
          </cell>
          <cell r="J22">
            <v>324.56</v>
          </cell>
          <cell r="K22">
            <v>324.56</v>
          </cell>
          <cell r="N22">
            <v>0</v>
          </cell>
        </row>
        <row r="23">
          <cell r="I23" t="str">
            <v>0530</v>
          </cell>
          <cell r="J23">
            <v>324.56</v>
          </cell>
          <cell r="K23">
            <v>324.56</v>
          </cell>
          <cell r="N23">
            <v>0</v>
          </cell>
        </row>
        <row r="24">
          <cell r="I24" t="str">
            <v>0545</v>
          </cell>
          <cell r="J24">
            <v>324.56</v>
          </cell>
          <cell r="K24">
            <v>324.56</v>
          </cell>
          <cell r="N24">
            <v>0</v>
          </cell>
        </row>
        <row r="25">
          <cell r="I25" t="str">
            <v>0600</v>
          </cell>
          <cell r="J25">
            <v>324.56</v>
          </cell>
          <cell r="K25">
            <v>324.56</v>
          </cell>
          <cell r="N25">
            <v>0</v>
          </cell>
        </row>
        <row r="26">
          <cell r="I26" t="str">
            <v>0615</v>
          </cell>
          <cell r="J26">
            <v>322.44</v>
          </cell>
          <cell r="K26">
            <v>322.44</v>
          </cell>
          <cell r="N26">
            <v>0</v>
          </cell>
        </row>
        <row r="27">
          <cell r="I27" t="str">
            <v>0630</v>
          </cell>
          <cell r="J27">
            <v>326.67</v>
          </cell>
          <cell r="K27">
            <v>326.67</v>
          </cell>
          <cell r="N27">
            <v>0</v>
          </cell>
        </row>
        <row r="28">
          <cell r="I28" t="str">
            <v>0645</v>
          </cell>
          <cell r="J28">
            <v>324.56</v>
          </cell>
          <cell r="K28">
            <v>324.56</v>
          </cell>
          <cell r="N28">
            <v>0</v>
          </cell>
        </row>
        <row r="29">
          <cell r="I29" t="str">
            <v>0700</v>
          </cell>
          <cell r="J29">
            <v>323.44</v>
          </cell>
          <cell r="K29">
            <v>323.44</v>
          </cell>
          <cell r="N29">
            <v>0</v>
          </cell>
        </row>
        <row r="30">
          <cell r="I30" t="str">
            <v>0715</v>
          </cell>
          <cell r="J30">
            <v>317</v>
          </cell>
          <cell r="K30">
            <v>317</v>
          </cell>
          <cell r="N30">
            <v>0</v>
          </cell>
        </row>
        <row r="31">
          <cell r="I31" t="str">
            <v>0730</v>
          </cell>
          <cell r="J31">
            <v>331.14</v>
          </cell>
          <cell r="K31">
            <v>331.14</v>
          </cell>
          <cell r="N31">
            <v>0</v>
          </cell>
        </row>
        <row r="32">
          <cell r="I32" t="str">
            <v>0745</v>
          </cell>
          <cell r="J32">
            <v>340</v>
          </cell>
          <cell r="K32">
            <v>340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1446.86</v>
          </cell>
          <cell r="K34">
            <v>1446.86</v>
          </cell>
          <cell r="N34">
            <v>0</v>
          </cell>
        </row>
        <row r="35">
          <cell r="I35" t="str">
            <v>0830</v>
          </cell>
          <cell r="J35">
            <v>618</v>
          </cell>
          <cell r="K35">
            <v>618</v>
          </cell>
          <cell r="N35">
            <v>0</v>
          </cell>
        </row>
        <row r="36">
          <cell r="I36" t="str">
            <v>0845</v>
          </cell>
          <cell r="J36">
            <v>618</v>
          </cell>
          <cell r="K36">
            <v>618</v>
          </cell>
          <cell r="N36">
            <v>0</v>
          </cell>
        </row>
        <row r="37">
          <cell r="I37" t="str">
            <v>0900</v>
          </cell>
          <cell r="J37">
            <v>618</v>
          </cell>
          <cell r="K37">
            <v>618</v>
          </cell>
          <cell r="N37">
            <v>0</v>
          </cell>
        </row>
        <row r="38">
          <cell r="I38" t="str">
            <v>0915</v>
          </cell>
          <cell r="J38">
            <v>618</v>
          </cell>
          <cell r="K38">
            <v>618</v>
          </cell>
          <cell r="N38">
            <v>95</v>
          </cell>
        </row>
        <row r="39">
          <cell r="I39" t="str">
            <v>0930</v>
          </cell>
          <cell r="J39">
            <v>618</v>
          </cell>
          <cell r="K39">
            <v>618</v>
          </cell>
          <cell r="N39">
            <v>95</v>
          </cell>
        </row>
        <row r="40">
          <cell r="I40" t="str">
            <v>0945</v>
          </cell>
          <cell r="J40">
            <v>618</v>
          </cell>
          <cell r="K40">
            <v>618</v>
          </cell>
          <cell r="N40">
            <v>68.06</v>
          </cell>
        </row>
        <row r="41">
          <cell r="I41" t="str">
            <v>1000</v>
          </cell>
          <cell r="J41">
            <v>618</v>
          </cell>
          <cell r="K41">
            <v>618</v>
          </cell>
          <cell r="N41">
            <v>68.06</v>
          </cell>
        </row>
        <row r="42">
          <cell r="I42" t="str">
            <v>1015</v>
          </cell>
          <cell r="J42">
            <v>618</v>
          </cell>
          <cell r="K42">
            <v>618</v>
          </cell>
          <cell r="N42">
            <v>68.06</v>
          </cell>
        </row>
        <row r="43">
          <cell r="I43" t="str">
            <v>1030</v>
          </cell>
          <cell r="J43">
            <v>618</v>
          </cell>
          <cell r="K43">
            <v>618</v>
          </cell>
          <cell r="N43">
            <v>68.06</v>
          </cell>
        </row>
        <row r="44">
          <cell r="I44" t="str">
            <v>1045</v>
          </cell>
          <cell r="J44">
            <v>618</v>
          </cell>
          <cell r="K44">
            <v>618</v>
          </cell>
          <cell r="N44">
            <v>68.06</v>
          </cell>
        </row>
        <row r="45">
          <cell r="I45" t="str">
            <v>1100</v>
          </cell>
          <cell r="J45">
            <v>618</v>
          </cell>
          <cell r="K45">
            <v>618</v>
          </cell>
          <cell r="N45">
            <v>68.06</v>
          </cell>
        </row>
        <row r="46">
          <cell r="I46" t="str">
            <v>1115</v>
          </cell>
          <cell r="J46">
            <v>1260</v>
          </cell>
          <cell r="K46">
            <v>1260</v>
          </cell>
          <cell r="N46">
            <v>68.06</v>
          </cell>
        </row>
        <row r="47">
          <cell r="I47" t="str">
            <v>1130</v>
          </cell>
          <cell r="J47">
            <v>298</v>
          </cell>
          <cell r="K47">
            <v>298</v>
          </cell>
          <cell r="N47">
            <v>0</v>
          </cell>
        </row>
        <row r="48">
          <cell r="I48" t="str">
            <v>1145</v>
          </cell>
          <cell r="J48">
            <v>296</v>
          </cell>
          <cell r="K48">
            <v>296</v>
          </cell>
          <cell r="N48">
            <v>0</v>
          </cell>
        </row>
        <row r="49">
          <cell r="I49" t="str">
            <v>1200</v>
          </cell>
          <cell r="J49">
            <v>283.16000000000003</v>
          </cell>
          <cell r="K49">
            <v>283.16000000000003</v>
          </cell>
          <cell r="N49">
            <v>0</v>
          </cell>
        </row>
        <row r="50">
          <cell r="I50" t="str">
            <v>1215</v>
          </cell>
          <cell r="J50">
            <v>271.56</v>
          </cell>
          <cell r="K50">
            <v>271.56</v>
          </cell>
          <cell r="N50">
            <v>0</v>
          </cell>
        </row>
        <row r="51">
          <cell r="I51" t="str">
            <v>1230</v>
          </cell>
          <cell r="J51">
            <v>270</v>
          </cell>
          <cell r="K51">
            <v>270</v>
          </cell>
          <cell r="N51">
            <v>0</v>
          </cell>
        </row>
        <row r="52">
          <cell r="I52" t="str">
            <v>1245</v>
          </cell>
          <cell r="J52">
            <v>270</v>
          </cell>
          <cell r="K52">
            <v>270</v>
          </cell>
          <cell r="N52">
            <v>0</v>
          </cell>
        </row>
        <row r="53">
          <cell r="I53" t="str">
            <v>1300</v>
          </cell>
          <cell r="J53">
            <v>270</v>
          </cell>
          <cell r="K53">
            <v>270</v>
          </cell>
          <cell r="N53">
            <v>0</v>
          </cell>
        </row>
        <row r="54">
          <cell r="I54" t="str">
            <v>1315</v>
          </cell>
          <cell r="J54">
            <v>281.25</v>
          </cell>
          <cell r="K54">
            <v>281.25</v>
          </cell>
          <cell r="N54">
            <v>0</v>
          </cell>
        </row>
        <row r="55">
          <cell r="I55" t="str">
            <v>1330</v>
          </cell>
          <cell r="J55">
            <v>283.13</v>
          </cell>
          <cell r="K55">
            <v>283.13</v>
          </cell>
          <cell r="N55">
            <v>0</v>
          </cell>
        </row>
        <row r="56">
          <cell r="I56" t="str">
            <v>1345</v>
          </cell>
          <cell r="J56">
            <v>284</v>
          </cell>
          <cell r="K56">
            <v>284</v>
          </cell>
          <cell r="N56">
            <v>0</v>
          </cell>
        </row>
        <row r="57">
          <cell r="I57" t="str">
            <v>1400</v>
          </cell>
          <cell r="J57">
            <v>284</v>
          </cell>
          <cell r="K57">
            <v>284</v>
          </cell>
          <cell r="N57">
            <v>0</v>
          </cell>
        </row>
        <row r="58">
          <cell r="I58" t="str">
            <v>1415</v>
          </cell>
          <cell r="J58">
            <v>286</v>
          </cell>
          <cell r="K58">
            <v>286</v>
          </cell>
          <cell r="N58">
            <v>0</v>
          </cell>
        </row>
        <row r="59">
          <cell r="I59" t="str">
            <v>1430</v>
          </cell>
          <cell r="J59">
            <v>288</v>
          </cell>
          <cell r="K59">
            <v>288</v>
          </cell>
          <cell r="N59">
            <v>0</v>
          </cell>
        </row>
        <row r="60">
          <cell r="I60" t="str">
            <v>1445</v>
          </cell>
          <cell r="J60">
            <v>291</v>
          </cell>
          <cell r="K60">
            <v>291</v>
          </cell>
          <cell r="N60">
            <v>0</v>
          </cell>
        </row>
        <row r="61">
          <cell r="I61" t="str">
            <v>1500</v>
          </cell>
          <cell r="J61">
            <v>292</v>
          </cell>
          <cell r="K61">
            <v>292</v>
          </cell>
          <cell r="N61">
            <v>0</v>
          </cell>
        </row>
        <row r="62">
          <cell r="I62" t="str">
            <v>1515</v>
          </cell>
          <cell r="J62">
            <v>296</v>
          </cell>
          <cell r="K62">
            <v>296</v>
          </cell>
          <cell r="N62">
            <v>0</v>
          </cell>
        </row>
        <row r="63">
          <cell r="I63" t="str">
            <v>1530</v>
          </cell>
          <cell r="J63">
            <v>302</v>
          </cell>
          <cell r="K63">
            <v>302</v>
          </cell>
          <cell r="N63">
            <v>0</v>
          </cell>
        </row>
        <row r="64">
          <cell r="I64" t="str">
            <v>1545</v>
          </cell>
          <cell r="J64">
            <v>305.63</v>
          </cell>
          <cell r="K64">
            <v>305.63</v>
          </cell>
          <cell r="N64">
            <v>0</v>
          </cell>
        </row>
        <row r="65">
          <cell r="I65" t="str">
            <v>1600</v>
          </cell>
          <cell r="J65">
            <v>310</v>
          </cell>
          <cell r="K65">
            <v>310</v>
          </cell>
          <cell r="N65">
            <v>0</v>
          </cell>
        </row>
        <row r="66">
          <cell r="I66" t="str">
            <v>1615</v>
          </cell>
          <cell r="J66">
            <v>322.14</v>
          </cell>
          <cell r="K66">
            <v>322.14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348</v>
          </cell>
          <cell r="K68">
            <v>348</v>
          </cell>
          <cell r="N68">
            <v>0</v>
          </cell>
        </row>
        <row r="69">
          <cell r="I69" t="str">
            <v>1700</v>
          </cell>
          <cell r="J69">
            <v>360</v>
          </cell>
          <cell r="K69">
            <v>360</v>
          </cell>
          <cell r="N69">
            <v>0</v>
          </cell>
        </row>
        <row r="70">
          <cell r="I70" t="str">
            <v>1715</v>
          </cell>
          <cell r="J70">
            <v>384.7</v>
          </cell>
          <cell r="K70">
            <v>384.7</v>
          </cell>
          <cell r="N70">
            <v>0</v>
          </cell>
        </row>
        <row r="71">
          <cell r="I71" t="str">
            <v>1730</v>
          </cell>
          <cell r="J71">
            <v>417.53</v>
          </cell>
          <cell r="K71">
            <v>417.53</v>
          </cell>
          <cell r="N71">
            <v>0</v>
          </cell>
        </row>
        <row r="72">
          <cell r="I72" t="str">
            <v>1745</v>
          </cell>
          <cell r="J72">
            <v>424.21</v>
          </cell>
          <cell r="K72">
            <v>424.21</v>
          </cell>
          <cell r="N72">
            <v>0</v>
          </cell>
        </row>
        <row r="73">
          <cell r="I73" t="str">
            <v>1800</v>
          </cell>
          <cell r="J73">
            <v>395.54</v>
          </cell>
          <cell r="K73">
            <v>395.54</v>
          </cell>
          <cell r="N73">
            <v>0</v>
          </cell>
        </row>
        <row r="74">
          <cell r="I74" t="str">
            <v>1815</v>
          </cell>
          <cell r="J74">
            <v>380</v>
          </cell>
          <cell r="K74">
            <v>380</v>
          </cell>
          <cell r="N74">
            <v>0</v>
          </cell>
        </row>
        <row r="75">
          <cell r="I75" t="str">
            <v>1830</v>
          </cell>
          <cell r="J75">
            <v>376</v>
          </cell>
          <cell r="K75">
            <v>376</v>
          </cell>
          <cell r="N75">
            <v>0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0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0</v>
          </cell>
        </row>
        <row r="78">
          <cell r="I78" t="str">
            <v>1915</v>
          </cell>
          <cell r="J78">
            <v>368</v>
          </cell>
          <cell r="K78">
            <v>368</v>
          </cell>
          <cell r="N78">
            <v>0</v>
          </cell>
        </row>
        <row r="79">
          <cell r="I79" t="str">
            <v>1930</v>
          </cell>
          <cell r="J79">
            <v>367</v>
          </cell>
          <cell r="K79">
            <v>367</v>
          </cell>
          <cell r="N79">
            <v>0</v>
          </cell>
        </row>
        <row r="80">
          <cell r="I80" t="str">
            <v>1945</v>
          </cell>
          <cell r="J80">
            <v>361</v>
          </cell>
          <cell r="K80">
            <v>361</v>
          </cell>
          <cell r="N80">
            <v>0</v>
          </cell>
        </row>
        <row r="81">
          <cell r="I81" t="str">
            <v>2000</v>
          </cell>
          <cell r="J81">
            <v>355</v>
          </cell>
          <cell r="K81">
            <v>355</v>
          </cell>
          <cell r="N81">
            <v>0</v>
          </cell>
        </row>
        <row r="82">
          <cell r="I82" t="str">
            <v>2015</v>
          </cell>
          <cell r="J82">
            <v>344</v>
          </cell>
          <cell r="K82">
            <v>344</v>
          </cell>
          <cell r="N82">
            <v>0</v>
          </cell>
        </row>
        <row r="83">
          <cell r="I83" t="str">
            <v>2030</v>
          </cell>
          <cell r="J83">
            <v>344.38</v>
          </cell>
          <cell r="K83">
            <v>344.38</v>
          </cell>
          <cell r="N83">
            <v>0</v>
          </cell>
        </row>
        <row r="84">
          <cell r="I84" t="str">
            <v>2045</v>
          </cell>
          <cell r="J84">
            <v>343.13</v>
          </cell>
          <cell r="K84">
            <v>343.13</v>
          </cell>
          <cell r="N84">
            <v>0</v>
          </cell>
        </row>
        <row r="85">
          <cell r="I85" t="str">
            <v>2100</v>
          </cell>
          <cell r="J85">
            <v>342</v>
          </cell>
          <cell r="K85">
            <v>342</v>
          </cell>
          <cell r="N85">
            <v>0</v>
          </cell>
        </row>
        <row r="86">
          <cell r="I86" t="str">
            <v>2115</v>
          </cell>
          <cell r="J86">
            <v>348</v>
          </cell>
          <cell r="K86">
            <v>348</v>
          </cell>
          <cell r="N86">
            <v>0</v>
          </cell>
        </row>
        <row r="87">
          <cell r="I87" t="str">
            <v>2130</v>
          </cell>
          <cell r="J87">
            <v>344</v>
          </cell>
          <cell r="K87">
            <v>344</v>
          </cell>
          <cell r="N87">
            <v>0</v>
          </cell>
        </row>
        <row r="88">
          <cell r="I88" t="str">
            <v>2145</v>
          </cell>
          <cell r="J88">
            <v>337.5</v>
          </cell>
          <cell r="K88">
            <v>337.5</v>
          </cell>
          <cell r="N88">
            <v>0</v>
          </cell>
        </row>
        <row r="89">
          <cell r="I89" t="str">
            <v>2200</v>
          </cell>
          <cell r="J89">
            <v>328.75</v>
          </cell>
          <cell r="K89">
            <v>328.75</v>
          </cell>
          <cell r="N89">
            <v>0</v>
          </cell>
        </row>
        <row r="90">
          <cell r="I90" t="str">
            <v>2215</v>
          </cell>
          <cell r="J90">
            <v>321.14999999999998</v>
          </cell>
          <cell r="K90">
            <v>321.14999999999998</v>
          </cell>
          <cell r="N90">
            <v>0</v>
          </cell>
        </row>
        <row r="91">
          <cell r="I91" t="str">
            <v>2230</v>
          </cell>
          <cell r="J91">
            <v>320</v>
          </cell>
          <cell r="K91">
            <v>320</v>
          </cell>
          <cell r="N91">
            <v>0</v>
          </cell>
        </row>
        <row r="92">
          <cell r="I92" t="str">
            <v>2245</v>
          </cell>
          <cell r="J92">
            <v>318</v>
          </cell>
          <cell r="K92">
            <v>318</v>
          </cell>
          <cell r="N92">
            <v>0</v>
          </cell>
        </row>
        <row r="93">
          <cell r="I93" t="str">
            <v>2300</v>
          </cell>
          <cell r="J93">
            <v>315</v>
          </cell>
          <cell r="K93">
            <v>315</v>
          </cell>
          <cell r="N93">
            <v>0</v>
          </cell>
        </row>
        <row r="94">
          <cell r="I94" t="str">
            <v>2315</v>
          </cell>
          <cell r="J94">
            <v>320</v>
          </cell>
          <cell r="K94">
            <v>320</v>
          </cell>
          <cell r="N94">
            <v>0</v>
          </cell>
        </row>
        <row r="95">
          <cell r="I95" t="str">
            <v>2330</v>
          </cell>
          <cell r="J95">
            <v>313.5</v>
          </cell>
          <cell r="K95">
            <v>313.5</v>
          </cell>
          <cell r="N95">
            <v>0</v>
          </cell>
        </row>
        <row r="96">
          <cell r="I96" t="str">
            <v>2345</v>
          </cell>
          <cell r="J96">
            <v>310</v>
          </cell>
          <cell r="K96">
            <v>310</v>
          </cell>
          <cell r="N96">
            <v>0</v>
          </cell>
        </row>
        <row r="97">
          <cell r="I97" t="str">
            <v>2400</v>
          </cell>
          <cell r="J97">
            <v>305.57</v>
          </cell>
          <cell r="K97">
            <v>305.57</v>
          </cell>
          <cell r="N97">
            <v>0</v>
          </cell>
        </row>
      </sheetData>
      <sheetData sheetId="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330</v>
          </cell>
          <cell r="K2">
            <v>330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326</v>
          </cell>
          <cell r="K5">
            <v>326</v>
          </cell>
          <cell r="N5">
            <v>0</v>
          </cell>
        </row>
        <row r="6">
          <cell r="I6" t="str">
            <v>0115</v>
          </cell>
          <cell r="J6">
            <v>325</v>
          </cell>
          <cell r="K6">
            <v>325</v>
          </cell>
          <cell r="N6">
            <v>0</v>
          </cell>
        </row>
        <row r="7">
          <cell r="I7" t="str">
            <v>0130</v>
          </cell>
          <cell r="J7">
            <v>324</v>
          </cell>
          <cell r="K7">
            <v>324</v>
          </cell>
          <cell r="N7">
            <v>0</v>
          </cell>
        </row>
        <row r="8">
          <cell r="I8" t="str">
            <v>0145</v>
          </cell>
          <cell r="J8">
            <v>322</v>
          </cell>
          <cell r="K8">
            <v>322</v>
          </cell>
          <cell r="N8">
            <v>0</v>
          </cell>
        </row>
        <row r="9">
          <cell r="I9" t="str">
            <v>0200</v>
          </cell>
          <cell r="J9">
            <v>322</v>
          </cell>
          <cell r="K9">
            <v>322</v>
          </cell>
          <cell r="N9">
            <v>0</v>
          </cell>
        </row>
        <row r="10">
          <cell r="I10" t="str">
            <v>0215</v>
          </cell>
          <cell r="J10">
            <v>332.5</v>
          </cell>
          <cell r="K10">
            <v>332.5</v>
          </cell>
          <cell r="N10">
            <v>0</v>
          </cell>
        </row>
        <row r="11">
          <cell r="I11" t="str">
            <v>0230</v>
          </cell>
          <cell r="J11">
            <v>330</v>
          </cell>
          <cell r="K11">
            <v>330</v>
          </cell>
          <cell r="N11">
            <v>0</v>
          </cell>
        </row>
        <row r="12">
          <cell r="I12" t="str">
            <v>0245</v>
          </cell>
          <cell r="J12">
            <v>329.38</v>
          </cell>
          <cell r="K12">
            <v>329.38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326</v>
          </cell>
          <cell r="K14">
            <v>326</v>
          </cell>
          <cell r="N14">
            <v>0</v>
          </cell>
        </row>
        <row r="15">
          <cell r="I15" t="str">
            <v>0330</v>
          </cell>
          <cell r="J15">
            <v>322</v>
          </cell>
          <cell r="K15">
            <v>322</v>
          </cell>
          <cell r="N15">
            <v>0</v>
          </cell>
        </row>
        <row r="16">
          <cell r="I16" t="str">
            <v>0345</v>
          </cell>
          <cell r="J16">
            <v>322</v>
          </cell>
          <cell r="K16">
            <v>322</v>
          </cell>
          <cell r="N16">
            <v>0</v>
          </cell>
        </row>
        <row r="17">
          <cell r="I17" t="str">
            <v>0400</v>
          </cell>
          <cell r="J17">
            <v>321.88</v>
          </cell>
          <cell r="K17">
            <v>321.88</v>
          </cell>
          <cell r="N17">
            <v>0</v>
          </cell>
        </row>
        <row r="18">
          <cell r="I18" t="str">
            <v>0415</v>
          </cell>
          <cell r="J18">
            <v>320</v>
          </cell>
          <cell r="K18">
            <v>320</v>
          </cell>
          <cell r="N18">
            <v>0</v>
          </cell>
        </row>
        <row r="19">
          <cell r="I19" t="str">
            <v>0430</v>
          </cell>
          <cell r="J19">
            <v>322</v>
          </cell>
          <cell r="K19">
            <v>322</v>
          </cell>
          <cell r="N19">
            <v>0</v>
          </cell>
        </row>
        <row r="20">
          <cell r="I20" t="str">
            <v>0445</v>
          </cell>
          <cell r="J20">
            <v>322</v>
          </cell>
          <cell r="K20">
            <v>322</v>
          </cell>
          <cell r="N20">
            <v>0</v>
          </cell>
        </row>
        <row r="21">
          <cell r="I21" t="str">
            <v>0500</v>
          </cell>
          <cell r="J21">
            <v>324</v>
          </cell>
          <cell r="K21">
            <v>324</v>
          </cell>
          <cell r="N21">
            <v>0</v>
          </cell>
        </row>
        <row r="22">
          <cell r="I22" t="str">
            <v>0515</v>
          </cell>
          <cell r="J22">
            <v>327.73</v>
          </cell>
          <cell r="K22">
            <v>327.73</v>
          </cell>
          <cell r="N22">
            <v>0</v>
          </cell>
        </row>
        <row r="23">
          <cell r="I23" t="str">
            <v>0530</v>
          </cell>
          <cell r="J23">
            <v>322</v>
          </cell>
          <cell r="K23">
            <v>322</v>
          </cell>
          <cell r="N23">
            <v>0</v>
          </cell>
        </row>
        <row r="24">
          <cell r="I24" t="str">
            <v>0545</v>
          </cell>
          <cell r="J24">
            <v>318.33</v>
          </cell>
          <cell r="K24">
            <v>318.33</v>
          </cell>
          <cell r="N24">
            <v>0</v>
          </cell>
        </row>
        <row r="25">
          <cell r="I25" t="str">
            <v>0600</v>
          </cell>
          <cell r="J25">
            <v>317</v>
          </cell>
          <cell r="K25">
            <v>317</v>
          </cell>
          <cell r="N25">
            <v>0</v>
          </cell>
        </row>
        <row r="26">
          <cell r="I26" t="str">
            <v>0615</v>
          </cell>
          <cell r="J26">
            <v>316</v>
          </cell>
          <cell r="K26">
            <v>316</v>
          </cell>
          <cell r="N26">
            <v>0</v>
          </cell>
        </row>
        <row r="27">
          <cell r="I27" t="str">
            <v>0630</v>
          </cell>
          <cell r="J27">
            <v>319</v>
          </cell>
          <cell r="K27">
            <v>319</v>
          </cell>
          <cell r="N27">
            <v>0</v>
          </cell>
        </row>
        <row r="28">
          <cell r="I28" t="str">
            <v>0645</v>
          </cell>
          <cell r="J28">
            <v>321</v>
          </cell>
          <cell r="K28">
            <v>321</v>
          </cell>
          <cell r="N28">
            <v>0</v>
          </cell>
        </row>
        <row r="29">
          <cell r="I29" t="str">
            <v>0700</v>
          </cell>
          <cell r="J29">
            <v>322</v>
          </cell>
          <cell r="K29">
            <v>322</v>
          </cell>
          <cell r="N29">
            <v>0</v>
          </cell>
        </row>
        <row r="30">
          <cell r="I30" t="str">
            <v>0715</v>
          </cell>
          <cell r="J30">
            <v>325</v>
          </cell>
          <cell r="K30">
            <v>325</v>
          </cell>
          <cell r="N30">
            <v>0</v>
          </cell>
        </row>
        <row r="31">
          <cell r="I31" t="str">
            <v>0730</v>
          </cell>
          <cell r="J31">
            <v>334</v>
          </cell>
          <cell r="K31">
            <v>334</v>
          </cell>
          <cell r="N31">
            <v>0</v>
          </cell>
        </row>
        <row r="32">
          <cell r="I32" t="str">
            <v>0745</v>
          </cell>
          <cell r="J32">
            <v>342.5</v>
          </cell>
          <cell r="K32">
            <v>342.5</v>
          </cell>
          <cell r="N32">
            <v>0</v>
          </cell>
        </row>
        <row r="33">
          <cell r="I33" t="str">
            <v>0800</v>
          </cell>
          <cell r="J33">
            <v>356</v>
          </cell>
          <cell r="K33">
            <v>356</v>
          </cell>
          <cell r="N33">
            <v>0</v>
          </cell>
        </row>
        <row r="34">
          <cell r="I34" t="str">
            <v>0815</v>
          </cell>
          <cell r="J34">
            <v>355</v>
          </cell>
          <cell r="K34">
            <v>355</v>
          </cell>
          <cell r="N34">
            <v>0</v>
          </cell>
        </row>
        <row r="35">
          <cell r="I35" t="str">
            <v>0830</v>
          </cell>
          <cell r="J35">
            <v>346</v>
          </cell>
          <cell r="K35">
            <v>346</v>
          </cell>
          <cell r="N35">
            <v>0</v>
          </cell>
        </row>
        <row r="36">
          <cell r="I36" t="str">
            <v>0845</v>
          </cell>
          <cell r="J36">
            <v>338</v>
          </cell>
          <cell r="K36">
            <v>338</v>
          </cell>
          <cell r="N36">
            <v>0</v>
          </cell>
        </row>
        <row r="37">
          <cell r="I37" t="str">
            <v>0900</v>
          </cell>
          <cell r="J37">
            <v>330.63</v>
          </cell>
          <cell r="K37">
            <v>330.63</v>
          </cell>
          <cell r="N37">
            <v>0</v>
          </cell>
        </row>
        <row r="38">
          <cell r="I38" t="str">
            <v>0915</v>
          </cell>
          <cell r="J38">
            <v>325</v>
          </cell>
          <cell r="K38">
            <v>325</v>
          </cell>
          <cell r="N38">
            <v>0</v>
          </cell>
        </row>
        <row r="39">
          <cell r="I39" t="str">
            <v>0930</v>
          </cell>
          <cell r="J39">
            <v>312</v>
          </cell>
          <cell r="K39">
            <v>312</v>
          </cell>
          <cell r="N39">
            <v>0</v>
          </cell>
        </row>
        <row r="40">
          <cell r="I40" t="str">
            <v>0945</v>
          </cell>
          <cell r="J40">
            <v>301.88</v>
          </cell>
          <cell r="K40">
            <v>301.88</v>
          </cell>
          <cell r="N40">
            <v>0</v>
          </cell>
        </row>
        <row r="41">
          <cell r="I41" t="str">
            <v>1000</v>
          </cell>
          <cell r="J41">
            <v>270</v>
          </cell>
          <cell r="K41">
            <v>270</v>
          </cell>
          <cell r="N41">
            <v>0</v>
          </cell>
        </row>
        <row r="42">
          <cell r="I42" t="str">
            <v>1015</v>
          </cell>
          <cell r="J42">
            <v>276</v>
          </cell>
          <cell r="K42">
            <v>276</v>
          </cell>
          <cell r="N42">
            <v>0</v>
          </cell>
        </row>
        <row r="43">
          <cell r="I43" t="str">
            <v>1030</v>
          </cell>
          <cell r="J43">
            <v>199.8</v>
          </cell>
          <cell r="K43">
            <v>199.8</v>
          </cell>
          <cell r="N43">
            <v>0</v>
          </cell>
        </row>
        <row r="44">
          <cell r="I44" t="str">
            <v>1045</v>
          </cell>
          <cell r="J44">
            <v>157.32</v>
          </cell>
          <cell r="K44">
            <v>157.32</v>
          </cell>
          <cell r="N44">
            <v>0</v>
          </cell>
        </row>
        <row r="45">
          <cell r="I45" t="str">
            <v>1100</v>
          </cell>
          <cell r="J45">
            <v>157.32</v>
          </cell>
          <cell r="K45">
            <v>157.32</v>
          </cell>
          <cell r="N45">
            <v>-39.340000000000003</v>
          </cell>
        </row>
        <row r="46">
          <cell r="I46" t="str">
            <v>1115</v>
          </cell>
          <cell r="J46">
            <v>247.8</v>
          </cell>
          <cell r="K46">
            <v>247.8</v>
          </cell>
          <cell r="N46">
            <v>-39.340000000000003</v>
          </cell>
        </row>
        <row r="47">
          <cell r="I47" t="str">
            <v>1130</v>
          </cell>
          <cell r="J47">
            <v>192</v>
          </cell>
          <cell r="K47">
            <v>192</v>
          </cell>
          <cell r="N47">
            <v>-39.340000000000003</v>
          </cell>
        </row>
        <row r="48">
          <cell r="I48" t="str">
            <v>1145</v>
          </cell>
          <cell r="J48">
            <v>204.33</v>
          </cell>
          <cell r="K48">
            <v>204.33</v>
          </cell>
          <cell r="N48">
            <v>-95</v>
          </cell>
        </row>
        <row r="49">
          <cell r="I49" t="str">
            <v>1200</v>
          </cell>
          <cell r="J49">
            <v>44.07</v>
          </cell>
          <cell r="K49">
            <v>44.07</v>
          </cell>
          <cell r="N49">
            <v>-95</v>
          </cell>
        </row>
        <row r="50">
          <cell r="I50" t="str">
            <v>1215</v>
          </cell>
          <cell r="J50">
            <v>98.4</v>
          </cell>
          <cell r="K50">
            <v>98.4</v>
          </cell>
          <cell r="N50">
            <v>-95</v>
          </cell>
        </row>
        <row r="51">
          <cell r="I51" t="str">
            <v>1230</v>
          </cell>
          <cell r="J51">
            <v>136.19999999999999</v>
          </cell>
          <cell r="K51">
            <v>136.19999999999999</v>
          </cell>
          <cell r="N51">
            <v>-95</v>
          </cell>
        </row>
        <row r="52">
          <cell r="I52" t="str">
            <v>1245</v>
          </cell>
          <cell r="J52">
            <v>157.32</v>
          </cell>
          <cell r="K52">
            <v>157.32</v>
          </cell>
          <cell r="N52">
            <v>-95</v>
          </cell>
        </row>
        <row r="53">
          <cell r="I53" t="str">
            <v>1300</v>
          </cell>
          <cell r="J53">
            <v>131.04</v>
          </cell>
          <cell r="K53">
            <v>131.04</v>
          </cell>
          <cell r="N53">
            <v>-95</v>
          </cell>
        </row>
        <row r="54">
          <cell r="I54" t="str">
            <v>1315</v>
          </cell>
          <cell r="J54">
            <v>183.6</v>
          </cell>
          <cell r="K54">
            <v>183.6</v>
          </cell>
          <cell r="N54">
            <v>0</v>
          </cell>
        </row>
        <row r="55">
          <cell r="I55" t="str">
            <v>1330</v>
          </cell>
          <cell r="J55">
            <v>157.32</v>
          </cell>
          <cell r="K55">
            <v>157.32</v>
          </cell>
          <cell r="N55">
            <v>0</v>
          </cell>
        </row>
        <row r="56">
          <cell r="I56" t="str">
            <v>1345</v>
          </cell>
          <cell r="J56">
            <v>152.32</v>
          </cell>
          <cell r="K56">
            <v>152.32</v>
          </cell>
          <cell r="N56">
            <v>0</v>
          </cell>
        </row>
        <row r="57">
          <cell r="I57" t="str">
            <v>1400</v>
          </cell>
          <cell r="J57">
            <v>162.32</v>
          </cell>
          <cell r="K57">
            <v>162.32</v>
          </cell>
          <cell r="N57">
            <v>0</v>
          </cell>
        </row>
        <row r="58">
          <cell r="I58" t="str">
            <v>1415</v>
          </cell>
          <cell r="J58">
            <v>162.32</v>
          </cell>
          <cell r="K58">
            <v>162.32</v>
          </cell>
          <cell r="N58">
            <v>0</v>
          </cell>
        </row>
        <row r="59">
          <cell r="I59" t="str">
            <v>1430</v>
          </cell>
          <cell r="J59">
            <v>228.6</v>
          </cell>
          <cell r="K59">
            <v>228.6</v>
          </cell>
          <cell r="N59">
            <v>0</v>
          </cell>
        </row>
        <row r="60">
          <cell r="I60" t="str">
            <v>1445</v>
          </cell>
          <cell r="J60">
            <v>298</v>
          </cell>
          <cell r="K60">
            <v>298</v>
          </cell>
          <cell r="N60">
            <v>0</v>
          </cell>
        </row>
        <row r="61">
          <cell r="I61" t="str">
            <v>1500</v>
          </cell>
          <cell r="J61">
            <v>303.33</v>
          </cell>
          <cell r="K61">
            <v>303.33</v>
          </cell>
          <cell r="N61">
            <v>0</v>
          </cell>
        </row>
        <row r="62">
          <cell r="I62" t="str">
            <v>1515</v>
          </cell>
          <cell r="J62">
            <v>315</v>
          </cell>
          <cell r="K62">
            <v>315</v>
          </cell>
          <cell r="N62">
            <v>0</v>
          </cell>
        </row>
        <row r="63">
          <cell r="I63" t="str">
            <v>1530</v>
          </cell>
          <cell r="J63">
            <v>327.43</v>
          </cell>
          <cell r="K63">
            <v>327.43</v>
          </cell>
          <cell r="N63">
            <v>0</v>
          </cell>
        </row>
        <row r="64">
          <cell r="I64" t="str">
            <v>1545</v>
          </cell>
          <cell r="J64">
            <v>336.33</v>
          </cell>
          <cell r="K64">
            <v>336.33</v>
          </cell>
          <cell r="N64">
            <v>0</v>
          </cell>
        </row>
        <row r="65">
          <cell r="I65" t="str">
            <v>1600</v>
          </cell>
          <cell r="J65">
            <v>341.75</v>
          </cell>
          <cell r="K65">
            <v>341.75</v>
          </cell>
          <cell r="N65">
            <v>0</v>
          </cell>
        </row>
        <row r="66">
          <cell r="I66" t="str">
            <v>1615</v>
          </cell>
          <cell r="J66">
            <v>358</v>
          </cell>
          <cell r="K66">
            <v>358</v>
          </cell>
          <cell r="N66">
            <v>0</v>
          </cell>
        </row>
        <row r="67">
          <cell r="I67" t="str">
            <v>1630</v>
          </cell>
          <cell r="J67">
            <v>367.8</v>
          </cell>
          <cell r="K67">
            <v>367.8</v>
          </cell>
          <cell r="N67">
            <v>0</v>
          </cell>
        </row>
        <row r="68">
          <cell r="I68" t="str">
            <v>1645</v>
          </cell>
          <cell r="J68">
            <v>371.7</v>
          </cell>
          <cell r="K68">
            <v>371.7</v>
          </cell>
          <cell r="N68">
            <v>1.73</v>
          </cell>
        </row>
        <row r="69">
          <cell r="I69" t="str">
            <v>1700</v>
          </cell>
          <cell r="J69">
            <v>373.5</v>
          </cell>
          <cell r="K69">
            <v>373.5</v>
          </cell>
          <cell r="N69">
            <v>51.85</v>
          </cell>
        </row>
        <row r="70">
          <cell r="I70" t="str">
            <v>1715</v>
          </cell>
          <cell r="J70">
            <v>371</v>
          </cell>
          <cell r="K70">
            <v>371</v>
          </cell>
          <cell r="N70">
            <v>51.85</v>
          </cell>
        </row>
        <row r="71">
          <cell r="I71" t="str">
            <v>1730</v>
          </cell>
          <cell r="J71">
            <v>371</v>
          </cell>
          <cell r="K71">
            <v>371</v>
          </cell>
          <cell r="N71">
            <v>51.85</v>
          </cell>
        </row>
        <row r="72">
          <cell r="I72" t="str">
            <v>1745</v>
          </cell>
          <cell r="J72">
            <v>371</v>
          </cell>
          <cell r="K72">
            <v>371</v>
          </cell>
          <cell r="N72">
            <v>51.85</v>
          </cell>
        </row>
        <row r="73">
          <cell r="I73" t="str">
            <v>1800</v>
          </cell>
          <cell r="J73">
            <v>371</v>
          </cell>
          <cell r="K73">
            <v>371</v>
          </cell>
          <cell r="N73">
            <v>51.85</v>
          </cell>
        </row>
        <row r="74">
          <cell r="I74" t="str">
            <v>1815</v>
          </cell>
          <cell r="J74">
            <v>371</v>
          </cell>
          <cell r="K74">
            <v>371</v>
          </cell>
          <cell r="N74">
            <v>51.85</v>
          </cell>
        </row>
        <row r="75">
          <cell r="I75" t="str">
            <v>1830</v>
          </cell>
          <cell r="J75">
            <v>371</v>
          </cell>
          <cell r="K75">
            <v>371</v>
          </cell>
          <cell r="N75">
            <v>51.85</v>
          </cell>
        </row>
        <row r="76">
          <cell r="I76" t="str">
            <v>1845</v>
          </cell>
          <cell r="J76">
            <v>371</v>
          </cell>
          <cell r="K76">
            <v>371</v>
          </cell>
          <cell r="N76">
            <v>51.85</v>
          </cell>
        </row>
        <row r="77">
          <cell r="I77" t="str">
            <v>1900</v>
          </cell>
          <cell r="J77">
            <v>371</v>
          </cell>
          <cell r="K77">
            <v>371</v>
          </cell>
          <cell r="N77">
            <v>51.85</v>
          </cell>
        </row>
        <row r="78">
          <cell r="I78" t="str">
            <v>1915</v>
          </cell>
          <cell r="J78">
            <v>371</v>
          </cell>
          <cell r="K78">
            <v>371</v>
          </cell>
          <cell r="N78">
            <v>51.85</v>
          </cell>
        </row>
        <row r="79">
          <cell r="I79" t="str">
            <v>1930</v>
          </cell>
          <cell r="J79">
            <v>371</v>
          </cell>
          <cell r="K79">
            <v>371</v>
          </cell>
          <cell r="N79">
            <v>51.85</v>
          </cell>
        </row>
        <row r="80">
          <cell r="I80" t="str">
            <v>1945</v>
          </cell>
          <cell r="J80">
            <v>371</v>
          </cell>
          <cell r="K80">
            <v>371</v>
          </cell>
          <cell r="N80">
            <v>51.85</v>
          </cell>
        </row>
        <row r="81">
          <cell r="I81" t="str">
            <v>2000</v>
          </cell>
          <cell r="J81">
            <v>371</v>
          </cell>
          <cell r="K81">
            <v>371</v>
          </cell>
          <cell r="N81">
            <v>51.85</v>
          </cell>
        </row>
        <row r="82">
          <cell r="I82" t="str">
            <v>2015</v>
          </cell>
          <cell r="J82">
            <v>371</v>
          </cell>
          <cell r="K82">
            <v>371</v>
          </cell>
          <cell r="N82">
            <v>0</v>
          </cell>
        </row>
        <row r="83">
          <cell r="I83" t="str">
            <v>2030</v>
          </cell>
          <cell r="J83">
            <v>371</v>
          </cell>
          <cell r="K83">
            <v>371</v>
          </cell>
          <cell r="N83">
            <v>0</v>
          </cell>
        </row>
        <row r="84">
          <cell r="I84" t="str">
            <v>2045</v>
          </cell>
          <cell r="J84">
            <v>371</v>
          </cell>
          <cell r="K84">
            <v>371</v>
          </cell>
          <cell r="N84">
            <v>0</v>
          </cell>
        </row>
        <row r="85">
          <cell r="I85" t="str">
            <v>2100</v>
          </cell>
          <cell r="J85">
            <v>371</v>
          </cell>
          <cell r="K85">
            <v>371</v>
          </cell>
          <cell r="N85">
            <v>0</v>
          </cell>
        </row>
        <row r="86">
          <cell r="I86" t="str">
            <v>2115</v>
          </cell>
          <cell r="J86">
            <v>371</v>
          </cell>
          <cell r="K86">
            <v>371</v>
          </cell>
          <cell r="N86">
            <v>0</v>
          </cell>
        </row>
        <row r="87">
          <cell r="I87" t="str">
            <v>2130</v>
          </cell>
          <cell r="J87">
            <v>371</v>
          </cell>
          <cell r="K87">
            <v>371</v>
          </cell>
          <cell r="N87">
            <v>0</v>
          </cell>
        </row>
        <row r="88">
          <cell r="I88" t="str">
            <v>2145</v>
          </cell>
          <cell r="J88">
            <v>367.75</v>
          </cell>
          <cell r="K88">
            <v>367.75</v>
          </cell>
          <cell r="N88">
            <v>0</v>
          </cell>
        </row>
        <row r="89">
          <cell r="I89" t="str">
            <v>2200</v>
          </cell>
          <cell r="J89">
            <v>358.5</v>
          </cell>
          <cell r="K89">
            <v>358.5</v>
          </cell>
          <cell r="N89">
            <v>0</v>
          </cell>
        </row>
        <row r="90">
          <cell r="I90" t="str">
            <v>2215</v>
          </cell>
          <cell r="J90">
            <v>350</v>
          </cell>
          <cell r="K90">
            <v>350</v>
          </cell>
          <cell r="N90">
            <v>0</v>
          </cell>
        </row>
        <row r="91">
          <cell r="I91" t="str">
            <v>2230</v>
          </cell>
          <cell r="J91">
            <v>347.38</v>
          </cell>
          <cell r="K91">
            <v>347.38</v>
          </cell>
          <cell r="N91">
            <v>0</v>
          </cell>
        </row>
        <row r="92">
          <cell r="I92" t="str">
            <v>2245</v>
          </cell>
          <cell r="J92">
            <v>344.5</v>
          </cell>
          <cell r="K92">
            <v>344.5</v>
          </cell>
          <cell r="N92">
            <v>0</v>
          </cell>
        </row>
        <row r="93">
          <cell r="I93" t="str">
            <v>2300</v>
          </cell>
          <cell r="J93">
            <v>341</v>
          </cell>
          <cell r="K93">
            <v>341</v>
          </cell>
          <cell r="N93">
            <v>0</v>
          </cell>
        </row>
        <row r="94">
          <cell r="I94" t="str">
            <v>2315</v>
          </cell>
          <cell r="J94">
            <v>345.38</v>
          </cell>
          <cell r="K94">
            <v>345.38</v>
          </cell>
          <cell r="N94">
            <v>0</v>
          </cell>
        </row>
        <row r="95">
          <cell r="I95" t="str">
            <v>2330</v>
          </cell>
          <cell r="J95">
            <v>340</v>
          </cell>
          <cell r="K95">
            <v>340</v>
          </cell>
          <cell r="N95">
            <v>0</v>
          </cell>
        </row>
        <row r="96">
          <cell r="I96" t="str">
            <v>2345</v>
          </cell>
          <cell r="J96">
            <v>335.85</v>
          </cell>
          <cell r="K96">
            <v>335.85</v>
          </cell>
          <cell r="N96">
            <v>0</v>
          </cell>
        </row>
        <row r="97">
          <cell r="I97" t="str">
            <v>2400</v>
          </cell>
          <cell r="J97">
            <v>332.5</v>
          </cell>
          <cell r="K97">
            <v>332.5</v>
          </cell>
          <cell r="N97">
            <v>0</v>
          </cell>
        </row>
      </sheetData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315</v>
          </cell>
          <cell r="K2">
            <v>315</v>
          </cell>
          <cell r="N2">
            <v>0</v>
          </cell>
        </row>
        <row r="3">
          <cell r="I3" t="str">
            <v>0030</v>
          </cell>
          <cell r="J3">
            <v>312</v>
          </cell>
          <cell r="K3">
            <v>312</v>
          </cell>
          <cell r="N3">
            <v>0</v>
          </cell>
        </row>
        <row r="4">
          <cell r="I4" t="str">
            <v>0045</v>
          </cell>
          <cell r="J4">
            <v>310</v>
          </cell>
          <cell r="K4">
            <v>310</v>
          </cell>
          <cell r="N4">
            <v>0</v>
          </cell>
        </row>
        <row r="5">
          <cell r="I5" t="str">
            <v>0100</v>
          </cell>
          <cell r="J5">
            <v>308</v>
          </cell>
          <cell r="K5">
            <v>308</v>
          </cell>
          <cell r="N5">
            <v>0</v>
          </cell>
        </row>
        <row r="6">
          <cell r="I6" t="str">
            <v>0115</v>
          </cell>
          <cell r="J6">
            <v>308</v>
          </cell>
          <cell r="K6">
            <v>308</v>
          </cell>
          <cell r="N6">
            <v>0</v>
          </cell>
        </row>
        <row r="7">
          <cell r="I7" t="str">
            <v>0130</v>
          </cell>
          <cell r="J7">
            <v>308</v>
          </cell>
          <cell r="K7">
            <v>308</v>
          </cell>
          <cell r="N7">
            <v>0</v>
          </cell>
        </row>
        <row r="8">
          <cell r="I8" t="str">
            <v>0145</v>
          </cell>
          <cell r="J8">
            <v>306</v>
          </cell>
          <cell r="K8">
            <v>306</v>
          </cell>
          <cell r="N8">
            <v>0</v>
          </cell>
        </row>
        <row r="9">
          <cell r="I9" t="str">
            <v>0200</v>
          </cell>
          <cell r="J9">
            <v>306</v>
          </cell>
          <cell r="K9">
            <v>306</v>
          </cell>
          <cell r="N9">
            <v>0</v>
          </cell>
        </row>
        <row r="10">
          <cell r="I10" t="str">
            <v>0215</v>
          </cell>
          <cell r="J10">
            <v>315</v>
          </cell>
          <cell r="K10">
            <v>315</v>
          </cell>
          <cell r="N10">
            <v>0</v>
          </cell>
        </row>
        <row r="11">
          <cell r="I11" t="str">
            <v>0230</v>
          </cell>
          <cell r="J11">
            <v>315</v>
          </cell>
          <cell r="K11">
            <v>315</v>
          </cell>
          <cell r="N11">
            <v>0</v>
          </cell>
        </row>
        <row r="12">
          <cell r="I12" t="str">
            <v>0245</v>
          </cell>
          <cell r="J12">
            <v>315</v>
          </cell>
          <cell r="K12">
            <v>315</v>
          </cell>
          <cell r="N12">
            <v>0</v>
          </cell>
        </row>
        <row r="13">
          <cell r="I13" t="str">
            <v>0300</v>
          </cell>
          <cell r="J13">
            <v>312</v>
          </cell>
          <cell r="K13">
            <v>312</v>
          </cell>
          <cell r="N13">
            <v>0</v>
          </cell>
        </row>
        <row r="14">
          <cell r="I14" t="str">
            <v>0315</v>
          </cell>
          <cell r="J14">
            <v>310</v>
          </cell>
          <cell r="K14">
            <v>310</v>
          </cell>
          <cell r="N14">
            <v>0</v>
          </cell>
        </row>
        <row r="15">
          <cell r="I15" t="str">
            <v>0330</v>
          </cell>
          <cell r="J15">
            <v>309.38</v>
          </cell>
          <cell r="K15">
            <v>309.38</v>
          </cell>
          <cell r="N15">
            <v>0</v>
          </cell>
        </row>
        <row r="16">
          <cell r="I16" t="str">
            <v>0345</v>
          </cell>
          <cell r="J16">
            <v>310</v>
          </cell>
          <cell r="K16">
            <v>310</v>
          </cell>
          <cell r="N16">
            <v>0</v>
          </cell>
        </row>
        <row r="17">
          <cell r="I17" t="str">
            <v>0400</v>
          </cell>
          <cell r="J17">
            <v>309</v>
          </cell>
          <cell r="K17">
            <v>309</v>
          </cell>
          <cell r="N17">
            <v>0</v>
          </cell>
        </row>
        <row r="18">
          <cell r="I18" t="str">
            <v>0415</v>
          </cell>
          <cell r="J18">
            <v>310</v>
          </cell>
          <cell r="K18">
            <v>310</v>
          </cell>
          <cell r="N18">
            <v>0</v>
          </cell>
        </row>
        <row r="19">
          <cell r="I19" t="str">
            <v>0430</v>
          </cell>
          <cell r="J19">
            <v>312</v>
          </cell>
          <cell r="K19">
            <v>312</v>
          </cell>
          <cell r="N19">
            <v>0</v>
          </cell>
        </row>
        <row r="20">
          <cell r="I20" t="str">
            <v>0445</v>
          </cell>
          <cell r="J20">
            <v>313.75</v>
          </cell>
          <cell r="K20">
            <v>313.75</v>
          </cell>
          <cell r="N20">
            <v>0</v>
          </cell>
        </row>
        <row r="21">
          <cell r="I21" t="str">
            <v>0500</v>
          </cell>
          <cell r="J21">
            <v>316</v>
          </cell>
          <cell r="K21">
            <v>316</v>
          </cell>
          <cell r="N21">
            <v>0</v>
          </cell>
        </row>
        <row r="22">
          <cell r="I22" t="str">
            <v>0515</v>
          </cell>
          <cell r="J22">
            <v>319</v>
          </cell>
          <cell r="K22">
            <v>319</v>
          </cell>
          <cell r="N22">
            <v>0</v>
          </cell>
        </row>
        <row r="23">
          <cell r="I23" t="str">
            <v>0530</v>
          </cell>
          <cell r="J23">
            <v>313.13</v>
          </cell>
          <cell r="K23">
            <v>313.13</v>
          </cell>
          <cell r="N23">
            <v>0</v>
          </cell>
        </row>
        <row r="24">
          <cell r="I24" t="str">
            <v>0545</v>
          </cell>
          <cell r="J24">
            <v>310</v>
          </cell>
          <cell r="K24">
            <v>310</v>
          </cell>
          <cell r="N24">
            <v>0</v>
          </cell>
        </row>
        <row r="25">
          <cell r="I25" t="str">
            <v>0600</v>
          </cell>
          <cell r="J25">
            <v>306</v>
          </cell>
          <cell r="K25">
            <v>306</v>
          </cell>
          <cell r="N25">
            <v>0</v>
          </cell>
        </row>
        <row r="26">
          <cell r="I26" t="str">
            <v>0615</v>
          </cell>
          <cell r="J26">
            <v>306.25</v>
          </cell>
          <cell r="K26">
            <v>306.25</v>
          </cell>
          <cell r="N26">
            <v>0</v>
          </cell>
        </row>
        <row r="27">
          <cell r="I27" t="str">
            <v>0630</v>
          </cell>
          <cell r="J27">
            <v>308.13</v>
          </cell>
          <cell r="K27">
            <v>308.13</v>
          </cell>
          <cell r="N27">
            <v>0</v>
          </cell>
        </row>
        <row r="28">
          <cell r="I28" t="str">
            <v>0645</v>
          </cell>
          <cell r="J28">
            <v>314</v>
          </cell>
          <cell r="K28">
            <v>314</v>
          </cell>
          <cell r="N28">
            <v>0</v>
          </cell>
        </row>
        <row r="29">
          <cell r="I29" t="str">
            <v>0700</v>
          </cell>
          <cell r="J29">
            <v>314</v>
          </cell>
          <cell r="K29">
            <v>314</v>
          </cell>
          <cell r="N29">
            <v>0</v>
          </cell>
        </row>
        <row r="30">
          <cell r="I30" t="str">
            <v>0715</v>
          </cell>
          <cell r="J30">
            <v>316</v>
          </cell>
          <cell r="K30">
            <v>316</v>
          </cell>
          <cell r="N30">
            <v>0</v>
          </cell>
        </row>
        <row r="31">
          <cell r="I31" t="str">
            <v>0730</v>
          </cell>
          <cell r="J31">
            <v>330</v>
          </cell>
          <cell r="K31">
            <v>330</v>
          </cell>
          <cell r="N31">
            <v>0</v>
          </cell>
        </row>
        <row r="32">
          <cell r="I32" t="str">
            <v>0745</v>
          </cell>
          <cell r="J32">
            <v>344.33</v>
          </cell>
          <cell r="K32">
            <v>344.33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357.5</v>
          </cell>
          <cell r="K34">
            <v>357.5</v>
          </cell>
          <cell r="N34">
            <v>0</v>
          </cell>
        </row>
        <row r="35">
          <cell r="I35" t="str">
            <v>0830</v>
          </cell>
          <cell r="J35">
            <v>350.75</v>
          </cell>
          <cell r="K35">
            <v>350.75</v>
          </cell>
          <cell r="N35">
            <v>0</v>
          </cell>
        </row>
        <row r="36">
          <cell r="I36" t="str">
            <v>0845</v>
          </cell>
          <cell r="J36">
            <v>344</v>
          </cell>
          <cell r="K36">
            <v>344</v>
          </cell>
          <cell r="N36">
            <v>0</v>
          </cell>
        </row>
        <row r="37">
          <cell r="I37" t="str">
            <v>0900</v>
          </cell>
          <cell r="J37">
            <v>334</v>
          </cell>
          <cell r="K37">
            <v>334</v>
          </cell>
          <cell r="N37">
            <v>0</v>
          </cell>
        </row>
        <row r="38">
          <cell r="I38" t="str">
            <v>0915</v>
          </cell>
          <cell r="J38">
            <v>328</v>
          </cell>
          <cell r="K38">
            <v>328</v>
          </cell>
          <cell r="N38">
            <v>0</v>
          </cell>
        </row>
        <row r="39">
          <cell r="I39" t="str">
            <v>0930</v>
          </cell>
          <cell r="J39">
            <v>317.04000000000002</v>
          </cell>
          <cell r="K39">
            <v>317.04000000000002</v>
          </cell>
          <cell r="N39">
            <v>0</v>
          </cell>
        </row>
        <row r="40">
          <cell r="I40" t="str">
            <v>0945</v>
          </cell>
          <cell r="J40">
            <v>309.27</v>
          </cell>
          <cell r="K40">
            <v>309.27</v>
          </cell>
          <cell r="N40">
            <v>0</v>
          </cell>
        </row>
        <row r="41">
          <cell r="I41" t="str">
            <v>1000</v>
          </cell>
          <cell r="J41">
            <v>302</v>
          </cell>
          <cell r="K41">
            <v>302</v>
          </cell>
          <cell r="N41">
            <v>0</v>
          </cell>
        </row>
        <row r="42">
          <cell r="I42" t="str">
            <v>1015</v>
          </cell>
          <cell r="J42">
            <v>303.13</v>
          </cell>
          <cell r="K42">
            <v>303.13</v>
          </cell>
          <cell r="N42">
            <v>0</v>
          </cell>
        </row>
        <row r="43">
          <cell r="I43" t="str">
            <v>1030</v>
          </cell>
          <cell r="J43">
            <v>295.91000000000003</v>
          </cell>
          <cell r="K43">
            <v>295.91000000000003</v>
          </cell>
          <cell r="N43">
            <v>0</v>
          </cell>
        </row>
        <row r="44">
          <cell r="I44" t="str">
            <v>1045</v>
          </cell>
          <cell r="J44">
            <v>286</v>
          </cell>
          <cell r="K44">
            <v>286</v>
          </cell>
          <cell r="N44">
            <v>0</v>
          </cell>
        </row>
        <row r="45">
          <cell r="I45" t="str">
            <v>1100</v>
          </cell>
          <cell r="J45">
            <v>279</v>
          </cell>
          <cell r="K45">
            <v>279</v>
          </cell>
          <cell r="N45">
            <v>0</v>
          </cell>
        </row>
        <row r="46">
          <cell r="I46" t="str">
            <v>1115</v>
          </cell>
          <cell r="J46">
            <v>291.88</v>
          </cell>
          <cell r="K46">
            <v>291.88</v>
          </cell>
          <cell r="N46">
            <v>0</v>
          </cell>
        </row>
        <row r="47">
          <cell r="I47" t="str">
            <v>1130</v>
          </cell>
          <cell r="J47">
            <v>219.6</v>
          </cell>
          <cell r="K47">
            <v>219.6</v>
          </cell>
          <cell r="N47">
            <v>0</v>
          </cell>
        </row>
        <row r="48">
          <cell r="I48" t="str">
            <v>1145</v>
          </cell>
          <cell r="J48">
            <v>219.6</v>
          </cell>
          <cell r="K48">
            <v>219.6</v>
          </cell>
          <cell r="N48">
            <v>-95</v>
          </cell>
        </row>
        <row r="49">
          <cell r="I49" t="str">
            <v>1200</v>
          </cell>
          <cell r="J49">
            <v>181.71</v>
          </cell>
          <cell r="K49">
            <v>181.71</v>
          </cell>
          <cell r="N49">
            <v>-95</v>
          </cell>
        </row>
        <row r="50">
          <cell r="I50" t="str">
            <v>1215</v>
          </cell>
          <cell r="J50">
            <v>177.86</v>
          </cell>
          <cell r="K50">
            <v>177.86</v>
          </cell>
          <cell r="N50">
            <v>-95</v>
          </cell>
        </row>
        <row r="51">
          <cell r="I51" t="str">
            <v>1230</v>
          </cell>
          <cell r="J51">
            <v>167.46</v>
          </cell>
          <cell r="K51">
            <v>167.46</v>
          </cell>
          <cell r="N51">
            <v>-95</v>
          </cell>
        </row>
        <row r="52">
          <cell r="I52" t="str">
            <v>1245</v>
          </cell>
          <cell r="J52">
            <v>181.71</v>
          </cell>
          <cell r="K52">
            <v>181.71</v>
          </cell>
          <cell r="N52">
            <v>-95</v>
          </cell>
        </row>
        <row r="53">
          <cell r="I53" t="str">
            <v>1300</v>
          </cell>
          <cell r="J53">
            <v>184.05</v>
          </cell>
          <cell r="K53">
            <v>184.05</v>
          </cell>
          <cell r="N53">
            <v>-95</v>
          </cell>
        </row>
        <row r="54">
          <cell r="I54" t="str">
            <v>1315</v>
          </cell>
          <cell r="J54">
            <v>224</v>
          </cell>
          <cell r="K54">
            <v>224</v>
          </cell>
          <cell r="N54">
            <v>-95</v>
          </cell>
        </row>
        <row r="55">
          <cell r="I55" t="str">
            <v>1330</v>
          </cell>
          <cell r="J55">
            <v>215.55</v>
          </cell>
          <cell r="K55">
            <v>215.55</v>
          </cell>
          <cell r="N55">
            <v>0</v>
          </cell>
        </row>
        <row r="56">
          <cell r="I56" t="str">
            <v>1345</v>
          </cell>
          <cell r="J56">
            <v>215.55</v>
          </cell>
          <cell r="K56">
            <v>215.55</v>
          </cell>
          <cell r="N56">
            <v>0</v>
          </cell>
        </row>
        <row r="57">
          <cell r="I57" t="str">
            <v>1400</v>
          </cell>
          <cell r="J57">
            <v>266.88</v>
          </cell>
          <cell r="K57">
            <v>266.88</v>
          </cell>
          <cell r="N57">
            <v>0</v>
          </cell>
        </row>
        <row r="58">
          <cell r="I58" t="str">
            <v>1415</v>
          </cell>
          <cell r="J58">
            <v>282</v>
          </cell>
          <cell r="K58">
            <v>282</v>
          </cell>
          <cell r="N58">
            <v>0</v>
          </cell>
        </row>
        <row r="59">
          <cell r="I59" t="str">
            <v>1430</v>
          </cell>
          <cell r="J59">
            <v>300</v>
          </cell>
          <cell r="K59">
            <v>300</v>
          </cell>
          <cell r="N59">
            <v>0</v>
          </cell>
        </row>
        <row r="60">
          <cell r="I60" t="str">
            <v>1445</v>
          </cell>
          <cell r="J60">
            <v>305.45</v>
          </cell>
          <cell r="K60">
            <v>305.45</v>
          </cell>
          <cell r="N60">
            <v>0</v>
          </cell>
        </row>
        <row r="61">
          <cell r="I61" t="str">
            <v>1500</v>
          </cell>
          <cell r="J61">
            <v>305</v>
          </cell>
          <cell r="K61">
            <v>305</v>
          </cell>
          <cell r="N61">
            <v>0</v>
          </cell>
        </row>
        <row r="62">
          <cell r="I62" t="str">
            <v>1515</v>
          </cell>
          <cell r="J62">
            <v>310</v>
          </cell>
          <cell r="K62">
            <v>310</v>
          </cell>
          <cell r="N62">
            <v>0</v>
          </cell>
        </row>
        <row r="63">
          <cell r="I63" t="str">
            <v>1530</v>
          </cell>
          <cell r="J63">
            <v>320</v>
          </cell>
          <cell r="K63">
            <v>320</v>
          </cell>
          <cell r="N63">
            <v>0</v>
          </cell>
        </row>
        <row r="64">
          <cell r="I64" t="str">
            <v>1545</v>
          </cell>
          <cell r="J64">
            <v>327.43</v>
          </cell>
          <cell r="K64">
            <v>327.43</v>
          </cell>
          <cell r="N64">
            <v>0</v>
          </cell>
        </row>
        <row r="65">
          <cell r="I65" t="str">
            <v>1600</v>
          </cell>
          <cell r="J65">
            <v>330.63</v>
          </cell>
          <cell r="K65">
            <v>330.63</v>
          </cell>
          <cell r="N65">
            <v>0</v>
          </cell>
        </row>
        <row r="66">
          <cell r="I66" t="str">
            <v>1615</v>
          </cell>
          <cell r="J66">
            <v>342</v>
          </cell>
          <cell r="K66">
            <v>342</v>
          </cell>
          <cell r="N66">
            <v>0</v>
          </cell>
        </row>
        <row r="67">
          <cell r="I67" t="str">
            <v>1630</v>
          </cell>
          <cell r="J67">
            <v>352.5</v>
          </cell>
          <cell r="K67">
            <v>352.5</v>
          </cell>
          <cell r="N67">
            <v>0</v>
          </cell>
        </row>
        <row r="68">
          <cell r="I68" t="str">
            <v>1645</v>
          </cell>
          <cell r="J68">
            <v>361.25</v>
          </cell>
          <cell r="K68">
            <v>361.25</v>
          </cell>
          <cell r="N68">
            <v>0</v>
          </cell>
        </row>
        <row r="69">
          <cell r="I69" t="str">
            <v>1700</v>
          </cell>
          <cell r="J69">
            <v>361.25</v>
          </cell>
          <cell r="K69">
            <v>361.25</v>
          </cell>
          <cell r="N69">
            <v>95</v>
          </cell>
        </row>
        <row r="70">
          <cell r="I70" t="str">
            <v>1715</v>
          </cell>
          <cell r="J70">
            <v>361.25</v>
          </cell>
          <cell r="K70">
            <v>361.25</v>
          </cell>
          <cell r="N70">
            <v>95</v>
          </cell>
        </row>
        <row r="71">
          <cell r="I71" t="str">
            <v>1730</v>
          </cell>
          <cell r="J71">
            <v>361.25</v>
          </cell>
          <cell r="K71">
            <v>361.25</v>
          </cell>
          <cell r="N71">
            <v>95</v>
          </cell>
        </row>
        <row r="72">
          <cell r="I72" t="str">
            <v>1745</v>
          </cell>
          <cell r="J72">
            <v>361.25</v>
          </cell>
          <cell r="K72">
            <v>361.25</v>
          </cell>
          <cell r="N72">
            <v>95</v>
          </cell>
        </row>
        <row r="73">
          <cell r="I73" t="str">
            <v>1800</v>
          </cell>
          <cell r="J73">
            <v>361.25</v>
          </cell>
          <cell r="K73">
            <v>361.25</v>
          </cell>
          <cell r="N73">
            <v>64.849999999999994</v>
          </cell>
        </row>
        <row r="74">
          <cell r="I74" t="str">
            <v>1815</v>
          </cell>
          <cell r="J74">
            <v>361.25</v>
          </cell>
          <cell r="K74">
            <v>361.25</v>
          </cell>
          <cell r="N74">
            <v>64.849999999999994</v>
          </cell>
        </row>
        <row r="75">
          <cell r="I75" t="str">
            <v>1830</v>
          </cell>
          <cell r="J75">
            <v>361.25</v>
          </cell>
          <cell r="K75">
            <v>361.25</v>
          </cell>
          <cell r="N75">
            <v>64.849999999999994</v>
          </cell>
        </row>
        <row r="76">
          <cell r="I76" t="str">
            <v>1845</v>
          </cell>
          <cell r="J76">
            <v>361.25</v>
          </cell>
          <cell r="K76">
            <v>361.25</v>
          </cell>
          <cell r="N76">
            <v>64.849999999999994</v>
          </cell>
        </row>
        <row r="77">
          <cell r="I77" t="str">
            <v>1900</v>
          </cell>
          <cell r="J77">
            <v>361.25</v>
          </cell>
          <cell r="K77">
            <v>361.25</v>
          </cell>
          <cell r="N77">
            <v>0</v>
          </cell>
        </row>
        <row r="78">
          <cell r="I78" t="str">
            <v>1915</v>
          </cell>
          <cell r="J78">
            <v>361.25</v>
          </cell>
          <cell r="K78">
            <v>361.25</v>
          </cell>
          <cell r="N78">
            <v>0</v>
          </cell>
        </row>
        <row r="79">
          <cell r="I79" t="str">
            <v>1930</v>
          </cell>
          <cell r="J79">
            <v>361.25</v>
          </cell>
          <cell r="K79">
            <v>361.25</v>
          </cell>
          <cell r="N79">
            <v>0</v>
          </cell>
        </row>
        <row r="80">
          <cell r="I80" t="str">
            <v>1945</v>
          </cell>
          <cell r="J80">
            <v>361.25</v>
          </cell>
          <cell r="K80">
            <v>361.25</v>
          </cell>
          <cell r="N80">
            <v>0</v>
          </cell>
        </row>
        <row r="81">
          <cell r="I81" t="str">
            <v>2000</v>
          </cell>
          <cell r="J81">
            <v>358.13</v>
          </cell>
          <cell r="K81">
            <v>358.13</v>
          </cell>
          <cell r="N81">
            <v>0</v>
          </cell>
        </row>
        <row r="82">
          <cell r="I82" t="str">
            <v>2015</v>
          </cell>
          <cell r="J82">
            <v>357.5</v>
          </cell>
          <cell r="K82">
            <v>357.5</v>
          </cell>
          <cell r="N82">
            <v>0</v>
          </cell>
        </row>
        <row r="83">
          <cell r="I83" t="str">
            <v>2030</v>
          </cell>
          <cell r="J83">
            <v>355.38</v>
          </cell>
          <cell r="K83">
            <v>355.38</v>
          </cell>
          <cell r="N83">
            <v>0</v>
          </cell>
        </row>
        <row r="84">
          <cell r="I84" t="str">
            <v>2045</v>
          </cell>
          <cell r="J84">
            <v>354</v>
          </cell>
          <cell r="K84">
            <v>354</v>
          </cell>
          <cell r="N84">
            <v>0</v>
          </cell>
        </row>
        <row r="85">
          <cell r="I85" t="str">
            <v>2100</v>
          </cell>
          <cell r="J85">
            <v>353.75</v>
          </cell>
          <cell r="K85">
            <v>353.75</v>
          </cell>
          <cell r="N85">
            <v>0</v>
          </cell>
        </row>
        <row r="86">
          <cell r="I86" t="str">
            <v>2115</v>
          </cell>
          <cell r="J86">
            <v>358</v>
          </cell>
          <cell r="K86">
            <v>358</v>
          </cell>
          <cell r="N86">
            <v>0</v>
          </cell>
        </row>
        <row r="87">
          <cell r="I87" t="str">
            <v>2130</v>
          </cell>
          <cell r="J87">
            <v>354.3</v>
          </cell>
          <cell r="K87">
            <v>354.3</v>
          </cell>
          <cell r="N87">
            <v>0</v>
          </cell>
        </row>
        <row r="88">
          <cell r="I88" t="str">
            <v>2145</v>
          </cell>
          <cell r="J88">
            <v>348.88</v>
          </cell>
          <cell r="K88">
            <v>348.88</v>
          </cell>
          <cell r="N88">
            <v>0</v>
          </cell>
        </row>
        <row r="89">
          <cell r="I89" t="str">
            <v>2200</v>
          </cell>
          <cell r="J89">
            <v>340.78</v>
          </cell>
          <cell r="K89">
            <v>340.78</v>
          </cell>
          <cell r="N89">
            <v>0</v>
          </cell>
        </row>
        <row r="90">
          <cell r="I90" t="str">
            <v>2215</v>
          </cell>
          <cell r="J90">
            <v>335.38</v>
          </cell>
          <cell r="K90">
            <v>335.38</v>
          </cell>
          <cell r="N90">
            <v>0</v>
          </cell>
        </row>
        <row r="91">
          <cell r="I91" t="str">
            <v>2230</v>
          </cell>
          <cell r="J91">
            <v>334.89</v>
          </cell>
          <cell r="K91">
            <v>334.89</v>
          </cell>
          <cell r="N91">
            <v>0</v>
          </cell>
        </row>
        <row r="92">
          <cell r="I92" t="str">
            <v>2245</v>
          </cell>
          <cell r="J92">
            <v>333</v>
          </cell>
          <cell r="K92">
            <v>333</v>
          </cell>
          <cell r="N92">
            <v>0</v>
          </cell>
        </row>
        <row r="93">
          <cell r="I93" t="str">
            <v>2300</v>
          </cell>
          <cell r="J93">
            <v>330.63</v>
          </cell>
          <cell r="K93">
            <v>330.63</v>
          </cell>
          <cell r="N93">
            <v>0</v>
          </cell>
        </row>
        <row r="94">
          <cell r="I94" t="str">
            <v>2315</v>
          </cell>
          <cell r="J94">
            <v>335</v>
          </cell>
          <cell r="K94">
            <v>335</v>
          </cell>
          <cell r="N94">
            <v>0</v>
          </cell>
        </row>
        <row r="95">
          <cell r="I95" t="str">
            <v>2330</v>
          </cell>
          <cell r="J95">
            <v>330</v>
          </cell>
          <cell r="K95">
            <v>330</v>
          </cell>
          <cell r="N95">
            <v>0</v>
          </cell>
        </row>
        <row r="96">
          <cell r="I96" t="str">
            <v>2345</v>
          </cell>
          <cell r="J96">
            <v>326.33</v>
          </cell>
          <cell r="K96">
            <v>326.33</v>
          </cell>
          <cell r="N96">
            <v>0</v>
          </cell>
        </row>
        <row r="97">
          <cell r="I97" t="str">
            <v>2400</v>
          </cell>
          <cell r="J97">
            <v>323</v>
          </cell>
          <cell r="K97">
            <v>323</v>
          </cell>
          <cell r="N97">
            <v>0</v>
          </cell>
        </row>
      </sheetData>
      <sheetData sheetId="2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328</v>
          </cell>
          <cell r="K2">
            <v>328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328</v>
          </cell>
          <cell r="K5">
            <v>328</v>
          </cell>
          <cell r="N5">
            <v>0</v>
          </cell>
        </row>
        <row r="6">
          <cell r="I6" t="str">
            <v>0115</v>
          </cell>
          <cell r="J6">
            <v>328</v>
          </cell>
          <cell r="K6">
            <v>328</v>
          </cell>
          <cell r="N6">
            <v>0</v>
          </cell>
        </row>
        <row r="7">
          <cell r="I7" t="str">
            <v>0130</v>
          </cell>
          <cell r="J7">
            <v>328</v>
          </cell>
          <cell r="K7">
            <v>328</v>
          </cell>
          <cell r="N7">
            <v>0</v>
          </cell>
        </row>
        <row r="8">
          <cell r="I8" t="str">
            <v>0145</v>
          </cell>
          <cell r="J8">
            <v>328</v>
          </cell>
          <cell r="K8">
            <v>328</v>
          </cell>
          <cell r="N8">
            <v>0</v>
          </cell>
        </row>
        <row r="9">
          <cell r="I9" t="str">
            <v>0200</v>
          </cell>
          <cell r="J9">
            <v>328</v>
          </cell>
          <cell r="K9">
            <v>328</v>
          </cell>
          <cell r="N9">
            <v>0</v>
          </cell>
        </row>
        <row r="10">
          <cell r="I10" t="str">
            <v>0215</v>
          </cell>
          <cell r="J10">
            <v>330</v>
          </cell>
          <cell r="K10">
            <v>330</v>
          </cell>
          <cell r="N10">
            <v>0</v>
          </cell>
        </row>
        <row r="11">
          <cell r="I11" t="str">
            <v>0230</v>
          </cell>
          <cell r="J11">
            <v>328.25</v>
          </cell>
          <cell r="K11">
            <v>328.25</v>
          </cell>
          <cell r="N11">
            <v>0</v>
          </cell>
        </row>
        <row r="12">
          <cell r="I12" t="str">
            <v>0245</v>
          </cell>
          <cell r="J12">
            <v>328</v>
          </cell>
          <cell r="K12">
            <v>328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328</v>
          </cell>
          <cell r="K14">
            <v>328</v>
          </cell>
          <cell r="N14">
            <v>0</v>
          </cell>
        </row>
        <row r="15">
          <cell r="I15" t="str">
            <v>0330</v>
          </cell>
          <cell r="J15">
            <v>328</v>
          </cell>
          <cell r="K15">
            <v>328</v>
          </cell>
          <cell r="N15">
            <v>0</v>
          </cell>
        </row>
        <row r="16">
          <cell r="I16" t="str">
            <v>0345</v>
          </cell>
          <cell r="J16">
            <v>328</v>
          </cell>
          <cell r="K16">
            <v>328</v>
          </cell>
          <cell r="N16">
            <v>0</v>
          </cell>
        </row>
        <row r="17">
          <cell r="I17" t="str">
            <v>0400</v>
          </cell>
          <cell r="J17">
            <v>328</v>
          </cell>
          <cell r="K17">
            <v>328</v>
          </cell>
          <cell r="N17">
            <v>-11.83</v>
          </cell>
        </row>
        <row r="18">
          <cell r="I18" t="str">
            <v>0415</v>
          </cell>
          <cell r="J18">
            <v>328</v>
          </cell>
          <cell r="K18">
            <v>328</v>
          </cell>
          <cell r="N18">
            <v>-11.83</v>
          </cell>
        </row>
        <row r="19">
          <cell r="I19" t="str">
            <v>0430</v>
          </cell>
          <cell r="J19">
            <v>328</v>
          </cell>
          <cell r="K19">
            <v>328</v>
          </cell>
          <cell r="N19">
            <v>-11.83</v>
          </cell>
        </row>
        <row r="20">
          <cell r="I20" t="str">
            <v>0445</v>
          </cell>
          <cell r="J20">
            <v>328</v>
          </cell>
          <cell r="K20">
            <v>328</v>
          </cell>
          <cell r="N20">
            <v>-11.83</v>
          </cell>
        </row>
        <row r="21">
          <cell r="I21" t="str">
            <v>0500</v>
          </cell>
          <cell r="J21">
            <v>328</v>
          </cell>
          <cell r="K21">
            <v>328</v>
          </cell>
          <cell r="N21">
            <v>-11.83</v>
          </cell>
        </row>
        <row r="22">
          <cell r="I22" t="str">
            <v>0515</v>
          </cell>
          <cell r="J22">
            <v>328</v>
          </cell>
          <cell r="K22">
            <v>328</v>
          </cell>
          <cell r="N22">
            <v>-11.83</v>
          </cell>
        </row>
        <row r="23">
          <cell r="I23" t="str">
            <v>0530</v>
          </cell>
          <cell r="J23">
            <v>328</v>
          </cell>
          <cell r="K23">
            <v>328</v>
          </cell>
          <cell r="N23">
            <v>-95</v>
          </cell>
        </row>
        <row r="24">
          <cell r="I24" t="str">
            <v>0545</v>
          </cell>
          <cell r="J24">
            <v>328</v>
          </cell>
          <cell r="K24">
            <v>328</v>
          </cell>
          <cell r="N24">
            <v>-95</v>
          </cell>
        </row>
        <row r="25">
          <cell r="I25" t="str">
            <v>0600</v>
          </cell>
          <cell r="J25">
            <v>328</v>
          </cell>
          <cell r="K25">
            <v>328</v>
          </cell>
          <cell r="N25">
            <v>-95</v>
          </cell>
        </row>
        <row r="26">
          <cell r="I26" t="str">
            <v>0615</v>
          </cell>
          <cell r="J26">
            <v>328</v>
          </cell>
          <cell r="K26">
            <v>328</v>
          </cell>
          <cell r="N26">
            <v>-95</v>
          </cell>
        </row>
        <row r="27">
          <cell r="I27" t="str">
            <v>0630</v>
          </cell>
          <cell r="J27">
            <v>328</v>
          </cell>
          <cell r="K27">
            <v>328</v>
          </cell>
          <cell r="N27">
            <v>-95</v>
          </cell>
        </row>
        <row r="28">
          <cell r="I28" t="str">
            <v>0645</v>
          </cell>
          <cell r="J28">
            <v>328</v>
          </cell>
          <cell r="K28">
            <v>328</v>
          </cell>
          <cell r="N28">
            <v>-95</v>
          </cell>
        </row>
        <row r="29">
          <cell r="I29" t="str">
            <v>0700</v>
          </cell>
          <cell r="J29">
            <v>326</v>
          </cell>
          <cell r="K29">
            <v>326</v>
          </cell>
          <cell r="N29">
            <v>-95</v>
          </cell>
        </row>
        <row r="30">
          <cell r="I30" t="str">
            <v>0715</v>
          </cell>
          <cell r="J30">
            <v>322</v>
          </cell>
          <cell r="K30">
            <v>322</v>
          </cell>
          <cell r="N30">
            <v>0</v>
          </cell>
        </row>
        <row r="31">
          <cell r="I31" t="str">
            <v>0730</v>
          </cell>
          <cell r="J31">
            <v>325.33</v>
          </cell>
          <cell r="K31">
            <v>325.33</v>
          </cell>
          <cell r="N31">
            <v>0</v>
          </cell>
        </row>
        <row r="32">
          <cell r="I32" t="str">
            <v>0745</v>
          </cell>
          <cell r="J32">
            <v>330.42</v>
          </cell>
          <cell r="K32">
            <v>330.42</v>
          </cell>
          <cell r="N32">
            <v>0</v>
          </cell>
        </row>
        <row r="33">
          <cell r="I33" t="str">
            <v>0800</v>
          </cell>
          <cell r="J33">
            <v>336.25</v>
          </cell>
          <cell r="K33">
            <v>336.25</v>
          </cell>
          <cell r="N33">
            <v>0</v>
          </cell>
        </row>
        <row r="34">
          <cell r="I34" t="str">
            <v>0815</v>
          </cell>
          <cell r="J34">
            <v>682.8</v>
          </cell>
          <cell r="K34">
            <v>682.8</v>
          </cell>
          <cell r="N34">
            <v>0</v>
          </cell>
        </row>
        <row r="35">
          <cell r="I35" t="str">
            <v>0830</v>
          </cell>
          <cell r="J35">
            <v>682.8</v>
          </cell>
          <cell r="K35">
            <v>682.8</v>
          </cell>
          <cell r="N35">
            <v>0</v>
          </cell>
        </row>
        <row r="36">
          <cell r="I36" t="str">
            <v>0845</v>
          </cell>
          <cell r="J36">
            <v>1500</v>
          </cell>
          <cell r="K36">
            <v>1500</v>
          </cell>
          <cell r="N36">
            <v>0</v>
          </cell>
        </row>
        <row r="37">
          <cell r="I37" t="str">
            <v>0900</v>
          </cell>
          <cell r="J37">
            <v>1500</v>
          </cell>
          <cell r="K37">
            <v>1500</v>
          </cell>
          <cell r="N37">
            <v>6.84</v>
          </cell>
        </row>
        <row r="38">
          <cell r="I38" t="str">
            <v>0915</v>
          </cell>
          <cell r="J38">
            <v>1500</v>
          </cell>
          <cell r="K38">
            <v>1500</v>
          </cell>
          <cell r="N38">
            <v>6.84</v>
          </cell>
        </row>
        <row r="39">
          <cell r="I39" t="str">
            <v>0930</v>
          </cell>
          <cell r="J39">
            <v>1500</v>
          </cell>
          <cell r="K39">
            <v>1500</v>
          </cell>
          <cell r="N39">
            <v>6.84</v>
          </cell>
        </row>
        <row r="40">
          <cell r="I40" t="str">
            <v>0945</v>
          </cell>
          <cell r="J40">
            <v>1500</v>
          </cell>
          <cell r="K40">
            <v>1500</v>
          </cell>
          <cell r="N40">
            <v>6.84</v>
          </cell>
        </row>
        <row r="41">
          <cell r="I41" t="str">
            <v>1000</v>
          </cell>
          <cell r="J41">
            <v>1500</v>
          </cell>
          <cell r="K41">
            <v>1500</v>
          </cell>
          <cell r="N41">
            <v>6.84</v>
          </cell>
        </row>
        <row r="42">
          <cell r="I42" t="str">
            <v>1015</v>
          </cell>
          <cell r="J42">
            <v>1500</v>
          </cell>
          <cell r="K42">
            <v>1500</v>
          </cell>
          <cell r="N42">
            <v>95</v>
          </cell>
        </row>
        <row r="43">
          <cell r="I43" t="str">
            <v>1030</v>
          </cell>
          <cell r="J43">
            <v>1500</v>
          </cell>
          <cell r="K43">
            <v>1500</v>
          </cell>
          <cell r="N43">
            <v>95</v>
          </cell>
        </row>
        <row r="44">
          <cell r="I44" t="str">
            <v>1045</v>
          </cell>
          <cell r="J44">
            <v>1500</v>
          </cell>
          <cell r="K44">
            <v>1500</v>
          </cell>
          <cell r="N44">
            <v>95</v>
          </cell>
        </row>
        <row r="45">
          <cell r="I45" t="str">
            <v>1100</v>
          </cell>
          <cell r="J45">
            <v>1500</v>
          </cell>
          <cell r="K45">
            <v>1500</v>
          </cell>
          <cell r="N45">
            <v>95</v>
          </cell>
        </row>
        <row r="46">
          <cell r="I46" t="str">
            <v>1115</v>
          </cell>
          <cell r="J46">
            <v>1500</v>
          </cell>
          <cell r="K46">
            <v>1500</v>
          </cell>
          <cell r="N46">
            <v>95</v>
          </cell>
        </row>
        <row r="47">
          <cell r="I47" t="str">
            <v>1130</v>
          </cell>
          <cell r="J47">
            <v>1500</v>
          </cell>
          <cell r="K47">
            <v>1500</v>
          </cell>
          <cell r="N47">
            <v>95</v>
          </cell>
        </row>
        <row r="48">
          <cell r="I48" t="str">
            <v>1145</v>
          </cell>
          <cell r="J48">
            <v>1500</v>
          </cell>
          <cell r="K48">
            <v>1500</v>
          </cell>
          <cell r="N48">
            <v>95</v>
          </cell>
        </row>
        <row r="49">
          <cell r="I49" t="str">
            <v>1200</v>
          </cell>
          <cell r="J49">
            <v>290</v>
          </cell>
          <cell r="K49">
            <v>290</v>
          </cell>
          <cell r="N49">
            <v>0</v>
          </cell>
        </row>
        <row r="50">
          <cell r="I50" t="str">
            <v>1215</v>
          </cell>
          <cell r="J50">
            <v>850</v>
          </cell>
          <cell r="K50">
            <v>850</v>
          </cell>
          <cell r="N50">
            <v>0</v>
          </cell>
        </row>
        <row r="51">
          <cell r="I51" t="str">
            <v>1230</v>
          </cell>
          <cell r="J51">
            <v>682.8</v>
          </cell>
          <cell r="K51">
            <v>682.8</v>
          </cell>
          <cell r="N51">
            <v>0</v>
          </cell>
        </row>
        <row r="52">
          <cell r="I52" t="str">
            <v>1245</v>
          </cell>
          <cell r="J52">
            <v>682.8</v>
          </cell>
          <cell r="K52">
            <v>682.8</v>
          </cell>
          <cell r="N52">
            <v>0</v>
          </cell>
        </row>
        <row r="53">
          <cell r="I53" t="str">
            <v>1300</v>
          </cell>
          <cell r="J53">
            <v>300</v>
          </cell>
          <cell r="K53">
            <v>300</v>
          </cell>
          <cell r="N53">
            <v>0</v>
          </cell>
        </row>
        <row r="54">
          <cell r="I54" t="str">
            <v>1315</v>
          </cell>
          <cell r="J54">
            <v>850</v>
          </cell>
          <cell r="K54">
            <v>850</v>
          </cell>
          <cell r="N54">
            <v>0</v>
          </cell>
        </row>
        <row r="55">
          <cell r="I55" t="str">
            <v>1330</v>
          </cell>
          <cell r="J55">
            <v>682.8</v>
          </cell>
          <cell r="K55">
            <v>682.8</v>
          </cell>
          <cell r="N55">
            <v>0</v>
          </cell>
        </row>
        <row r="56">
          <cell r="I56" t="str">
            <v>1345</v>
          </cell>
          <cell r="J56">
            <v>682.8</v>
          </cell>
          <cell r="K56">
            <v>682.8</v>
          </cell>
          <cell r="N56">
            <v>0</v>
          </cell>
        </row>
        <row r="57">
          <cell r="I57" t="str">
            <v>1400</v>
          </cell>
          <cell r="J57">
            <v>682.8</v>
          </cell>
          <cell r="K57">
            <v>682.8</v>
          </cell>
          <cell r="N57">
            <v>0</v>
          </cell>
        </row>
        <row r="58">
          <cell r="I58" t="str">
            <v>1415</v>
          </cell>
          <cell r="J58">
            <v>682.8</v>
          </cell>
          <cell r="K58">
            <v>682.8</v>
          </cell>
          <cell r="N58">
            <v>0</v>
          </cell>
        </row>
        <row r="59">
          <cell r="I59" t="str">
            <v>1430</v>
          </cell>
          <cell r="J59">
            <v>682.8</v>
          </cell>
          <cell r="K59">
            <v>682.8</v>
          </cell>
          <cell r="N59">
            <v>0</v>
          </cell>
        </row>
        <row r="60">
          <cell r="I60" t="str">
            <v>1445</v>
          </cell>
          <cell r="J60">
            <v>682.8</v>
          </cell>
          <cell r="K60">
            <v>682.8</v>
          </cell>
          <cell r="N60">
            <v>0</v>
          </cell>
        </row>
        <row r="61">
          <cell r="I61" t="str">
            <v>1500</v>
          </cell>
          <cell r="J61">
            <v>320</v>
          </cell>
          <cell r="K61">
            <v>320</v>
          </cell>
          <cell r="N61">
            <v>0</v>
          </cell>
        </row>
        <row r="62">
          <cell r="I62" t="str">
            <v>1515</v>
          </cell>
          <cell r="J62">
            <v>359.09</v>
          </cell>
          <cell r="K62">
            <v>359.09</v>
          </cell>
          <cell r="N62">
            <v>0</v>
          </cell>
        </row>
        <row r="63">
          <cell r="I63" t="str">
            <v>1530</v>
          </cell>
          <cell r="J63">
            <v>330.56</v>
          </cell>
          <cell r="K63">
            <v>330.56</v>
          </cell>
          <cell r="N63">
            <v>0</v>
          </cell>
        </row>
        <row r="64">
          <cell r="I64" t="str">
            <v>1545</v>
          </cell>
          <cell r="J64">
            <v>330.56</v>
          </cell>
          <cell r="K64">
            <v>330.56</v>
          </cell>
          <cell r="N64">
            <v>0</v>
          </cell>
        </row>
        <row r="65">
          <cell r="I65" t="str">
            <v>1600</v>
          </cell>
          <cell r="J65">
            <v>330.56</v>
          </cell>
          <cell r="K65">
            <v>330.56</v>
          </cell>
          <cell r="N65">
            <v>0</v>
          </cell>
        </row>
        <row r="66">
          <cell r="I66" t="str">
            <v>1615</v>
          </cell>
          <cell r="J66">
            <v>330.56</v>
          </cell>
          <cell r="K66">
            <v>330.56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340</v>
          </cell>
          <cell r="K68">
            <v>340</v>
          </cell>
          <cell r="N68">
            <v>0</v>
          </cell>
        </row>
        <row r="69">
          <cell r="I69" t="str">
            <v>1700</v>
          </cell>
          <cell r="J69">
            <v>344.36</v>
          </cell>
          <cell r="K69">
            <v>344.36</v>
          </cell>
          <cell r="N69">
            <v>0</v>
          </cell>
        </row>
        <row r="70">
          <cell r="I70" t="str">
            <v>1715</v>
          </cell>
          <cell r="J70">
            <v>346</v>
          </cell>
          <cell r="K70">
            <v>346</v>
          </cell>
          <cell r="N70">
            <v>0</v>
          </cell>
        </row>
        <row r="71">
          <cell r="I71" t="str">
            <v>1730</v>
          </cell>
          <cell r="J71">
            <v>354</v>
          </cell>
          <cell r="K71">
            <v>354</v>
          </cell>
          <cell r="N71">
            <v>0</v>
          </cell>
        </row>
        <row r="72">
          <cell r="I72" t="str">
            <v>1745</v>
          </cell>
          <cell r="J72">
            <v>354</v>
          </cell>
          <cell r="K72">
            <v>354</v>
          </cell>
          <cell r="N72">
            <v>0</v>
          </cell>
        </row>
        <row r="73">
          <cell r="I73" t="str">
            <v>1800</v>
          </cell>
          <cell r="J73">
            <v>353</v>
          </cell>
          <cell r="K73">
            <v>353</v>
          </cell>
          <cell r="N73">
            <v>0</v>
          </cell>
        </row>
        <row r="74">
          <cell r="I74" t="str">
            <v>1815</v>
          </cell>
          <cell r="J74">
            <v>348.11</v>
          </cell>
          <cell r="K74">
            <v>348.11</v>
          </cell>
          <cell r="N74">
            <v>0</v>
          </cell>
        </row>
        <row r="75">
          <cell r="I75" t="str">
            <v>1830</v>
          </cell>
          <cell r="J75">
            <v>346.22</v>
          </cell>
          <cell r="K75">
            <v>346.22</v>
          </cell>
          <cell r="N75">
            <v>0</v>
          </cell>
        </row>
        <row r="76">
          <cell r="I76" t="str">
            <v>1845</v>
          </cell>
          <cell r="J76">
            <v>343.11</v>
          </cell>
          <cell r="K76">
            <v>343.11</v>
          </cell>
          <cell r="N76">
            <v>0</v>
          </cell>
        </row>
        <row r="77">
          <cell r="I77" t="str">
            <v>1900</v>
          </cell>
          <cell r="J77">
            <v>340.78</v>
          </cell>
          <cell r="K77">
            <v>340.78</v>
          </cell>
          <cell r="N77">
            <v>0</v>
          </cell>
        </row>
        <row r="78">
          <cell r="I78" t="str">
            <v>1915</v>
          </cell>
          <cell r="J78">
            <v>344</v>
          </cell>
          <cell r="K78">
            <v>344</v>
          </cell>
          <cell r="N78">
            <v>0</v>
          </cell>
        </row>
        <row r="79">
          <cell r="I79" t="str">
            <v>1930</v>
          </cell>
          <cell r="J79">
            <v>340</v>
          </cell>
          <cell r="K79">
            <v>340</v>
          </cell>
          <cell r="N79">
            <v>0</v>
          </cell>
        </row>
        <row r="80">
          <cell r="I80" t="str">
            <v>1945</v>
          </cell>
          <cell r="J80">
            <v>339.23</v>
          </cell>
          <cell r="K80">
            <v>339.23</v>
          </cell>
          <cell r="N80">
            <v>0</v>
          </cell>
        </row>
        <row r="81">
          <cell r="I81" t="str">
            <v>2000</v>
          </cell>
          <cell r="J81">
            <v>336</v>
          </cell>
          <cell r="K81">
            <v>336</v>
          </cell>
          <cell r="N81">
            <v>0</v>
          </cell>
        </row>
        <row r="82">
          <cell r="I82" t="str">
            <v>2015</v>
          </cell>
          <cell r="J82">
            <v>335.69</v>
          </cell>
          <cell r="K82">
            <v>335.69</v>
          </cell>
          <cell r="N82">
            <v>0</v>
          </cell>
        </row>
        <row r="83">
          <cell r="I83" t="str">
            <v>2030</v>
          </cell>
          <cell r="J83">
            <v>335</v>
          </cell>
          <cell r="K83">
            <v>335</v>
          </cell>
          <cell r="N83">
            <v>0</v>
          </cell>
        </row>
        <row r="84">
          <cell r="I84" t="str">
            <v>2045</v>
          </cell>
          <cell r="J84">
            <v>333.71</v>
          </cell>
          <cell r="K84">
            <v>333.71</v>
          </cell>
          <cell r="N84">
            <v>0</v>
          </cell>
        </row>
        <row r="85">
          <cell r="I85" t="str">
            <v>2100</v>
          </cell>
          <cell r="J85">
            <v>332.5</v>
          </cell>
          <cell r="K85">
            <v>332.5</v>
          </cell>
          <cell r="N85">
            <v>0</v>
          </cell>
        </row>
        <row r="86">
          <cell r="I86" t="str">
            <v>2115</v>
          </cell>
          <cell r="J86">
            <v>338</v>
          </cell>
          <cell r="K86">
            <v>338</v>
          </cell>
          <cell r="N86">
            <v>0</v>
          </cell>
        </row>
        <row r="87">
          <cell r="I87" t="str">
            <v>2130</v>
          </cell>
          <cell r="J87">
            <v>336</v>
          </cell>
          <cell r="K87">
            <v>336</v>
          </cell>
          <cell r="N87">
            <v>0</v>
          </cell>
        </row>
        <row r="88">
          <cell r="I88" t="str">
            <v>2145</v>
          </cell>
          <cell r="J88">
            <v>330</v>
          </cell>
          <cell r="K88">
            <v>330</v>
          </cell>
          <cell r="N88">
            <v>0</v>
          </cell>
        </row>
        <row r="89">
          <cell r="I89" t="str">
            <v>2200</v>
          </cell>
          <cell r="J89">
            <v>326.88</v>
          </cell>
          <cell r="K89">
            <v>326.88</v>
          </cell>
          <cell r="N89">
            <v>0</v>
          </cell>
        </row>
        <row r="90">
          <cell r="I90" t="str">
            <v>2215</v>
          </cell>
          <cell r="J90">
            <v>324</v>
          </cell>
          <cell r="K90">
            <v>324</v>
          </cell>
          <cell r="N90">
            <v>0</v>
          </cell>
        </row>
        <row r="91">
          <cell r="I91" t="str">
            <v>2230</v>
          </cell>
          <cell r="J91">
            <v>323.70999999999998</v>
          </cell>
          <cell r="K91">
            <v>323.70999999999998</v>
          </cell>
          <cell r="N91">
            <v>0</v>
          </cell>
        </row>
        <row r="92">
          <cell r="I92" t="str">
            <v>2245</v>
          </cell>
          <cell r="J92">
            <v>322</v>
          </cell>
          <cell r="K92">
            <v>322</v>
          </cell>
          <cell r="N92">
            <v>0</v>
          </cell>
        </row>
        <row r="93">
          <cell r="I93" t="str">
            <v>2300</v>
          </cell>
          <cell r="J93">
            <v>320</v>
          </cell>
          <cell r="K93">
            <v>320</v>
          </cell>
          <cell r="N93">
            <v>0</v>
          </cell>
        </row>
        <row r="94">
          <cell r="I94" t="str">
            <v>2315</v>
          </cell>
          <cell r="J94">
            <v>324</v>
          </cell>
          <cell r="K94">
            <v>324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316</v>
          </cell>
          <cell r="K96">
            <v>316</v>
          </cell>
          <cell r="N96">
            <v>0</v>
          </cell>
        </row>
        <row r="97">
          <cell r="I97" t="str">
            <v>2400</v>
          </cell>
          <cell r="J97">
            <v>312</v>
          </cell>
          <cell r="K97">
            <v>312</v>
          </cell>
          <cell r="N97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workbookViewId="0">
      <selection activeCell="O6" sqref="O6"/>
    </sheetView>
  </sheetViews>
  <sheetFormatPr defaultColWidth="9" defaultRowHeight="13.8"/>
  <cols>
    <col min="1" max="17" width="11.77734375" customWidth="1"/>
  </cols>
  <sheetData>
    <row r="1" spans="1:18">
      <c r="A1" s="110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</row>
    <row r="2" spans="1:18" ht="20.399999999999999" customHeight="1">
      <c r="A2" s="111" t="s">
        <v>1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2" t="s">
        <v>2</v>
      </c>
      <c r="M2" s="112"/>
      <c r="N2" s="112"/>
      <c r="O2" s="42" t="s">
        <v>3</v>
      </c>
      <c r="P2" s="113" t="s">
        <v>4</v>
      </c>
      <c r="Q2" s="113"/>
      <c r="R2" s="46"/>
    </row>
    <row r="3" spans="1:18" ht="27.6">
      <c r="A3" s="32" t="s">
        <v>5</v>
      </c>
      <c r="B3" s="32" t="s">
        <v>6</v>
      </c>
      <c r="C3" s="32" t="s">
        <v>7</v>
      </c>
      <c r="D3" s="32" t="s">
        <v>8</v>
      </c>
      <c r="E3" s="32" t="s">
        <v>9</v>
      </c>
      <c r="F3" s="32" t="s">
        <v>10</v>
      </c>
      <c r="G3" s="32" t="s">
        <v>11</v>
      </c>
      <c r="H3" s="32" t="s">
        <v>12</v>
      </c>
      <c r="I3" s="32" t="s">
        <v>13</v>
      </c>
      <c r="J3" s="32" t="s">
        <v>14</v>
      </c>
      <c r="K3" s="32" t="s">
        <v>15</v>
      </c>
      <c r="L3" s="38" t="s">
        <v>16</v>
      </c>
      <c r="M3" s="38" t="s">
        <v>17</v>
      </c>
      <c r="N3" s="38" t="s">
        <v>18</v>
      </c>
      <c r="O3" s="42" t="s">
        <v>19</v>
      </c>
      <c r="P3" s="2" t="s">
        <v>20</v>
      </c>
      <c r="Q3" s="44" t="s">
        <v>21</v>
      </c>
    </row>
    <row r="4" spans="1:18" ht="22.2" customHeight="1">
      <c r="A4" s="33">
        <f>充电日清算费用!AA29</f>
        <v>-67.858556500366078</v>
      </c>
      <c r="B4" s="33">
        <f>-充电日清算费用!Z29</f>
        <v>-191.22</v>
      </c>
      <c r="C4" s="33">
        <f>-充电日清算费用!AB29</f>
        <v>12975.913173999999</v>
      </c>
      <c r="D4" s="33">
        <f>$B$4*I12</f>
        <v>-669.27</v>
      </c>
      <c r="E4" s="33">
        <f>$B$4*I13</f>
        <v>-631.02599999999995</v>
      </c>
      <c r="F4" s="33">
        <f>B4*(1-P4)*I8</f>
        <v>-5363.7969000000012</v>
      </c>
      <c r="G4" s="33">
        <f>B4*(1-P4)*I9</f>
        <v>-759.37276800000006</v>
      </c>
      <c r="H4" s="33">
        <f>$B$4*I14</f>
        <v>-2379.9241200000001</v>
      </c>
      <c r="I4" s="33">
        <f>B4*J4*70.5</f>
        <v>-1482.9110999999998</v>
      </c>
      <c r="J4" s="33">
        <v>0.11</v>
      </c>
      <c r="K4" s="39">
        <f>C4+D4+E4+F4+G4+H4+I4</f>
        <v>1689.6122859999978</v>
      </c>
      <c r="L4" s="33">
        <f>放电日清算费用!P101</f>
        <v>397.22509320814117</v>
      </c>
      <c r="M4" s="33">
        <f>放电日清算费用!AJ101</f>
        <v>163.26900000000001</v>
      </c>
      <c r="N4" s="39">
        <f>放电日清算费用!AK101</f>
        <v>64854.543743000002</v>
      </c>
      <c r="O4" s="39">
        <f>N4+K4</f>
        <v>66544.156029000005</v>
      </c>
      <c r="P4" s="43">
        <f>-M4/B4</f>
        <v>0.85382805145905238</v>
      </c>
      <c r="Q4" s="33">
        <f>L4-A4</f>
        <v>465.08364970850727</v>
      </c>
    </row>
    <row r="6" spans="1:18">
      <c r="A6" s="34" t="s">
        <v>22</v>
      </c>
      <c r="B6" s="35" t="s">
        <v>23</v>
      </c>
      <c r="C6" s="35"/>
      <c r="D6" s="36"/>
      <c r="E6" s="36"/>
      <c r="F6" s="36"/>
      <c r="G6" s="36"/>
      <c r="I6" s="36"/>
      <c r="K6" s="40" t="str">
        <f>K3</f>
        <v>充电总
费用(元)</v>
      </c>
      <c r="N6" s="46" t="s">
        <v>350</v>
      </c>
      <c r="O6" s="105">
        <f>N4+C4</f>
        <v>77830.456917000003</v>
      </c>
    </row>
    <row r="7" spans="1:18">
      <c r="A7" s="34">
        <v>1</v>
      </c>
      <c r="B7" s="37" t="s">
        <v>24</v>
      </c>
      <c r="C7" s="37"/>
      <c r="D7" s="36"/>
      <c r="E7" s="36"/>
      <c r="F7" s="36"/>
      <c r="G7" s="36"/>
      <c r="I7" s="36"/>
      <c r="K7" t="str">
        <f>C3</f>
        <v>交易充电
费用(元)</v>
      </c>
      <c r="N7" s="46" t="s">
        <v>351</v>
      </c>
      <c r="O7" s="105">
        <f>放电日清算费用!AE101</f>
        <v>0</v>
      </c>
    </row>
    <row r="8" spans="1:18">
      <c r="A8" s="34">
        <v>2</v>
      </c>
      <c r="B8" s="37" t="s">
        <v>25</v>
      </c>
      <c r="C8" s="37"/>
      <c r="D8" s="36"/>
      <c r="E8" s="36"/>
      <c r="F8" s="36"/>
      <c r="G8" s="36"/>
      <c r="I8" s="41">
        <v>191.9</v>
      </c>
      <c r="J8" t="s">
        <v>26</v>
      </c>
      <c r="K8" t="str">
        <f>D3</f>
        <v>优发优购(元)</v>
      </c>
      <c r="N8" s="106" t="s">
        <v>352</v>
      </c>
      <c r="O8" s="105">
        <f>O6-O7</f>
        <v>77830.456917000003</v>
      </c>
    </row>
    <row r="9" spans="1:18">
      <c r="A9" s="34">
        <v>3</v>
      </c>
      <c r="B9" s="37" t="s">
        <v>27</v>
      </c>
      <c r="C9" s="37"/>
      <c r="D9" s="36"/>
      <c r="E9" s="36"/>
      <c r="F9" s="36"/>
      <c r="G9" s="36"/>
      <c r="I9" s="41">
        <v>27.167999999999999</v>
      </c>
      <c r="J9" t="s">
        <v>26</v>
      </c>
      <c r="K9" t="str">
        <f>E3</f>
        <v>上网线损(元)</v>
      </c>
    </row>
    <row r="10" spans="1:18">
      <c r="A10" s="34">
        <v>4</v>
      </c>
      <c r="B10" s="37" t="s">
        <v>28</v>
      </c>
      <c r="C10" s="37"/>
      <c r="D10" s="36"/>
      <c r="E10" s="36"/>
      <c r="F10" s="36"/>
      <c r="G10" s="36"/>
      <c r="I10" s="36"/>
      <c r="K10" t="str">
        <f>F3</f>
        <v>输配电费(元)</v>
      </c>
    </row>
    <row r="11" spans="1:18">
      <c r="A11" s="34">
        <v>5</v>
      </c>
      <c r="B11" s="37" t="s">
        <v>29</v>
      </c>
      <c r="C11" s="37"/>
      <c r="D11" s="36"/>
      <c r="E11" s="36"/>
      <c r="F11" s="36"/>
      <c r="G11" s="36"/>
      <c r="I11" s="36"/>
      <c r="K11" t="str">
        <f>G3</f>
        <v>政府基金(元)</v>
      </c>
    </row>
    <row r="12" spans="1:18">
      <c r="A12" s="34">
        <v>6</v>
      </c>
      <c r="B12" s="37" t="s">
        <v>30</v>
      </c>
      <c r="C12" s="37"/>
      <c r="D12" s="36"/>
      <c r="E12" s="36"/>
      <c r="F12" s="36"/>
      <c r="G12" s="36"/>
      <c r="I12" s="41">
        <v>3.5</v>
      </c>
      <c r="J12" t="s">
        <v>31</v>
      </c>
      <c r="K12" t="str">
        <f>H3</f>
        <v>系统运行(元)</v>
      </c>
    </row>
    <row r="13" spans="1:18">
      <c r="A13" s="34">
        <v>7</v>
      </c>
      <c r="B13" s="37" t="s">
        <v>32</v>
      </c>
      <c r="C13" s="37"/>
      <c r="D13" s="36"/>
      <c r="E13" s="36"/>
      <c r="F13" s="36"/>
      <c r="G13" s="36"/>
      <c r="I13" s="41">
        <v>3.3</v>
      </c>
      <c r="J13" t="s">
        <v>31</v>
      </c>
      <c r="K13" t="str">
        <f>I3</f>
        <v>容量分摊(元)</v>
      </c>
    </row>
    <row r="14" spans="1:18">
      <c r="A14" s="34">
        <v>8</v>
      </c>
      <c r="B14" s="37" t="s">
        <v>33</v>
      </c>
      <c r="C14" s="37"/>
      <c r="D14" s="36"/>
      <c r="E14" s="36"/>
      <c r="F14" s="36"/>
      <c r="G14" s="36"/>
      <c r="I14" s="41">
        <v>12.446</v>
      </c>
      <c r="J14" t="s">
        <v>31</v>
      </c>
    </row>
    <row r="15" spans="1:18">
      <c r="A15" s="34">
        <v>9</v>
      </c>
      <c r="B15" s="37" t="s">
        <v>34</v>
      </c>
      <c r="C15" s="37"/>
      <c r="D15" s="36"/>
      <c r="E15" s="36"/>
      <c r="F15" s="36"/>
      <c r="G15" s="36"/>
      <c r="I15" s="36"/>
      <c r="M15" s="46"/>
      <c r="N15" s="104"/>
    </row>
    <row r="16" spans="1:18">
      <c r="A16" s="34">
        <v>10</v>
      </c>
      <c r="B16" s="37" t="s">
        <v>35</v>
      </c>
      <c r="C16" s="37"/>
      <c r="D16" s="36"/>
      <c r="E16" s="36"/>
      <c r="F16" s="36"/>
      <c r="G16" s="36"/>
      <c r="I16" s="36"/>
      <c r="M16" s="48"/>
      <c r="N16" s="49"/>
      <c r="O16" s="49"/>
    </row>
    <row r="17" spans="13:16">
      <c r="M17" s="48"/>
      <c r="N17" s="49"/>
      <c r="O17" s="49"/>
    </row>
    <row r="18" spans="13:16">
      <c r="M18" s="48"/>
      <c r="N18" s="49"/>
      <c r="O18" s="49"/>
    </row>
    <row r="19" spans="13:16">
      <c r="M19" s="48"/>
      <c r="N19" s="103"/>
      <c r="O19" s="49"/>
      <c r="P19" s="46"/>
    </row>
    <row r="20" spans="13:16">
      <c r="M20" s="50"/>
      <c r="N20" s="103"/>
      <c r="O20" s="49"/>
    </row>
    <row r="21" spans="13:16">
      <c r="M21" s="48"/>
      <c r="N21" s="49"/>
      <c r="O21" s="49"/>
    </row>
  </sheetData>
  <mergeCells count="4">
    <mergeCell ref="A1:Q1"/>
    <mergeCell ref="A2:K2"/>
    <mergeCell ref="L2:N2"/>
    <mergeCell ref="P2:Q2"/>
  </mergeCells>
  <phoneticPr fontId="9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6D0A-C8AA-4CB0-9B90-76FBC6C938A3}">
  <dimension ref="A1:AB29"/>
  <sheetViews>
    <sheetView topLeftCell="U3" workbookViewId="0">
      <selection activeCell="U3" sqref="A1:XFD1048576"/>
    </sheetView>
  </sheetViews>
  <sheetFormatPr defaultColWidth="9.77734375" defaultRowHeight="13.8"/>
  <cols>
    <col min="1" max="7" width="18" style="69" customWidth="1"/>
    <col min="8" max="8" width="20.6640625" style="69" customWidth="1"/>
    <col min="9" max="11" width="18" style="69" customWidth="1"/>
    <col min="12" max="12" width="26" style="69" customWidth="1"/>
    <col min="13" max="15" width="18" style="69" customWidth="1"/>
    <col min="16" max="16" width="20.6640625" style="69" customWidth="1"/>
    <col min="17" max="19" width="18" style="69" customWidth="1"/>
    <col min="20" max="20" width="20.6640625" style="69" customWidth="1"/>
    <col min="21" max="22" width="18" style="69" customWidth="1"/>
    <col min="23" max="25" width="18.88671875" style="69" customWidth="1"/>
    <col min="26" max="27" width="18" style="69" customWidth="1"/>
    <col min="28" max="28" width="25.109375" style="69" customWidth="1"/>
    <col min="29" max="29" width="10.21875" style="69" customWidth="1"/>
    <col min="30" max="39" width="9.77734375" style="69" customWidth="1"/>
    <col min="40" max="16384" width="9.77734375" style="69"/>
  </cols>
  <sheetData>
    <row r="1" spans="1:28" ht="22.65" customHeight="1">
      <c r="A1" s="85"/>
      <c r="B1" s="85"/>
      <c r="C1" s="108"/>
      <c r="D1" s="108"/>
      <c r="E1" s="108"/>
      <c r="F1" s="118" t="s">
        <v>354</v>
      </c>
      <c r="G1" s="118"/>
      <c r="H1" s="11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</row>
    <row r="2" spans="1:28" ht="22.65" customHeight="1">
      <c r="A2" s="119" t="s">
        <v>182</v>
      </c>
      <c r="B2" s="119"/>
      <c r="C2" s="119"/>
      <c r="D2" s="119"/>
      <c r="E2" s="119"/>
      <c r="F2" s="85"/>
      <c r="G2" s="108"/>
      <c r="H2" s="85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73" t="s">
        <v>183</v>
      </c>
    </row>
    <row r="3" spans="1:28" ht="16.5" customHeight="1">
      <c r="A3" s="117" t="s">
        <v>184</v>
      </c>
      <c r="B3" s="117"/>
      <c r="C3" s="117" t="s">
        <v>185</v>
      </c>
      <c r="D3" s="117"/>
      <c r="E3" s="117"/>
      <c r="F3" s="117" t="s">
        <v>186</v>
      </c>
      <c r="G3" s="117"/>
      <c r="H3" s="117"/>
      <c r="I3" s="117"/>
      <c r="J3" s="117" t="s">
        <v>187</v>
      </c>
      <c r="K3" s="117"/>
      <c r="L3" s="117"/>
      <c r="M3" s="117"/>
      <c r="N3" s="116" t="s">
        <v>188</v>
      </c>
      <c r="O3" s="116"/>
      <c r="P3" s="116"/>
      <c r="Q3" s="116"/>
      <c r="R3" s="116"/>
      <c r="S3" s="116"/>
      <c r="T3" s="116"/>
      <c r="U3" s="116"/>
      <c r="V3" s="116" t="s">
        <v>189</v>
      </c>
      <c r="W3" s="116"/>
      <c r="X3" s="107" t="s">
        <v>190</v>
      </c>
      <c r="Y3" s="107" t="s">
        <v>191</v>
      </c>
      <c r="Z3" s="117" t="s">
        <v>192</v>
      </c>
      <c r="AA3" s="117"/>
      <c r="AB3" s="117"/>
    </row>
    <row r="4" spans="1:28" ht="21.15" customHeight="1">
      <c r="A4" s="117"/>
      <c r="B4" s="117"/>
      <c r="C4" s="75" t="s">
        <v>193</v>
      </c>
      <c r="D4" s="75" t="s">
        <v>194</v>
      </c>
      <c r="E4" s="75" t="s">
        <v>195</v>
      </c>
      <c r="F4" s="75" t="s">
        <v>196</v>
      </c>
      <c r="G4" s="75" t="s">
        <v>197</v>
      </c>
      <c r="H4" s="75" t="s">
        <v>198</v>
      </c>
      <c r="I4" s="75" t="s">
        <v>199</v>
      </c>
      <c r="J4" s="75" t="s">
        <v>200</v>
      </c>
      <c r="K4" s="75" t="s">
        <v>201</v>
      </c>
      <c r="L4" s="75" t="s">
        <v>202</v>
      </c>
      <c r="M4" s="75" t="s">
        <v>203</v>
      </c>
      <c r="N4" s="75" t="s">
        <v>204</v>
      </c>
      <c r="O4" s="75" t="s">
        <v>205</v>
      </c>
      <c r="P4" s="75" t="s">
        <v>198</v>
      </c>
      <c r="Q4" s="75" t="s">
        <v>206</v>
      </c>
      <c r="R4" s="75" t="s">
        <v>207</v>
      </c>
      <c r="S4" s="75" t="s">
        <v>208</v>
      </c>
      <c r="T4" s="75" t="s">
        <v>198</v>
      </c>
      <c r="U4" s="75" t="s">
        <v>209</v>
      </c>
      <c r="V4" s="76" t="s">
        <v>210</v>
      </c>
      <c r="W4" s="76" t="s">
        <v>211</v>
      </c>
      <c r="X4" s="76" t="s">
        <v>212</v>
      </c>
      <c r="Y4" s="76" t="s">
        <v>213</v>
      </c>
      <c r="Z4" s="75" t="s">
        <v>214</v>
      </c>
      <c r="AA4" s="75" t="s">
        <v>215</v>
      </c>
      <c r="AB4" s="75" t="s">
        <v>216</v>
      </c>
    </row>
    <row r="5" spans="1:28" ht="14.25" customHeight="1">
      <c r="A5" s="115" t="s">
        <v>217</v>
      </c>
      <c r="B5" s="115"/>
      <c r="C5" s="81">
        <v>0.26400000000000001</v>
      </c>
      <c r="D5" s="81">
        <v>542.875</v>
      </c>
      <c r="E5" s="82">
        <v>143.31899999999999</v>
      </c>
      <c r="F5" s="81">
        <v>0</v>
      </c>
      <c r="G5" s="81">
        <v>0</v>
      </c>
      <c r="H5" s="81">
        <v>542.875</v>
      </c>
      <c r="I5" s="82">
        <v>0</v>
      </c>
      <c r="J5" s="81">
        <v>0</v>
      </c>
      <c r="K5" s="81">
        <v>0</v>
      </c>
      <c r="L5" s="81">
        <v>0</v>
      </c>
      <c r="M5" s="82">
        <v>0</v>
      </c>
      <c r="N5" s="81">
        <v>0</v>
      </c>
      <c r="O5" s="82">
        <v>0</v>
      </c>
      <c r="P5" s="81">
        <v>542.875</v>
      </c>
      <c r="Q5" s="82">
        <v>0</v>
      </c>
      <c r="R5" s="81">
        <v>0</v>
      </c>
      <c r="S5" s="82">
        <v>0</v>
      </c>
      <c r="T5" s="81">
        <v>542.875</v>
      </c>
      <c r="U5" s="82">
        <v>0</v>
      </c>
      <c r="V5" s="82">
        <v>0</v>
      </c>
      <c r="W5" s="82">
        <v>0</v>
      </c>
      <c r="X5" s="82">
        <v>0</v>
      </c>
      <c r="Y5" s="82">
        <v>0</v>
      </c>
      <c r="Z5" s="81">
        <v>0.26400000000000001</v>
      </c>
      <c r="AA5" s="81">
        <v>542.875</v>
      </c>
      <c r="AB5" s="82">
        <v>143.31899999999999</v>
      </c>
    </row>
    <row r="6" spans="1:28" ht="14.25" customHeight="1">
      <c r="A6" s="114" t="s">
        <v>218</v>
      </c>
      <c r="B6" s="114"/>
      <c r="C6" s="76">
        <v>0.26400000000000001</v>
      </c>
      <c r="D6" s="76">
        <v>519.375</v>
      </c>
      <c r="E6" s="77">
        <v>137.11500000000001</v>
      </c>
      <c r="F6" s="76">
        <v>0</v>
      </c>
      <c r="G6" s="76">
        <v>0</v>
      </c>
      <c r="H6" s="76">
        <v>519.375</v>
      </c>
      <c r="I6" s="77">
        <v>0</v>
      </c>
      <c r="J6" s="76">
        <v>0</v>
      </c>
      <c r="K6" s="76">
        <v>0</v>
      </c>
      <c r="L6" s="76">
        <v>0</v>
      </c>
      <c r="M6" s="77">
        <v>0</v>
      </c>
      <c r="N6" s="76">
        <v>0</v>
      </c>
      <c r="O6" s="77">
        <v>0</v>
      </c>
      <c r="P6" s="76">
        <v>519.375</v>
      </c>
      <c r="Q6" s="77">
        <v>0</v>
      </c>
      <c r="R6" s="76">
        <v>0</v>
      </c>
      <c r="S6" s="77">
        <v>0</v>
      </c>
      <c r="T6" s="76">
        <v>519.375</v>
      </c>
      <c r="U6" s="77">
        <v>0</v>
      </c>
      <c r="V6" s="77">
        <v>0</v>
      </c>
      <c r="W6" s="77">
        <v>0</v>
      </c>
      <c r="X6" s="77">
        <v>0</v>
      </c>
      <c r="Y6" s="77">
        <v>0</v>
      </c>
      <c r="Z6" s="76">
        <v>0.26400000000000001</v>
      </c>
      <c r="AA6" s="76">
        <v>519.375</v>
      </c>
      <c r="AB6" s="77">
        <v>137.11500000000001</v>
      </c>
    </row>
    <row r="7" spans="1:28" ht="14.25" customHeight="1">
      <c r="A7" s="115" t="s">
        <v>219</v>
      </c>
      <c r="B7" s="115"/>
      <c r="C7" s="81">
        <v>0.26400000000000001</v>
      </c>
      <c r="D7" s="81">
        <v>491.67700000000002</v>
      </c>
      <c r="E7" s="82">
        <v>129.802728</v>
      </c>
      <c r="F7" s="81">
        <v>0</v>
      </c>
      <c r="G7" s="81">
        <v>0</v>
      </c>
      <c r="H7" s="81">
        <v>491.67700000000002</v>
      </c>
      <c r="I7" s="82">
        <v>0</v>
      </c>
      <c r="J7" s="81">
        <v>0</v>
      </c>
      <c r="K7" s="81">
        <v>0</v>
      </c>
      <c r="L7" s="81">
        <v>0</v>
      </c>
      <c r="M7" s="82">
        <v>0</v>
      </c>
      <c r="N7" s="81">
        <v>0</v>
      </c>
      <c r="O7" s="82">
        <v>0</v>
      </c>
      <c r="P7" s="81">
        <v>491.67700000000002</v>
      </c>
      <c r="Q7" s="82">
        <v>0</v>
      </c>
      <c r="R7" s="81">
        <v>0</v>
      </c>
      <c r="S7" s="82">
        <v>0</v>
      </c>
      <c r="T7" s="81">
        <v>491.67700000000002</v>
      </c>
      <c r="U7" s="82">
        <v>0</v>
      </c>
      <c r="V7" s="82">
        <v>0</v>
      </c>
      <c r="W7" s="82">
        <v>0</v>
      </c>
      <c r="X7" s="82">
        <v>0</v>
      </c>
      <c r="Y7" s="82">
        <v>0</v>
      </c>
      <c r="Z7" s="81">
        <v>0.26400000000000001</v>
      </c>
      <c r="AA7" s="81">
        <v>491.67700000000002</v>
      </c>
      <c r="AB7" s="82">
        <v>129.802728</v>
      </c>
    </row>
    <row r="8" spans="1:28" ht="14.25" customHeight="1">
      <c r="A8" s="114" t="s">
        <v>220</v>
      </c>
      <c r="B8" s="114"/>
      <c r="C8" s="76">
        <v>0.26400000000000001</v>
      </c>
      <c r="D8" s="76">
        <v>483.52600000000001</v>
      </c>
      <c r="E8" s="77">
        <v>127.650864</v>
      </c>
      <c r="F8" s="76">
        <v>0</v>
      </c>
      <c r="G8" s="76">
        <v>0</v>
      </c>
      <c r="H8" s="76">
        <v>483.52600000000001</v>
      </c>
      <c r="I8" s="77">
        <v>0</v>
      </c>
      <c r="J8" s="76">
        <v>0</v>
      </c>
      <c r="K8" s="76">
        <v>0</v>
      </c>
      <c r="L8" s="76">
        <v>0</v>
      </c>
      <c r="M8" s="77">
        <v>0</v>
      </c>
      <c r="N8" s="76">
        <v>0</v>
      </c>
      <c r="O8" s="77">
        <v>0</v>
      </c>
      <c r="P8" s="76">
        <v>483.52600000000001</v>
      </c>
      <c r="Q8" s="77">
        <v>0</v>
      </c>
      <c r="R8" s="76">
        <v>0</v>
      </c>
      <c r="S8" s="77">
        <v>0</v>
      </c>
      <c r="T8" s="76">
        <v>483.52600000000001</v>
      </c>
      <c r="U8" s="77">
        <v>0</v>
      </c>
      <c r="V8" s="77">
        <v>0</v>
      </c>
      <c r="W8" s="77">
        <v>0</v>
      </c>
      <c r="X8" s="77">
        <v>0</v>
      </c>
      <c r="Y8" s="77">
        <v>0</v>
      </c>
      <c r="Z8" s="76">
        <v>0.26400000000000001</v>
      </c>
      <c r="AA8" s="76">
        <v>483.52600000000001</v>
      </c>
      <c r="AB8" s="77">
        <v>127.650864</v>
      </c>
    </row>
    <row r="9" spans="1:28" ht="14.25" customHeight="1">
      <c r="A9" s="115" t="s">
        <v>221</v>
      </c>
      <c r="B9" s="115"/>
      <c r="C9" s="81">
        <v>0.26400000000000001</v>
      </c>
      <c r="D9" s="81">
        <v>513.04300000000001</v>
      </c>
      <c r="E9" s="82">
        <v>135.443352</v>
      </c>
      <c r="F9" s="81">
        <v>0</v>
      </c>
      <c r="G9" s="81">
        <v>0</v>
      </c>
      <c r="H9" s="81">
        <v>513.04300000000001</v>
      </c>
      <c r="I9" s="82">
        <v>0</v>
      </c>
      <c r="J9" s="81">
        <v>0</v>
      </c>
      <c r="K9" s="81">
        <v>0</v>
      </c>
      <c r="L9" s="81">
        <v>0</v>
      </c>
      <c r="M9" s="82">
        <v>0</v>
      </c>
      <c r="N9" s="81">
        <v>0</v>
      </c>
      <c r="O9" s="82">
        <v>0</v>
      </c>
      <c r="P9" s="81">
        <v>513.04300000000001</v>
      </c>
      <c r="Q9" s="82">
        <v>0</v>
      </c>
      <c r="R9" s="81">
        <v>0</v>
      </c>
      <c r="S9" s="82">
        <v>0</v>
      </c>
      <c r="T9" s="81">
        <v>513.04300000000001</v>
      </c>
      <c r="U9" s="82">
        <v>0</v>
      </c>
      <c r="V9" s="82">
        <v>0</v>
      </c>
      <c r="W9" s="82">
        <v>0</v>
      </c>
      <c r="X9" s="82">
        <v>0</v>
      </c>
      <c r="Y9" s="82">
        <v>0</v>
      </c>
      <c r="Z9" s="81">
        <v>0.26400000000000001</v>
      </c>
      <c r="AA9" s="81">
        <v>513.04300000000001</v>
      </c>
      <c r="AB9" s="82">
        <v>135.443352</v>
      </c>
    </row>
    <row r="10" spans="1:28" ht="14.25" customHeight="1">
      <c r="A10" s="114" t="s">
        <v>222</v>
      </c>
      <c r="B10" s="114"/>
      <c r="C10" s="76">
        <v>0.52800000000000002</v>
      </c>
      <c r="D10" s="76">
        <v>554.02499999999998</v>
      </c>
      <c r="E10" s="77">
        <v>292.52519999999998</v>
      </c>
      <c r="F10" s="76">
        <v>0</v>
      </c>
      <c r="G10" s="76">
        <v>0</v>
      </c>
      <c r="H10" s="76">
        <v>554.02499999999998</v>
      </c>
      <c r="I10" s="77">
        <v>0</v>
      </c>
      <c r="J10" s="76">
        <v>0</v>
      </c>
      <c r="K10" s="76">
        <v>0</v>
      </c>
      <c r="L10" s="76">
        <v>0</v>
      </c>
      <c r="M10" s="77">
        <v>0</v>
      </c>
      <c r="N10" s="76">
        <v>0</v>
      </c>
      <c r="O10" s="77">
        <v>0</v>
      </c>
      <c r="P10" s="76">
        <v>554.02499999999998</v>
      </c>
      <c r="Q10" s="77">
        <v>0</v>
      </c>
      <c r="R10" s="76">
        <v>0</v>
      </c>
      <c r="S10" s="77">
        <v>0</v>
      </c>
      <c r="T10" s="76">
        <v>554.02499999999998</v>
      </c>
      <c r="U10" s="77">
        <v>0</v>
      </c>
      <c r="V10" s="77">
        <v>0</v>
      </c>
      <c r="W10" s="77">
        <v>0</v>
      </c>
      <c r="X10" s="77">
        <v>0</v>
      </c>
      <c r="Y10" s="77">
        <v>0</v>
      </c>
      <c r="Z10" s="76">
        <v>0.52800000000000002</v>
      </c>
      <c r="AA10" s="76">
        <v>554.02499999999998</v>
      </c>
      <c r="AB10" s="77">
        <v>292.52519999999998</v>
      </c>
    </row>
    <row r="11" spans="1:28" ht="14.25" customHeight="1">
      <c r="A11" s="115" t="s">
        <v>223</v>
      </c>
      <c r="B11" s="115"/>
      <c r="C11" s="81">
        <v>0.26400000000000001</v>
      </c>
      <c r="D11" s="81">
        <v>354.56</v>
      </c>
      <c r="E11" s="82">
        <v>93.603840000000005</v>
      </c>
      <c r="F11" s="81">
        <v>0</v>
      </c>
      <c r="G11" s="81">
        <v>0</v>
      </c>
      <c r="H11" s="81">
        <v>354.56</v>
      </c>
      <c r="I11" s="82">
        <v>0</v>
      </c>
      <c r="J11" s="81">
        <v>0</v>
      </c>
      <c r="K11" s="81">
        <v>0</v>
      </c>
      <c r="L11" s="81">
        <v>0</v>
      </c>
      <c r="M11" s="82">
        <v>0</v>
      </c>
      <c r="N11" s="81">
        <v>0</v>
      </c>
      <c r="O11" s="82">
        <v>0</v>
      </c>
      <c r="P11" s="81">
        <v>354.56</v>
      </c>
      <c r="Q11" s="82">
        <v>0</v>
      </c>
      <c r="R11" s="81">
        <v>0</v>
      </c>
      <c r="S11" s="82">
        <v>0</v>
      </c>
      <c r="T11" s="81">
        <v>354.56</v>
      </c>
      <c r="U11" s="82">
        <v>0</v>
      </c>
      <c r="V11" s="82">
        <v>0</v>
      </c>
      <c r="W11" s="82">
        <v>0</v>
      </c>
      <c r="X11" s="82">
        <v>0</v>
      </c>
      <c r="Y11" s="82">
        <v>0</v>
      </c>
      <c r="Z11" s="81">
        <v>0.26400000000000001</v>
      </c>
      <c r="AA11" s="81">
        <v>354.56</v>
      </c>
      <c r="AB11" s="82">
        <v>93.603840000000005</v>
      </c>
    </row>
    <row r="12" spans="1:28" ht="14.25" customHeight="1">
      <c r="A12" s="114" t="s">
        <v>224</v>
      </c>
      <c r="B12" s="114"/>
      <c r="C12" s="76">
        <v>0.35199999999999998</v>
      </c>
      <c r="D12" s="76">
        <v>-80</v>
      </c>
      <c r="E12" s="77">
        <v>-28.16</v>
      </c>
      <c r="F12" s="76">
        <v>0</v>
      </c>
      <c r="G12" s="76">
        <v>0</v>
      </c>
      <c r="H12" s="76">
        <v>-80</v>
      </c>
      <c r="I12" s="77">
        <v>0</v>
      </c>
      <c r="J12" s="76">
        <v>0</v>
      </c>
      <c r="K12" s="76">
        <v>0</v>
      </c>
      <c r="L12" s="76">
        <v>0</v>
      </c>
      <c r="M12" s="77">
        <v>0</v>
      </c>
      <c r="N12" s="76">
        <v>0</v>
      </c>
      <c r="O12" s="77">
        <v>0</v>
      </c>
      <c r="P12" s="76">
        <v>-80</v>
      </c>
      <c r="Q12" s="77">
        <v>0</v>
      </c>
      <c r="R12" s="76">
        <v>0</v>
      </c>
      <c r="S12" s="77">
        <v>0</v>
      </c>
      <c r="T12" s="76">
        <v>-80</v>
      </c>
      <c r="U12" s="77">
        <v>0</v>
      </c>
      <c r="V12" s="77">
        <v>0</v>
      </c>
      <c r="W12" s="77">
        <v>0</v>
      </c>
      <c r="X12" s="77">
        <v>0</v>
      </c>
      <c r="Y12" s="77">
        <v>0</v>
      </c>
      <c r="Z12" s="76">
        <v>0.35199999999999998</v>
      </c>
      <c r="AA12" s="76">
        <v>-80</v>
      </c>
      <c r="AB12" s="77">
        <v>-28.16</v>
      </c>
    </row>
    <row r="13" spans="1:28" ht="14.25" customHeight="1">
      <c r="A13" s="115" t="s">
        <v>225</v>
      </c>
      <c r="B13" s="115"/>
      <c r="C13" s="81">
        <v>0.26400000000000001</v>
      </c>
      <c r="D13" s="81">
        <v>-80</v>
      </c>
      <c r="E13" s="82">
        <v>-21.12</v>
      </c>
      <c r="F13" s="81">
        <v>0</v>
      </c>
      <c r="G13" s="81">
        <v>0</v>
      </c>
      <c r="H13" s="81">
        <v>-80</v>
      </c>
      <c r="I13" s="82">
        <v>0</v>
      </c>
      <c r="J13" s="81">
        <v>0</v>
      </c>
      <c r="K13" s="81">
        <v>0</v>
      </c>
      <c r="L13" s="81">
        <v>0</v>
      </c>
      <c r="M13" s="82">
        <v>0</v>
      </c>
      <c r="N13" s="81">
        <v>0</v>
      </c>
      <c r="O13" s="82">
        <v>0</v>
      </c>
      <c r="P13" s="81">
        <v>-80</v>
      </c>
      <c r="Q13" s="82">
        <v>0</v>
      </c>
      <c r="R13" s="81">
        <v>0</v>
      </c>
      <c r="S13" s="82">
        <v>0</v>
      </c>
      <c r="T13" s="81">
        <v>-80</v>
      </c>
      <c r="U13" s="82">
        <v>0</v>
      </c>
      <c r="V13" s="82">
        <v>0</v>
      </c>
      <c r="W13" s="82">
        <v>0</v>
      </c>
      <c r="X13" s="82">
        <v>0</v>
      </c>
      <c r="Y13" s="82">
        <v>0</v>
      </c>
      <c r="Z13" s="81">
        <v>0.26400000000000001</v>
      </c>
      <c r="AA13" s="81">
        <v>-80</v>
      </c>
      <c r="AB13" s="82">
        <v>-21.12</v>
      </c>
    </row>
    <row r="14" spans="1:28" ht="14.25" customHeight="1">
      <c r="A14" s="114" t="s">
        <v>226</v>
      </c>
      <c r="B14" s="114"/>
      <c r="C14" s="76">
        <v>0.26400000000000001</v>
      </c>
      <c r="D14" s="76">
        <v>-80</v>
      </c>
      <c r="E14" s="77">
        <v>-21.12</v>
      </c>
      <c r="F14" s="76">
        <v>0</v>
      </c>
      <c r="G14" s="76">
        <v>0</v>
      </c>
      <c r="H14" s="76">
        <v>-80</v>
      </c>
      <c r="I14" s="77">
        <v>0</v>
      </c>
      <c r="J14" s="76">
        <v>0</v>
      </c>
      <c r="K14" s="76">
        <v>0</v>
      </c>
      <c r="L14" s="76">
        <v>0</v>
      </c>
      <c r="M14" s="77">
        <v>0</v>
      </c>
      <c r="N14" s="76">
        <v>0</v>
      </c>
      <c r="O14" s="77">
        <v>0</v>
      </c>
      <c r="P14" s="76">
        <v>-80</v>
      </c>
      <c r="Q14" s="77">
        <v>0</v>
      </c>
      <c r="R14" s="76">
        <v>0</v>
      </c>
      <c r="S14" s="77">
        <v>0</v>
      </c>
      <c r="T14" s="76">
        <v>-80</v>
      </c>
      <c r="U14" s="77">
        <v>0</v>
      </c>
      <c r="V14" s="77">
        <v>0</v>
      </c>
      <c r="W14" s="77">
        <v>0</v>
      </c>
      <c r="X14" s="77">
        <v>0</v>
      </c>
      <c r="Y14" s="77">
        <v>0</v>
      </c>
      <c r="Z14" s="76">
        <v>0.26400000000000001</v>
      </c>
      <c r="AA14" s="76">
        <v>-80</v>
      </c>
      <c r="AB14" s="77">
        <v>-21.12</v>
      </c>
    </row>
    <row r="15" spans="1:28" ht="14.25" customHeight="1">
      <c r="A15" s="115" t="s">
        <v>227</v>
      </c>
      <c r="B15" s="115"/>
      <c r="C15" s="81">
        <v>0.35199999999999998</v>
      </c>
      <c r="D15" s="81">
        <v>-80</v>
      </c>
      <c r="E15" s="82">
        <v>-28.16</v>
      </c>
      <c r="F15" s="81">
        <v>0</v>
      </c>
      <c r="G15" s="81">
        <v>0</v>
      </c>
      <c r="H15" s="81">
        <v>-80</v>
      </c>
      <c r="I15" s="82">
        <v>0</v>
      </c>
      <c r="J15" s="81">
        <v>0</v>
      </c>
      <c r="K15" s="81">
        <v>0</v>
      </c>
      <c r="L15" s="81">
        <v>0</v>
      </c>
      <c r="M15" s="82">
        <v>0</v>
      </c>
      <c r="N15" s="81">
        <v>0</v>
      </c>
      <c r="O15" s="82">
        <v>0</v>
      </c>
      <c r="P15" s="81">
        <v>-80</v>
      </c>
      <c r="Q15" s="82">
        <v>0</v>
      </c>
      <c r="R15" s="81">
        <v>0</v>
      </c>
      <c r="S15" s="82">
        <v>0</v>
      </c>
      <c r="T15" s="81">
        <v>-80</v>
      </c>
      <c r="U15" s="82">
        <v>0</v>
      </c>
      <c r="V15" s="82">
        <v>0</v>
      </c>
      <c r="W15" s="82">
        <v>0</v>
      </c>
      <c r="X15" s="82">
        <v>0</v>
      </c>
      <c r="Y15" s="82">
        <v>0</v>
      </c>
      <c r="Z15" s="81">
        <v>0.35199999999999998</v>
      </c>
      <c r="AA15" s="81">
        <v>-80</v>
      </c>
      <c r="AB15" s="82">
        <v>-28.16</v>
      </c>
    </row>
    <row r="16" spans="1:28" ht="14.25" customHeight="1">
      <c r="A16" s="114" t="s">
        <v>228</v>
      </c>
      <c r="B16" s="114"/>
      <c r="C16" s="76">
        <v>5.726</v>
      </c>
      <c r="D16" s="76">
        <v>-80</v>
      </c>
      <c r="E16" s="77">
        <v>-458.08</v>
      </c>
      <c r="F16" s="76">
        <v>0</v>
      </c>
      <c r="G16" s="76">
        <v>0</v>
      </c>
      <c r="H16" s="76">
        <v>-80</v>
      </c>
      <c r="I16" s="77">
        <v>0</v>
      </c>
      <c r="J16" s="76">
        <v>0</v>
      </c>
      <c r="K16" s="76">
        <v>0</v>
      </c>
      <c r="L16" s="76">
        <v>0</v>
      </c>
      <c r="M16" s="77">
        <v>0</v>
      </c>
      <c r="N16" s="76">
        <v>0</v>
      </c>
      <c r="O16" s="77">
        <v>0</v>
      </c>
      <c r="P16" s="76">
        <v>-80</v>
      </c>
      <c r="Q16" s="77">
        <v>0</v>
      </c>
      <c r="R16" s="76">
        <v>0</v>
      </c>
      <c r="S16" s="77">
        <v>0</v>
      </c>
      <c r="T16" s="76">
        <v>-80</v>
      </c>
      <c r="U16" s="77">
        <v>0</v>
      </c>
      <c r="V16" s="77">
        <v>0</v>
      </c>
      <c r="W16" s="77">
        <v>0</v>
      </c>
      <c r="X16" s="77">
        <v>0</v>
      </c>
      <c r="Y16" s="77">
        <v>0</v>
      </c>
      <c r="Z16" s="76">
        <v>5.726</v>
      </c>
      <c r="AA16" s="76">
        <v>-80</v>
      </c>
      <c r="AB16" s="77">
        <v>-458.08</v>
      </c>
    </row>
    <row r="17" spans="1:28" ht="14.25" customHeight="1">
      <c r="A17" s="115" t="s">
        <v>229</v>
      </c>
      <c r="B17" s="115"/>
      <c r="C17" s="81">
        <v>63.417999999999999</v>
      </c>
      <c r="D17" s="81">
        <v>-80</v>
      </c>
      <c r="E17" s="82">
        <v>-5073.4399999999996</v>
      </c>
      <c r="F17" s="81">
        <v>0</v>
      </c>
      <c r="G17" s="81">
        <v>0</v>
      </c>
      <c r="H17" s="81">
        <v>-80</v>
      </c>
      <c r="I17" s="82">
        <v>0</v>
      </c>
      <c r="J17" s="81">
        <v>0</v>
      </c>
      <c r="K17" s="81">
        <v>0</v>
      </c>
      <c r="L17" s="81">
        <v>0</v>
      </c>
      <c r="M17" s="82">
        <v>0</v>
      </c>
      <c r="N17" s="81">
        <v>0</v>
      </c>
      <c r="O17" s="82">
        <v>0</v>
      </c>
      <c r="P17" s="81">
        <v>-80</v>
      </c>
      <c r="Q17" s="82">
        <v>0</v>
      </c>
      <c r="R17" s="81">
        <v>0</v>
      </c>
      <c r="S17" s="82">
        <v>0</v>
      </c>
      <c r="T17" s="81">
        <v>-80</v>
      </c>
      <c r="U17" s="82">
        <v>0</v>
      </c>
      <c r="V17" s="82">
        <v>0</v>
      </c>
      <c r="W17" s="82">
        <v>0</v>
      </c>
      <c r="X17" s="82">
        <v>0</v>
      </c>
      <c r="Y17" s="82">
        <v>0</v>
      </c>
      <c r="Z17" s="81">
        <v>63.417999999999999</v>
      </c>
      <c r="AA17" s="81">
        <v>-80</v>
      </c>
      <c r="AB17" s="82">
        <v>-5073.4399999999996</v>
      </c>
    </row>
    <row r="18" spans="1:28" ht="14.25" customHeight="1">
      <c r="A18" s="114" t="s">
        <v>230</v>
      </c>
      <c r="B18" s="114"/>
      <c r="C18" s="76">
        <v>97.504000000000005</v>
      </c>
      <c r="D18" s="76">
        <v>-80</v>
      </c>
      <c r="E18" s="77">
        <v>-7800.32</v>
      </c>
      <c r="F18" s="76">
        <v>0</v>
      </c>
      <c r="G18" s="76">
        <v>0</v>
      </c>
      <c r="H18" s="76">
        <v>-80</v>
      </c>
      <c r="I18" s="77">
        <v>0</v>
      </c>
      <c r="J18" s="76">
        <v>0</v>
      </c>
      <c r="K18" s="76">
        <v>0</v>
      </c>
      <c r="L18" s="76">
        <v>0</v>
      </c>
      <c r="M18" s="77">
        <v>0</v>
      </c>
      <c r="N18" s="76">
        <v>0</v>
      </c>
      <c r="O18" s="77">
        <v>0</v>
      </c>
      <c r="P18" s="76">
        <v>-80</v>
      </c>
      <c r="Q18" s="77">
        <v>0</v>
      </c>
      <c r="R18" s="76">
        <v>0</v>
      </c>
      <c r="S18" s="77">
        <v>0</v>
      </c>
      <c r="T18" s="76">
        <v>-80</v>
      </c>
      <c r="U18" s="77">
        <v>0</v>
      </c>
      <c r="V18" s="77">
        <v>0</v>
      </c>
      <c r="W18" s="77">
        <v>0</v>
      </c>
      <c r="X18" s="77">
        <v>0</v>
      </c>
      <c r="Y18" s="77">
        <v>0</v>
      </c>
      <c r="Z18" s="76">
        <v>97.504000000000005</v>
      </c>
      <c r="AA18" s="76">
        <v>-80</v>
      </c>
      <c r="AB18" s="77">
        <v>-7800.32</v>
      </c>
    </row>
    <row r="19" spans="1:28" ht="14.25" customHeight="1">
      <c r="A19" s="115" t="s">
        <v>231</v>
      </c>
      <c r="B19" s="115"/>
      <c r="C19" s="81">
        <v>13.565</v>
      </c>
      <c r="D19" s="81">
        <v>-80</v>
      </c>
      <c r="E19" s="82">
        <v>-1085.2</v>
      </c>
      <c r="F19" s="81">
        <v>0</v>
      </c>
      <c r="G19" s="81">
        <v>0</v>
      </c>
      <c r="H19" s="81">
        <v>-80</v>
      </c>
      <c r="I19" s="82">
        <v>0</v>
      </c>
      <c r="J19" s="81">
        <v>0</v>
      </c>
      <c r="K19" s="81">
        <v>0</v>
      </c>
      <c r="L19" s="81">
        <v>0</v>
      </c>
      <c r="M19" s="82">
        <v>0</v>
      </c>
      <c r="N19" s="81">
        <v>0</v>
      </c>
      <c r="O19" s="82">
        <v>0</v>
      </c>
      <c r="P19" s="81">
        <v>-80</v>
      </c>
      <c r="Q19" s="82">
        <v>0</v>
      </c>
      <c r="R19" s="81">
        <v>0</v>
      </c>
      <c r="S19" s="82">
        <v>0</v>
      </c>
      <c r="T19" s="81">
        <v>-80</v>
      </c>
      <c r="U19" s="82">
        <v>0</v>
      </c>
      <c r="V19" s="82">
        <v>0</v>
      </c>
      <c r="W19" s="82">
        <v>0</v>
      </c>
      <c r="X19" s="82">
        <v>0</v>
      </c>
      <c r="Y19" s="82">
        <v>0</v>
      </c>
      <c r="Z19" s="81">
        <v>13.565</v>
      </c>
      <c r="AA19" s="81">
        <v>-80</v>
      </c>
      <c r="AB19" s="82">
        <v>-1085.2</v>
      </c>
    </row>
    <row r="20" spans="1:28" ht="14.25" customHeight="1">
      <c r="A20" s="114" t="s">
        <v>232</v>
      </c>
      <c r="B20" s="114"/>
      <c r="C20" s="76">
        <v>5.2850000000000001</v>
      </c>
      <c r="D20" s="76">
        <v>-80</v>
      </c>
      <c r="E20" s="77">
        <v>-422.8</v>
      </c>
      <c r="F20" s="76">
        <v>0</v>
      </c>
      <c r="G20" s="76">
        <v>0</v>
      </c>
      <c r="H20" s="76">
        <v>-80</v>
      </c>
      <c r="I20" s="77">
        <v>0</v>
      </c>
      <c r="J20" s="76">
        <v>0</v>
      </c>
      <c r="K20" s="76">
        <v>0</v>
      </c>
      <c r="L20" s="76">
        <v>0</v>
      </c>
      <c r="M20" s="77">
        <v>0</v>
      </c>
      <c r="N20" s="76">
        <v>0</v>
      </c>
      <c r="O20" s="77">
        <v>0</v>
      </c>
      <c r="P20" s="76">
        <v>-80</v>
      </c>
      <c r="Q20" s="77">
        <v>0</v>
      </c>
      <c r="R20" s="76">
        <v>0</v>
      </c>
      <c r="S20" s="77">
        <v>0</v>
      </c>
      <c r="T20" s="76">
        <v>-80</v>
      </c>
      <c r="U20" s="77">
        <v>0</v>
      </c>
      <c r="V20" s="77">
        <v>0</v>
      </c>
      <c r="W20" s="77">
        <v>0</v>
      </c>
      <c r="X20" s="77">
        <v>0</v>
      </c>
      <c r="Y20" s="77">
        <v>0</v>
      </c>
      <c r="Z20" s="76">
        <v>5.2850000000000001</v>
      </c>
      <c r="AA20" s="76">
        <v>-80</v>
      </c>
      <c r="AB20" s="77">
        <v>-422.8</v>
      </c>
    </row>
    <row r="21" spans="1:28" ht="14.25" customHeight="1">
      <c r="A21" s="115" t="s">
        <v>233</v>
      </c>
      <c r="B21" s="115"/>
      <c r="C21" s="81">
        <v>0.52900000000000003</v>
      </c>
      <c r="D21" s="81">
        <v>144.37299999999999</v>
      </c>
      <c r="E21" s="82">
        <v>76.373317</v>
      </c>
      <c r="F21" s="81">
        <v>0</v>
      </c>
      <c r="G21" s="81">
        <v>0</v>
      </c>
      <c r="H21" s="81">
        <v>144.37299999999999</v>
      </c>
      <c r="I21" s="82">
        <v>0</v>
      </c>
      <c r="J21" s="81">
        <v>0</v>
      </c>
      <c r="K21" s="81">
        <v>0</v>
      </c>
      <c r="L21" s="81">
        <v>0</v>
      </c>
      <c r="M21" s="82">
        <v>0</v>
      </c>
      <c r="N21" s="81">
        <v>0</v>
      </c>
      <c r="O21" s="82">
        <v>0</v>
      </c>
      <c r="P21" s="81">
        <v>144.37299999999999</v>
      </c>
      <c r="Q21" s="82">
        <v>0</v>
      </c>
      <c r="R21" s="81">
        <v>0</v>
      </c>
      <c r="S21" s="82">
        <v>0</v>
      </c>
      <c r="T21" s="81">
        <v>144.37299999999999</v>
      </c>
      <c r="U21" s="82">
        <v>0</v>
      </c>
      <c r="V21" s="82">
        <v>0</v>
      </c>
      <c r="W21" s="82">
        <v>0</v>
      </c>
      <c r="X21" s="82">
        <v>0</v>
      </c>
      <c r="Y21" s="82">
        <v>0</v>
      </c>
      <c r="Z21" s="81">
        <v>0.52900000000000003</v>
      </c>
      <c r="AA21" s="81">
        <v>144.37299999999999</v>
      </c>
      <c r="AB21" s="82">
        <v>76.373317</v>
      </c>
    </row>
    <row r="22" spans="1:28" ht="14.25" customHeight="1">
      <c r="A22" s="114" t="s">
        <v>234</v>
      </c>
      <c r="B22" s="114"/>
      <c r="C22" s="76">
        <v>0.35299999999999998</v>
      </c>
      <c r="D22" s="76">
        <v>394.33300000000003</v>
      </c>
      <c r="E22" s="77">
        <v>139.19954899999999</v>
      </c>
      <c r="F22" s="76">
        <v>0</v>
      </c>
      <c r="G22" s="76">
        <v>0</v>
      </c>
      <c r="H22" s="76">
        <v>394.33300000000003</v>
      </c>
      <c r="I22" s="77">
        <v>0</v>
      </c>
      <c r="J22" s="76">
        <v>0</v>
      </c>
      <c r="K22" s="76">
        <v>0</v>
      </c>
      <c r="L22" s="76">
        <v>0</v>
      </c>
      <c r="M22" s="77">
        <v>0</v>
      </c>
      <c r="N22" s="76">
        <v>0</v>
      </c>
      <c r="O22" s="77">
        <v>0</v>
      </c>
      <c r="P22" s="76">
        <v>394.33300000000003</v>
      </c>
      <c r="Q22" s="77">
        <v>0</v>
      </c>
      <c r="R22" s="76">
        <v>0</v>
      </c>
      <c r="S22" s="77">
        <v>0</v>
      </c>
      <c r="T22" s="76">
        <v>394.33300000000003</v>
      </c>
      <c r="U22" s="77">
        <v>0</v>
      </c>
      <c r="V22" s="77">
        <v>0</v>
      </c>
      <c r="W22" s="77">
        <v>0</v>
      </c>
      <c r="X22" s="77">
        <v>0</v>
      </c>
      <c r="Y22" s="77">
        <v>0</v>
      </c>
      <c r="Z22" s="76">
        <v>0.35299999999999998</v>
      </c>
      <c r="AA22" s="76">
        <v>394.33300000000003</v>
      </c>
      <c r="AB22" s="77">
        <v>139.19954899999999</v>
      </c>
    </row>
    <row r="23" spans="1:28" ht="14.25" customHeight="1">
      <c r="A23" s="115" t="s">
        <v>236</v>
      </c>
      <c r="B23" s="115"/>
      <c r="C23" s="81">
        <v>0.26400000000000001</v>
      </c>
      <c r="D23" s="81">
        <v>550.82600000000002</v>
      </c>
      <c r="E23" s="82">
        <v>145.41806399999999</v>
      </c>
      <c r="F23" s="81">
        <v>0</v>
      </c>
      <c r="G23" s="81">
        <v>0</v>
      </c>
      <c r="H23" s="81">
        <v>550.82600000000002</v>
      </c>
      <c r="I23" s="82">
        <v>0</v>
      </c>
      <c r="J23" s="81">
        <v>0</v>
      </c>
      <c r="K23" s="81">
        <v>0</v>
      </c>
      <c r="L23" s="81">
        <v>0</v>
      </c>
      <c r="M23" s="82">
        <v>0</v>
      </c>
      <c r="N23" s="81">
        <v>0</v>
      </c>
      <c r="O23" s="82">
        <v>0</v>
      </c>
      <c r="P23" s="81">
        <v>550.82600000000002</v>
      </c>
      <c r="Q23" s="82">
        <v>0</v>
      </c>
      <c r="R23" s="81">
        <v>0</v>
      </c>
      <c r="S23" s="82">
        <v>0</v>
      </c>
      <c r="T23" s="81">
        <v>550.82600000000002</v>
      </c>
      <c r="U23" s="82">
        <v>0</v>
      </c>
      <c r="V23" s="82">
        <v>0</v>
      </c>
      <c r="W23" s="82">
        <v>0</v>
      </c>
      <c r="X23" s="82">
        <v>0</v>
      </c>
      <c r="Y23" s="82">
        <v>0</v>
      </c>
      <c r="Z23" s="81">
        <v>0.26400000000000001</v>
      </c>
      <c r="AA23" s="81">
        <v>550.82600000000002</v>
      </c>
      <c r="AB23" s="82">
        <v>145.41806399999999</v>
      </c>
    </row>
    <row r="24" spans="1:28" ht="14.25" customHeight="1">
      <c r="A24" s="114" t="s">
        <v>237</v>
      </c>
      <c r="B24" s="114"/>
      <c r="C24" s="76">
        <v>0</v>
      </c>
      <c r="D24" s="76">
        <v>398.64800000000002</v>
      </c>
      <c r="E24" s="77">
        <v>0</v>
      </c>
      <c r="F24" s="76">
        <v>0</v>
      </c>
      <c r="G24" s="76">
        <v>0</v>
      </c>
      <c r="H24" s="76">
        <v>398.64800000000002</v>
      </c>
      <c r="I24" s="77">
        <v>0</v>
      </c>
      <c r="J24" s="76">
        <v>0</v>
      </c>
      <c r="K24" s="76">
        <v>0</v>
      </c>
      <c r="L24" s="76">
        <v>0</v>
      </c>
      <c r="M24" s="77">
        <v>0</v>
      </c>
      <c r="N24" s="76">
        <v>0</v>
      </c>
      <c r="O24" s="77">
        <v>0</v>
      </c>
      <c r="P24" s="76">
        <v>398.64800000000002</v>
      </c>
      <c r="Q24" s="77">
        <v>0</v>
      </c>
      <c r="R24" s="76">
        <v>0</v>
      </c>
      <c r="S24" s="77">
        <v>0</v>
      </c>
      <c r="T24" s="76">
        <v>398.64800000000002</v>
      </c>
      <c r="U24" s="77">
        <v>0</v>
      </c>
      <c r="V24" s="77">
        <v>0</v>
      </c>
      <c r="W24" s="77">
        <v>0</v>
      </c>
      <c r="X24" s="77">
        <v>0</v>
      </c>
      <c r="Y24" s="77">
        <v>0</v>
      </c>
      <c r="Z24" s="76">
        <v>0</v>
      </c>
      <c r="AA24" s="76" t="s">
        <v>235</v>
      </c>
      <c r="AB24" s="77">
        <v>0</v>
      </c>
    </row>
    <row r="25" spans="1:28" ht="14.25" customHeight="1">
      <c r="A25" s="115" t="s">
        <v>238</v>
      </c>
      <c r="B25" s="115"/>
      <c r="C25" s="81">
        <v>0.17599999999999999</v>
      </c>
      <c r="D25" s="81">
        <v>394.178</v>
      </c>
      <c r="E25" s="82">
        <v>69.375327999999996</v>
      </c>
      <c r="F25" s="81">
        <v>0</v>
      </c>
      <c r="G25" s="81">
        <v>0</v>
      </c>
      <c r="H25" s="81">
        <v>394.178</v>
      </c>
      <c r="I25" s="82">
        <v>0</v>
      </c>
      <c r="J25" s="81">
        <v>0</v>
      </c>
      <c r="K25" s="81">
        <v>0</v>
      </c>
      <c r="L25" s="81">
        <v>0</v>
      </c>
      <c r="M25" s="82">
        <v>0</v>
      </c>
      <c r="N25" s="81">
        <v>0</v>
      </c>
      <c r="O25" s="82">
        <v>0</v>
      </c>
      <c r="P25" s="81">
        <v>394.178</v>
      </c>
      <c r="Q25" s="82">
        <v>0</v>
      </c>
      <c r="R25" s="81">
        <v>0</v>
      </c>
      <c r="S25" s="82">
        <v>0</v>
      </c>
      <c r="T25" s="81">
        <v>394.178</v>
      </c>
      <c r="U25" s="82">
        <v>0</v>
      </c>
      <c r="V25" s="82">
        <v>0</v>
      </c>
      <c r="W25" s="82">
        <v>0</v>
      </c>
      <c r="X25" s="82">
        <v>0</v>
      </c>
      <c r="Y25" s="82">
        <v>0</v>
      </c>
      <c r="Z25" s="81">
        <v>0.17599999999999999</v>
      </c>
      <c r="AA25" s="81">
        <v>394.178</v>
      </c>
      <c r="AB25" s="82">
        <v>69.375327999999996</v>
      </c>
    </row>
    <row r="26" spans="1:28" ht="14.25" customHeight="1">
      <c r="A26" s="114" t="s">
        <v>239</v>
      </c>
      <c r="B26" s="114"/>
      <c r="C26" s="76">
        <v>0.52800000000000002</v>
      </c>
      <c r="D26" s="76">
        <v>447.45100000000002</v>
      </c>
      <c r="E26" s="77">
        <v>236.25412800000001</v>
      </c>
      <c r="F26" s="76">
        <v>0</v>
      </c>
      <c r="G26" s="76">
        <v>0</v>
      </c>
      <c r="H26" s="76">
        <v>447.45100000000002</v>
      </c>
      <c r="I26" s="77">
        <v>0</v>
      </c>
      <c r="J26" s="76">
        <v>0</v>
      </c>
      <c r="K26" s="76">
        <v>0</v>
      </c>
      <c r="L26" s="76">
        <v>0</v>
      </c>
      <c r="M26" s="77">
        <v>0</v>
      </c>
      <c r="N26" s="76">
        <v>0</v>
      </c>
      <c r="O26" s="77">
        <v>0</v>
      </c>
      <c r="P26" s="76">
        <v>447.45100000000002</v>
      </c>
      <c r="Q26" s="77">
        <v>0</v>
      </c>
      <c r="R26" s="76">
        <v>0</v>
      </c>
      <c r="S26" s="77">
        <v>0</v>
      </c>
      <c r="T26" s="76">
        <v>447.45100000000002</v>
      </c>
      <c r="U26" s="77">
        <v>0</v>
      </c>
      <c r="V26" s="77">
        <v>0</v>
      </c>
      <c r="W26" s="77">
        <v>0</v>
      </c>
      <c r="X26" s="77">
        <v>0</v>
      </c>
      <c r="Y26" s="77">
        <v>0</v>
      </c>
      <c r="Z26" s="76">
        <v>0.52800000000000002</v>
      </c>
      <c r="AA26" s="76">
        <v>447.45100000000002</v>
      </c>
      <c r="AB26" s="77">
        <v>236.25412800000001</v>
      </c>
    </row>
    <row r="27" spans="1:28" ht="14.25" customHeight="1">
      <c r="A27" s="115" t="s">
        <v>240</v>
      </c>
      <c r="B27" s="115"/>
      <c r="C27" s="81">
        <v>0.26400000000000001</v>
      </c>
      <c r="D27" s="81">
        <v>448.92200000000003</v>
      </c>
      <c r="E27" s="82">
        <v>118.51540799999999</v>
      </c>
      <c r="F27" s="81">
        <v>0</v>
      </c>
      <c r="G27" s="81">
        <v>0</v>
      </c>
      <c r="H27" s="81">
        <v>448.92200000000003</v>
      </c>
      <c r="I27" s="82">
        <v>0</v>
      </c>
      <c r="J27" s="81">
        <v>0</v>
      </c>
      <c r="K27" s="81">
        <v>0</v>
      </c>
      <c r="L27" s="81">
        <v>0</v>
      </c>
      <c r="M27" s="82">
        <v>0</v>
      </c>
      <c r="N27" s="81">
        <v>0</v>
      </c>
      <c r="O27" s="82">
        <v>0</v>
      </c>
      <c r="P27" s="81">
        <v>448.92200000000003</v>
      </c>
      <c r="Q27" s="82">
        <v>0</v>
      </c>
      <c r="R27" s="81">
        <v>0</v>
      </c>
      <c r="S27" s="82">
        <v>0</v>
      </c>
      <c r="T27" s="81">
        <v>448.92200000000003</v>
      </c>
      <c r="U27" s="82">
        <v>0</v>
      </c>
      <c r="V27" s="82">
        <v>0</v>
      </c>
      <c r="W27" s="82">
        <v>0</v>
      </c>
      <c r="X27" s="82">
        <v>0</v>
      </c>
      <c r="Y27" s="82">
        <v>0</v>
      </c>
      <c r="Z27" s="81">
        <v>0.26400000000000001</v>
      </c>
      <c r="AA27" s="81">
        <v>448.92200000000003</v>
      </c>
      <c r="AB27" s="82">
        <v>118.51540799999999</v>
      </c>
    </row>
    <row r="28" spans="1:28" ht="14.25" customHeight="1">
      <c r="A28" s="114" t="s">
        <v>241</v>
      </c>
      <c r="B28" s="114"/>
      <c r="C28" s="76">
        <v>0.26400000000000001</v>
      </c>
      <c r="D28" s="76">
        <v>446.55700000000002</v>
      </c>
      <c r="E28" s="77">
        <v>117.891048</v>
      </c>
      <c r="F28" s="76">
        <v>0</v>
      </c>
      <c r="G28" s="76">
        <v>0</v>
      </c>
      <c r="H28" s="76">
        <v>446.55700000000002</v>
      </c>
      <c r="I28" s="77">
        <v>0</v>
      </c>
      <c r="J28" s="76">
        <v>0</v>
      </c>
      <c r="K28" s="76">
        <v>0</v>
      </c>
      <c r="L28" s="76">
        <v>0</v>
      </c>
      <c r="M28" s="77">
        <v>0</v>
      </c>
      <c r="N28" s="76">
        <v>0</v>
      </c>
      <c r="O28" s="77">
        <v>0</v>
      </c>
      <c r="P28" s="76">
        <v>446.55700000000002</v>
      </c>
      <c r="Q28" s="77">
        <v>0</v>
      </c>
      <c r="R28" s="76">
        <v>0</v>
      </c>
      <c r="S28" s="77">
        <v>0</v>
      </c>
      <c r="T28" s="76">
        <v>446.55700000000002</v>
      </c>
      <c r="U28" s="77">
        <v>0</v>
      </c>
      <c r="V28" s="77">
        <v>0</v>
      </c>
      <c r="W28" s="77">
        <v>0</v>
      </c>
      <c r="X28" s="77">
        <v>0</v>
      </c>
      <c r="Y28" s="77">
        <v>0</v>
      </c>
      <c r="Z28" s="76">
        <v>0.26400000000000001</v>
      </c>
      <c r="AA28" s="76">
        <v>446.55700000000002</v>
      </c>
      <c r="AB28" s="77">
        <v>117.891048</v>
      </c>
    </row>
    <row r="29" spans="1:28" ht="14.25" customHeight="1">
      <c r="A29" s="114" t="s">
        <v>242</v>
      </c>
      <c r="B29" s="114"/>
      <c r="C29" s="81">
        <v>191.22</v>
      </c>
      <c r="D29" s="81">
        <v>-67.858556500366063</v>
      </c>
      <c r="E29" s="82">
        <v>-12975.913173999999</v>
      </c>
      <c r="F29" s="81">
        <v>0</v>
      </c>
      <c r="G29" s="81" t="s">
        <v>235</v>
      </c>
      <c r="H29" s="81" t="s">
        <v>235</v>
      </c>
      <c r="I29" s="82">
        <v>0</v>
      </c>
      <c r="J29" s="81">
        <v>0</v>
      </c>
      <c r="K29" s="82" t="s">
        <v>235</v>
      </c>
      <c r="L29" s="82" t="s">
        <v>235</v>
      </c>
      <c r="M29" s="82">
        <v>0</v>
      </c>
      <c r="N29" s="81">
        <v>0</v>
      </c>
      <c r="O29" s="81" t="s">
        <v>235</v>
      </c>
      <c r="P29" s="81" t="s">
        <v>235</v>
      </c>
      <c r="Q29" s="82">
        <v>0</v>
      </c>
      <c r="R29" s="81">
        <v>0</v>
      </c>
      <c r="S29" s="81" t="s">
        <v>235</v>
      </c>
      <c r="T29" s="81" t="s">
        <v>235</v>
      </c>
      <c r="U29" s="82">
        <v>0</v>
      </c>
      <c r="V29" s="82">
        <v>0</v>
      </c>
      <c r="W29" s="82">
        <v>0</v>
      </c>
      <c r="X29" s="82">
        <v>0</v>
      </c>
      <c r="Y29" s="82">
        <v>0</v>
      </c>
      <c r="Z29" s="81">
        <v>191.22</v>
      </c>
      <c r="AA29" s="81">
        <v>-67.858556500366078</v>
      </c>
      <c r="AB29" s="82">
        <v>-12975.913173999999</v>
      </c>
    </row>
  </sheetData>
  <mergeCells count="34">
    <mergeCell ref="A7:B7"/>
    <mergeCell ref="F1:H1"/>
    <mergeCell ref="A2:E2"/>
    <mergeCell ref="A3:B4"/>
    <mergeCell ref="C3:E3"/>
    <mergeCell ref="F3:I3"/>
    <mergeCell ref="N3:U3"/>
    <mergeCell ref="V3:W3"/>
    <mergeCell ref="Z3:AB3"/>
    <mergeCell ref="A5:B5"/>
    <mergeCell ref="A6:B6"/>
    <mergeCell ref="J3:M3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26:B26"/>
    <mergeCell ref="A27:B27"/>
    <mergeCell ref="A28:B28"/>
    <mergeCell ref="A29:B29"/>
    <mergeCell ref="A20:B20"/>
    <mergeCell ref="A21:B21"/>
    <mergeCell ref="A22:B22"/>
    <mergeCell ref="A23:B23"/>
    <mergeCell ref="A24:B24"/>
    <mergeCell ref="A25:B25"/>
  </mergeCells>
  <phoneticPr fontId="9" type="noConversion"/>
  <printOptions horizontalCentered="1"/>
  <pageMargins left="0.75" right="0.75" top="0.26899999380111694" bottom="0.26899999380111694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965E3-41C3-4031-9AA6-3F0817A4AAFF}">
  <dimension ref="A1:AK108"/>
  <sheetViews>
    <sheetView topLeftCell="AC80" workbookViewId="0">
      <selection activeCell="AC80" sqref="A1:XFD1048576"/>
    </sheetView>
  </sheetViews>
  <sheetFormatPr defaultColWidth="9.77734375" defaultRowHeight="13.8"/>
  <cols>
    <col min="1" max="1" width="32.21875" style="69" customWidth="1"/>
    <col min="2" max="7" width="18.33203125" style="69" customWidth="1"/>
    <col min="8" max="10" width="20.21875" style="69" customWidth="1"/>
    <col min="11" max="18" width="18.33203125" style="69" customWidth="1"/>
    <col min="19" max="19" width="23.109375" style="69" customWidth="1"/>
    <col min="20" max="20" width="22.109375" style="69" customWidth="1"/>
    <col min="21" max="23" width="18.33203125" style="69" customWidth="1"/>
    <col min="24" max="24" width="27.88671875" style="69" customWidth="1"/>
    <col min="25" max="30" width="18.33203125" style="69" customWidth="1"/>
    <col min="31" max="35" width="20.21875" style="69" customWidth="1"/>
    <col min="36" max="36" width="18.33203125" style="69" customWidth="1"/>
    <col min="37" max="37" width="25.109375" style="69" customWidth="1"/>
    <col min="38" max="39" width="13.88671875" style="69" customWidth="1"/>
    <col min="40" max="16384" width="9.77734375" style="69"/>
  </cols>
  <sheetData>
    <row r="1" spans="1:37" ht="22.65" customHeight="1">
      <c r="A1" s="121" t="s">
        <v>353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</row>
    <row r="2" spans="1:37" ht="34.65" customHeight="1">
      <c r="A2" s="119" t="s">
        <v>243</v>
      </c>
      <c r="B2" s="119"/>
      <c r="C2" s="119"/>
      <c r="D2" s="119"/>
      <c r="E2" s="119"/>
      <c r="F2" s="119"/>
      <c r="G2" s="119"/>
      <c r="H2" s="119"/>
      <c r="I2" s="119"/>
      <c r="J2" s="119"/>
      <c r="K2" s="108"/>
      <c r="L2" s="108"/>
      <c r="M2" s="108"/>
      <c r="O2" s="70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71"/>
      <c r="AB2" s="71"/>
      <c r="AC2" s="71"/>
      <c r="AD2" s="71"/>
      <c r="AE2" s="72"/>
      <c r="AF2" s="108"/>
      <c r="AG2" s="108"/>
      <c r="AH2" s="108"/>
      <c r="AI2" s="108"/>
      <c r="AJ2" s="108"/>
      <c r="AK2" s="73" t="s">
        <v>183</v>
      </c>
    </row>
    <row r="3" spans="1:37" ht="19.95" customHeight="1">
      <c r="A3" s="122" t="s">
        <v>184</v>
      </c>
      <c r="B3" s="122" t="s">
        <v>244</v>
      </c>
      <c r="C3" s="122"/>
      <c r="D3" s="122"/>
      <c r="E3" s="122"/>
      <c r="F3" s="122"/>
      <c r="G3" s="122"/>
      <c r="H3" s="122"/>
      <c r="I3" s="122"/>
      <c r="J3" s="122"/>
      <c r="K3" s="122" t="s">
        <v>245</v>
      </c>
      <c r="L3" s="122"/>
      <c r="M3" s="122"/>
      <c r="N3" s="109" t="s">
        <v>246</v>
      </c>
      <c r="O3" s="122" t="s">
        <v>185</v>
      </c>
      <c r="P3" s="122"/>
      <c r="Q3" s="122"/>
      <c r="R3" s="122" t="s">
        <v>186</v>
      </c>
      <c r="S3" s="122"/>
      <c r="T3" s="122"/>
      <c r="U3" s="122"/>
      <c r="V3" s="122" t="s">
        <v>187</v>
      </c>
      <c r="W3" s="122"/>
      <c r="X3" s="122"/>
      <c r="Y3" s="122"/>
      <c r="Z3" s="122" t="s">
        <v>247</v>
      </c>
      <c r="AA3" s="122"/>
      <c r="AB3" s="122" t="s">
        <v>248</v>
      </c>
      <c r="AC3" s="122"/>
      <c r="AD3" s="74" t="s">
        <v>249</v>
      </c>
      <c r="AE3" s="122" t="s">
        <v>250</v>
      </c>
      <c r="AF3" s="122"/>
      <c r="AG3" s="122" t="s">
        <v>251</v>
      </c>
      <c r="AH3" s="122"/>
      <c r="AI3" s="122"/>
      <c r="AJ3" s="122" t="s">
        <v>252</v>
      </c>
      <c r="AK3" s="122"/>
    </row>
    <row r="4" spans="1:37" ht="19.95" customHeight="1">
      <c r="A4" s="122"/>
      <c r="B4" s="109" t="s">
        <v>253</v>
      </c>
      <c r="C4" s="109" t="s">
        <v>254</v>
      </c>
      <c r="D4" s="109" t="s">
        <v>255</v>
      </c>
      <c r="E4" s="74" t="s">
        <v>256</v>
      </c>
      <c r="F4" s="74" t="s">
        <v>257</v>
      </c>
      <c r="G4" s="74" t="s">
        <v>258</v>
      </c>
      <c r="H4" s="74" t="s">
        <v>259</v>
      </c>
      <c r="I4" s="74" t="s">
        <v>260</v>
      </c>
      <c r="J4" s="74" t="s">
        <v>261</v>
      </c>
      <c r="K4" s="74" t="s">
        <v>262</v>
      </c>
      <c r="L4" s="74" t="s">
        <v>263</v>
      </c>
      <c r="M4" s="74" t="s">
        <v>264</v>
      </c>
      <c r="N4" s="74" t="s">
        <v>265</v>
      </c>
      <c r="O4" s="74" t="s">
        <v>266</v>
      </c>
      <c r="P4" s="74" t="s">
        <v>267</v>
      </c>
      <c r="Q4" s="74" t="s">
        <v>195</v>
      </c>
      <c r="R4" s="74" t="s">
        <v>196</v>
      </c>
      <c r="S4" s="74" t="s">
        <v>197</v>
      </c>
      <c r="T4" s="74" t="s">
        <v>198</v>
      </c>
      <c r="U4" s="74" t="s">
        <v>199</v>
      </c>
      <c r="V4" s="74" t="s">
        <v>200</v>
      </c>
      <c r="W4" s="74" t="s">
        <v>268</v>
      </c>
      <c r="X4" s="74" t="s">
        <v>202</v>
      </c>
      <c r="Y4" s="74" t="s">
        <v>203</v>
      </c>
      <c r="Z4" s="74" t="s">
        <v>210</v>
      </c>
      <c r="AA4" s="74" t="s">
        <v>269</v>
      </c>
      <c r="AB4" s="74" t="s">
        <v>270</v>
      </c>
      <c r="AC4" s="74" t="s">
        <v>271</v>
      </c>
      <c r="AD4" s="74" t="s">
        <v>249</v>
      </c>
      <c r="AE4" s="74" t="s">
        <v>272</v>
      </c>
      <c r="AF4" s="74" t="s">
        <v>273</v>
      </c>
      <c r="AG4" s="109" t="s">
        <v>274</v>
      </c>
      <c r="AH4" s="109" t="s">
        <v>275</v>
      </c>
      <c r="AI4" s="74" t="s">
        <v>276</v>
      </c>
      <c r="AJ4" s="74" t="s">
        <v>214</v>
      </c>
      <c r="AK4" s="74" t="s">
        <v>216</v>
      </c>
    </row>
    <row r="5" spans="1:37" ht="14.25" customHeight="1">
      <c r="A5" s="80" t="s">
        <v>277</v>
      </c>
      <c r="B5" s="81">
        <v>0</v>
      </c>
      <c r="C5" s="81">
        <v>0</v>
      </c>
      <c r="D5" s="82">
        <v>0</v>
      </c>
      <c r="E5" s="81">
        <v>0</v>
      </c>
      <c r="F5" s="81">
        <v>0</v>
      </c>
      <c r="G5" s="82">
        <v>0</v>
      </c>
      <c r="H5" s="83"/>
      <c r="I5" s="83"/>
      <c r="J5" s="84"/>
      <c r="K5" s="81">
        <v>0</v>
      </c>
      <c r="L5" s="81">
        <v>0</v>
      </c>
      <c r="M5" s="82">
        <v>0</v>
      </c>
      <c r="N5" s="82">
        <v>0</v>
      </c>
      <c r="O5" s="81">
        <v>0</v>
      </c>
      <c r="P5" s="81">
        <v>580</v>
      </c>
      <c r="Q5" s="82">
        <v>0</v>
      </c>
      <c r="R5" s="81">
        <v>0</v>
      </c>
      <c r="S5" s="81">
        <v>0</v>
      </c>
      <c r="T5" s="81">
        <v>580</v>
      </c>
      <c r="U5" s="82">
        <v>0</v>
      </c>
      <c r="V5" s="81">
        <v>0</v>
      </c>
      <c r="W5" s="81">
        <v>0</v>
      </c>
      <c r="X5" s="81">
        <v>0</v>
      </c>
      <c r="Y5" s="82">
        <v>0</v>
      </c>
      <c r="Z5" s="82">
        <v>0</v>
      </c>
      <c r="AA5" s="82">
        <v>0</v>
      </c>
      <c r="AB5" s="82">
        <v>0</v>
      </c>
      <c r="AC5" s="82">
        <v>0</v>
      </c>
      <c r="AD5" s="82">
        <v>0</v>
      </c>
      <c r="AE5" s="82">
        <v>0</v>
      </c>
      <c r="AF5" s="82">
        <v>0</v>
      </c>
      <c r="AG5" s="82">
        <v>0</v>
      </c>
      <c r="AH5" s="82">
        <v>0</v>
      </c>
      <c r="AI5" s="82">
        <v>0</v>
      </c>
      <c r="AJ5" s="81">
        <v>0</v>
      </c>
      <c r="AK5" s="82">
        <v>0</v>
      </c>
    </row>
    <row r="6" spans="1:37" ht="14.25" customHeight="1">
      <c r="A6" s="75" t="s">
        <v>278</v>
      </c>
      <c r="B6" s="76">
        <v>0</v>
      </c>
      <c r="C6" s="76">
        <v>0</v>
      </c>
      <c r="D6" s="77">
        <v>0</v>
      </c>
      <c r="E6" s="76">
        <v>0</v>
      </c>
      <c r="F6" s="76">
        <v>0</v>
      </c>
      <c r="G6" s="77">
        <v>0</v>
      </c>
      <c r="H6" s="78"/>
      <c r="I6" s="78"/>
      <c r="J6" s="79"/>
      <c r="K6" s="76">
        <v>0</v>
      </c>
      <c r="L6" s="76">
        <v>0</v>
      </c>
      <c r="M6" s="77">
        <v>0</v>
      </c>
      <c r="N6" s="77">
        <v>0</v>
      </c>
      <c r="O6" s="76">
        <v>0</v>
      </c>
      <c r="P6" s="76">
        <v>532.5</v>
      </c>
      <c r="Q6" s="77">
        <v>0</v>
      </c>
      <c r="R6" s="76">
        <v>0</v>
      </c>
      <c r="S6" s="76">
        <v>0</v>
      </c>
      <c r="T6" s="76">
        <v>532.5</v>
      </c>
      <c r="U6" s="77">
        <v>0</v>
      </c>
      <c r="V6" s="76">
        <v>0</v>
      </c>
      <c r="W6" s="76">
        <v>0</v>
      </c>
      <c r="X6" s="76">
        <v>0</v>
      </c>
      <c r="Y6" s="77">
        <v>0</v>
      </c>
      <c r="Z6" s="77">
        <v>0</v>
      </c>
      <c r="AA6" s="77">
        <v>0</v>
      </c>
      <c r="AB6" s="77">
        <v>0</v>
      </c>
      <c r="AC6" s="77">
        <v>0</v>
      </c>
      <c r="AD6" s="77">
        <v>0</v>
      </c>
      <c r="AE6" s="77">
        <v>0</v>
      </c>
      <c r="AF6" s="77">
        <v>0</v>
      </c>
      <c r="AG6" s="77">
        <v>0</v>
      </c>
      <c r="AH6" s="77">
        <v>0</v>
      </c>
      <c r="AI6" s="77">
        <v>0</v>
      </c>
      <c r="AJ6" s="76">
        <v>0</v>
      </c>
      <c r="AK6" s="77">
        <v>0</v>
      </c>
    </row>
    <row r="7" spans="1:37" ht="14.25" customHeight="1">
      <c r="A7" s="80" t="s">
        <v>279</v>
      </c>
      <c r="B7" s="81">
        <v>0</v>
      </c>
      <c r="C7" s="81">
        <v>0</v>
      </c>
      <c r="D7" s="82">
        <v>0</v>
      </c>
      <c r="E7" s="81">
        <v>0</v>
      </c>
      <c r="F7" s="81">
        <v>0</v>
      </c>
      <c r="G7" s="82">
        <v>0</v>
      </c>
      <c r="H7" s="83"/>
      <c r="I7" s="83"/>
      <c r="J7" s="84"/>
      <c r="K7" s="81">
        <v>0</v>
      </c>
      <c r="L7" s="81">
        <v>0</v>
      </c>
      <c r="M7" s="82">
        <v>0</v>
      </c>
      <c r="N7" s="82">
        <v>0</v>
      </c>
      <c r="O7" s="81">
        <v>0</v>
      </c>
      <c r="P7" s="81">
        <v>532.5</v>
      </c>
      <c r="Q7" s="82">
        <v>0</v>
      </c>
      <c r="R7" s="81">
        <v>0</v>
      </c>
      <c r="S7" s="81">
        <v>0</v>
      </c>
      <c r="T7" s="81">
        <v>532.5</v>
      </c>
      <c r="U7" s="82">
        <v>0</v>
      </c>
      <c r="V7" s="81">
        <v>0</v>
      </c>
      <c r="W7" s="81">
        <v>0</v>
      </c>
      <c r="X7" s="81">
        <v>0</v>
      </c>
      <c r="Y7" s="82">
        <v>0</v>
      </c>
      <c r="Z7" s="82">
        <v>0</v>
      </c>
      <c r="AA7" s="82">
        <v>0</v>
      </c>
      <c r="AB7" s="82">
        <v>0</v>
      </c>
      <c r="AC7" s="82">
        <v>0</v>
      </c>
      <c r="AD7" s="82">
        <v>0</v>
      </c>
      <c r="AE7" s="82">
        <v>0</v>
      </c>
      <c r="AF7" s="82">
        <v>0</v>
      </c>
      <c r="AG7" s="82">
        <v>0</v>
      </c>
      <c r="AH7" s="82">
        <v>0</v>
      </c>
      <c r="AI7" s="82">
        <v>0</v>
      </c>
      <c r="AJ7" s="81">
        <v>0</v>
      </c>
      <c r="AK7" s="82">
        <v>0</v>
      </c>
    </row>
    <row r="8" spans="1:37" ht="14.25" customHeight="1">
      <c r="A8" s="75" t="s">
        <v>217</v>
      </c>
      <c r="B8" s="76">
        <v>0</v>
      </c>
      <c r="C8" s="76">
        <v>0</v>
      </c>
      <c r="D8" s="77">
        <v>0</v>
      </c>
      <c r="E8" s="76">
        <v>0</v>
      </c>
      <c r="F8" s="76">
        <v>0</v>
      </c>
      <c r="G8" s="77">
        <v>0</v>
      </c>
      <c r="H8" s="78"/>
      <c r="I8" s="78"/>
      <c r="J8" s="79"/>
      <c r="K8" s="76">
        <v>0</v>
      </c>
      <c r="L8" s="76">
        <v>0</v>
      </c>
      <c r="M8" s="77">
        <v>0</v>
      </c>
      <c r="N8" s="77">
        <v>0</v>
      </c>
      <c r="O8" s="76">
        <v>0</v>
      </c>
      <c r="P8" s="76">
        <v>526.5</v>
      </c>
      <c r="Q8" s="77">
        <v>0</v>
      </c>
      <c r="R8" s="76">
        <v>0</v>
      </c>
      <c r="S8" s="76">
        <v>0</v>
      </c>
      <c r="T8" s="76">
        <v>526.5</v>
      </c>
      <c r="U8" s="77">
        <v>0</v>
      </c>
      <c r="V8" s="76">
        <v>0</v>
      </c>
      <c r="W8" s="76">
        <v>0</v>
      </c>
      <c r="X8" s="76">
        <v>0</v>
      </c>
      <c r="Y8" s="77">
        <v>0</v>
      </c>
      <c r="Z8" s="77">
        <v>0</v>
      </c>
      <c r="AA8" s="77">
        <v>0</v>
      </c>
      <c r="AB8" s="77">
        <v>0</v>
      </c>
      <c r="AC8" s="77">
        <v>0</v>
      </c>
      <c r="AD8" s="77">
        <v>0</v>
      </c>
      <c r="AE8" s="77">
        <v>0</v>
      </c>
      <c r="AF8" s="77">
        <v>0</v>
      </c>
      <c r="AG8" s="77">
        <v>0</v>
      </c>
      <c r="AH8" s="77">
        <v>0</v>
      </c>
      <c r="AI8" s="77">
        <v>0</v>
      </c>
      <c r="AJ8" s="76">
        <v>0</v>
      </c>
      <c r="AK8" s="77">
        <v>0</v>
      </c>
    </row>
    <row r="9" spans="1:37" ht="14.25" customHeight="1">
      <c r="A9" s="80" t="s">
        <v>280</v>
      </c>
      <c r="B9" s="81">
        <v>0</v>
      </c>
      <c r="C9" s="81">
        <v>0</v>
      </c>
      <c r="D9" s="82">
        <v>0</v>
      </c>
      <c r="E9" s="81">
        <v>0</v>
      </c>
      <c r="F9" s="81">
        <v>0</v>
      </c>
      <c r="G9" s="82">
        <v>0</v>
      </c>
      <c r="H9" s="83"/>
      <c r="I9" s="83"/>
      <c r="J9" s="84"/>
      <c r="K9" s="81">
        <v>0</v>
      </c>
      <c r="L9" s="81">
        <v>0</v>
      </c>
      <c r="M9" s="82">
        <v>0</v>
      </c>
      <c r="N9" s="82">
        <v>0</v>
      </c>
      <c r="O9" s="81">
        <v>0</v>
      </c>
      <c r="P9" s="81">
        <v>525</v>
      </c>
      <c r="Q9" s="82">
        <v>0</v>
      </c>
      <c r="R9" s="81">
        <v>0</v>
      </c>
      <c r="S9" s="81">
        <v>0</v>
      </c>
      <c r="T9" s="81">
        <v>525</v>
      </c>
      <c r="U9" s="82">
        <v>0</v>
      </c>
      <c r="V9" s="81">
        <v>0</v>
      </c>
      <c r="W9" s="81">
        <v>0</v>
      </c>
      <c r="X9" s="81">
        <v>0</v>
      </c>
      <c r="Y9" s="82">
        <v>0</v>
      </c>
      <c r="Z9" s="82">
        <v>0</v>
      </c>
      <c r="AA9" s="82">
        <v>0</v>
      </c>
      <c r="AB9" s="82">
        <v>0</v>
      </c>
      <c r="AC9" s="82">
        <v>0</v>
      </c>
      <c r="AD9" s="82">
        <v>0</v>
      </c>
      <c r="AE9" s="82">
        <v>0</v>
      </c>
      <c r="AF9" s="82">
        <v>0</v>
      </c>
      <c r="AG9" s="82">
        <v>0</v>
      </c>
      <c r="AH9" s="82">
        <v>0</v>
      </c>
      <c r="AI9" s="82">
        <v>0</v>
      </c>
      <c r="AJ9" s="81">
        <v>0</v>
      </c>
      <c r="AK9" s="82">
        <v>0</v>
      </c>
    </row>
    <row r="10" spans="1:37" ht="14.25" customHeight="1">
      <c r="A10" s="75" t="s">
        <v>281</v>
      </c>
      <c r="B10" s="76">
        <v>0</v>
      </c>
      <c r="C10" s="76">
        <v>0</v>
      </c>
      <c r="D10" s="77">
        <v>0</v>
      </c>
      <c r="E10" s="76">
        <v>0</v>
      </c>
      <c r="F10" s="76">
        <v>0</v>
      </c>
      <c r="G10" s="77">
        <v>0</v>
      </c>
      <c r="H10" s="78"/>
      <c r="I10" s="78"/>
      <c r="J10" s="79"/>
      <c r="K10" s="76">
        <v>0</v>
      </c>
      <c r="L10" s="76">
        <v>0</v>
      </c>
      <c r="M10" s="77">
        <v>0</v>
      </c>
      <c r="N10" s="77">
        <v>0</v>
      </c>
      <c r="O10" s="76">
        <v>0</v>
      </c>
      <c r="P10" s="76">
        <v>520.5</v>
      </c>
      <c r="Q10" s="77">
        <v>0</v>
      </c>
      <c r="R10" s="76">
        <v>0</v>
      </c>
      <c r="S10" s="76">
        <v>0</v>
      </c>
      <c r="T10" s="76">
        <v>520.5</v>
      </c>
      <c r="U10" s="77">
        <v>0</v>
      </c>
      <c r="V10" s="76">
        <v>0</v>
      </c>
      <c r="W10" s="76">
        <v>0</v>
      </c>
      <c r="X10" s="76">
        <v>0</v>
      </c>
      <c r="Y10" s="77">
        <v>0</v>
      </c>
      <c r="Z10" s="77">
        <v>0</v>
      </c>
      <c r="AA10" s="77">
        <v>0</v>
      </c>
      <c r="AB10" s="77">
        <v>0</v>
      </c>
      <c r="AC10" s="77">
        <v>0</v>
      </c>
      <c r="AD10" s="77">
        <v>0</v>
      </c>
      <c r="AE10" s="77">
        <v>0</v>
      </c>
      <c r="AF10" s="77">
        <v>0</v>
      </c>
      <c r="AG10" s="77">
        <v>0</v>
      </c>
      <c r="AH10" s="77">
        <v>0</v>
      </c>
      <c r="AI10" s="77">
        <v>0</v>
      </c>
      <c r="AJ10" s="76">
        <v>0</v>
      </c>
      <c r="AK10" s="77">
        <v>0</v>
      </c>
    </row>
    <row r="11" spans="1:37" ht="14.25" customHeight="1">
      <c r="A11" s="80" t="s">
        <v>282</v>
      </c>
      <c r="B11" s="81">
        <v>0</v>
      </c>
      <c r="C11" s="81">
        <v>0</v>
      </c>
      <c r="D11" s="82">
        <v>0</v>
      </c>
      <c r="E11" s="81">
        <v>0</v>
      </c>
      <c r="F11" s="81">
        <v>0</v>
      </c>
      <c r="G11" s="82">
        <v>0</v>
      </c>
      <c r="H11" s="83"/>
      <c r="I11" s="83"/>
      <c r="J11" s="84"/>
      <c r="K11" s="81">
        <v>0</v>
      </c>
      <c r="L11" s="81">
        <v>0</v>
      </c>
      <c r="M11" s="82">
        <v>0</v>
      </c>
      <c r="N11" s="82">
        <v>0</v>
      </c>
      <c r="O11" s="81">
        <v>0</v>
      </c>
      <c r="P11" s="81">
        <v>519</v>
      </c>
      <c r="Q11" s="82">
        <v>0</v>
      </c>
      <c r="R11" s="81">
        <v>0</v>
      </c>
      <c r="S11" s="81">
        <v>0</v>
      </c>
      <c r="T11" s="81">
        <v>519</v>
      </c>
      <c r="U11" s="82">
        <v>0</v>
      </c>
      <c r="V11" s="81">
        <v>0</v>
      </c>
      <c r="W11" s="81">
        <v>0</v>
      </c>
      <c r="X11" s="81">
        <v>0</v>
      </c>
      <c r="Y11" s="82">
        <v>0</v>
      </c>
      <c r="Z11" s="82">
        <v>0</v>
      </c>
      <c r="AA11" s="82">
        <v>0</v>
      </c>
      <c r="AB11" s="82">
        <v>0</v>
      </c>
      <c r="AC11" s="82">
        <v>0</v>
      </c>
      <c r="AD11" s="82">
        <v>0</v>
      </c>
      <c r="AE11" s="82">
        <v>0</v>
      </c>
      <c r="AF11" s="82">
        <v>0</v>
      </c>
      <c r="AG11" s="82">
        <v>0</v>
      </c>
      <c r="AH11" s="82">
        <v>0</v>
      </c>
      <c r="AI11" s="82">
        <v>0</v>
      </c>
      <c r="AJ11" s="81">
        <v>0</v>
      </c>
      <c r="AK11" s="82">
        <v>0</v>
      </c>
    </row>
    <row r="12" spans="1:37" ht="14.25" customHeight="1">
      <c r="A12" s="75" t="s">
        <v>218</v>
      </c>
      <c r="B12" s="76">
        <v>0</v>
      </c>
      <c r="C12" s="76">
        <v>0</v>
      </c>
      <c r="D12" s="77">
        <v>0</v>
      </c>
      <c r="E12" s="76">
        <v>0</v>
      </c>
      <c r="F12" s="76">
        <v>0</v>
      </c>
      <c r="G12" s="77">
        <v>0</v>
      </c>
      <c r="H12" s="78"/>
      <c r="I12" s="78"/>
      <c r="J12" s="79"/>
      <c r="K12" s="76">
        <v>0</v>
      </c>
      <c r="L12" s="76">
        <v>0</v>
      </c>
      <c r="M12" s="77">
        <v>0</v>
      </c>
      <c r="N12" s="77">
        <v>0</v>
      </c>
      <c r="O12" s="76">
        <v>0</v>
      </c>
      <c r="P12" s="76">
        <v>513</v>
      </c>
      <c r="Q12" s="77">
        <v>0</v>
      </c>
      <c r="R12" s="76">
        <v>0</v>
      </c>
      <c r="S12" s="76">
        <v>0</v>
      </c>
      <c r="T12" s="76">
        <v>513</v>
      </c>
      <c r="U12" s="77">
        <v>0</v>
      </c>
      <c r="V12" s="76">
        <v>0</v>
      </c>
      <c r="W12" s="76">
        <v>0</v>
      </c>
      <c r="X12" s="76">
        <v>0</v>
      </c>
      <c r="Y12" s="77">
        <v>0</v>
      </c>
      <c r="Z12" s="77">
        <v>0</v>
      </c>
      <c r="AA12" s="77">
        <v>0</v>
      </c>
      <c r="AB12" s="77">
        <v>0</v>
      </c>
      <c r="AC12" s="77">
        <v>0</v>
      </c>
      <c r="AD12" s="77">
        <v>0</v>
      </c>
      <c r="AE12" s="77">
        <v>0</v>
      </c>
      <c r="AF12" s="77">
        <v>0</v>
      </c>
      <c r="AG12" s="77">
        <v>0</v>
      </c>
      <c r="AH12" s="77">
        <v>0</v>
      </c>
      <c r="AI12" s="77">
        <v>0</v>
      </c>
      <c r="AJ12" s="76">
        <v>0</v>
      </c>
      <c r="AK12" s="77">
        <v>0</v>
      </c>
    </row>
    <row r="13" spans="1:37" ht="14.25" customHeight="1">
      <c r="A13" s="80" t="s">
        <v>283</v>
      </c>
      <c r="B13" s="81">
        <v>0</v>
      </c>
      <c r="C13" s="81">
        <v>0</v>
      </c>
      <c r="D13" s="82">
        <v>0</v>
      </c>
      <c r="E13" s="81">
        <v>0</v>
      </c>
      <c r="F13" s="81">
        <v>0</v>
      </c>
      <c r="G13" s="82">
        <v>0</v>
      </c>
      <c r="H13" s="83"/>
      <c r="I13" s="83"/>
      <c r="J13" s="84"/>
      <c r="K13" s="81">
        <v>0</v>
      </c>
      <c r="L13" s="81">
        <v>0</v>
      </c>
      <c r="M13" s="82">
        <v>0</v>
      </c>
      <c r="N13" s="82">
        <v>0</v>
      </c>
      <c r="O13" s="81">
        <v>0</v>
      </c>
      <c r="P13" s="81">
        <v>511.5</v>
      </c>
      <c r="Q13" s="82">
        <v>0</v>
      </c>
      <c r="R13" s="81">
        <v>0</v>
      </c>
      <c r="S13" s="81">
        <v>0</v>
      </c>
      <c r="T13" s="81">
        <v>511.57799999999997</v>
      </c>
      <c r="U13" s="82">
        <v>0</v>
      </c>
      <c r="V13" s="81">
        <v>0</v>
      </c>
      <c r="W13" s="81">
        <v>0</v>
      </c>
      <c r="X13" s="81">
        <v>0</v>
      </c>
      <c r="Y13" s="82">
        <v>0</v>
      </c>
      <c r="Z13" s="82">
        <v>0</v>
      </c>
      <c r="AA13" s="82">
        <v>0</v>
      </c>
      <c r="AB13" s="82">
        <v>0</v>
      </c>
      <c r="AC13" s="82">
        <v>0</v>
      </c>
      <c r="AD13" s="82">
        <v>0</v>
      </c>
      <c r="AE13" s="82">
        <v>0</v>
      </c>
      <c r="AF13" s="82">
        <v>0</v>
      </c>
      <c r="AG13" s="82">
        <v>0</v>
      </c>
      <c r="AH13" s="82">
        <v>0</v>
      </c>
      <c r="AI13" s="82">
        <v>0</v>
      </c>
      <c r="AJ13" s="81">
        <v>0</v>
      </c>
      <c r="AK13" s="82">
        <v>0</v>
      </c>
    </row>
    <row r="14" spans="1:37" ht="14.25" customHeight="1">
      <c r="A14" s="75" t="s">
        <v>284</v>
      </c>
      <c r="B14" s="76">
        <v>0</v>
      </c>
      <c r="C14" s="76">
        <v>0</v>
      </c>
      <c r="D14" s="77">
        <v>0</v>
      </c>
      <c r="E14" s="76">
        <v>0</v>
      </c>
      <c r="F14" s="76">
        <v>0</v>
      </c>
      <c r="G14" s="77">
        <v>0</v>
      </c>
      <c r="H14" s="78"/>
      <c r="I14" s="78"/>
      <c r="J14" s="79"/>
      <c r="K14" s="76">
        <v>0</v>
      </c>
      <c r="L14" s="76">
        <v>0</v>
      </c>
      <c r="M14" s="77">
        <v>0</v>
      </c>
      <c r="N14" s="77">
        <v>0</v>
      </c>
      <c r="O14" s="76">
        <v>0</v>
      </c>
      <c r="P14" s="76">
        <v>494.8</v>
      </c>
      <c r="Q14" s="77">
        <v>0</v>
      </c>
      <c r="R14" s="76">
        <v>0</v>
      </c>
      <c r="S14" s="76">
        <v>0</v>
      </c>
      <c r="T14" s="76">
        <v>496.30700000000002</v>
      </c>
      <c r="U14" s="77">
        <v>0</v>
      </c>
      <c r="V14" s="76">
        <v>0</v>
      </c>
      <c r="W14" s="76">
        <v>0</v>
      </c>
      <c r="X14" s="76">
        <v>0</v>
      </c>
      <c r="Y14" s="77">
        <v>0</v>
      </c>
      <c r="Z14" s="77">
        <v>0</v>
      </c>
      <c r="AA14" s="77">
        <v>0</v>
      </c>
      <c r="AB14" s="77">
        <v>0</v>
      </c>
      <c r="AC14" s="77">
        <v>0</v>
      </c>
      <c r="AD14" s="77">
        <v>0</v>
      </c>
      <c r="AE14" s="77">
        <v>0</v>
      </c>
      <c r="AF14" s="77">
        <v>0</v>
      </c>
      <c r="AG14" s="77">
        <v>0</v>
      </c>
      <c r="AH14" s="77">
        <v>0</v>
      </c>
      <c r="AI14" s="77">
        <v>0</v>
      </c>
      <c r="AJ14" s="76">
        <v>0</v>
      </c>
      <c r="AK14" s="77">
        <v>0</v>
      </c>
    </row>
    <row r="15" spans="1:37" ht="14.25" customHeight="1">
      <c r="A15" s="80" t="s">
        <v>285</v>
      </c>
      <c r="B15" s="81">
        <v>0</v>
      </c>
      <c r="C15" s="81">
        <v>0</v>
      </c>
      <c r="D15" s="82">
        <v>0</v>
      </c>
      <c r="E15" s="81">
        <v>0</v>
      </c>
      <c r="F15" s="81">
        <v>0</v>
      </c>
      <c r="G15" s="82">
        <v>0</v>
      </c>
      <c r="H15" s="83"/>
      <c r="I15" s="83"/>
      <c r="J15" s="84"/>
      <c r="K15" s="81">
        <v>0</v>
      </c>
      <c r="L15" s="81">
        <v>0</v>
      </c>
      <c r="M15" s="82">
        <v>0</v>
      </c>
      <c r="N15" s="82">
        <v>0</v>
      </c>
      <c r="O15" s="81">
        <v>0</v>
      </c>
      <c r="P15" s="81">
        <v>483.96899999999999</v>
      </c>
      <c r="Q15" s="82">
        <v>0</v>
      </c>
      <c r="R15" s="81">
        <v>0</v>
      </c>
      <c r="S15" s="81">
        <v>0</v>
      </c>
      <c r="T15" s="81">
        <v>486.09800000000001</v>
      </c>
      <c r="U15" s="82">
        <v>0</v>
      </c>
      <c r="V15" s="81">
        <v>0</v>
      </c>
      <c r="W15" s="81">
        <v>0</v>
      </c>
      <c r="X15" s="81">
        <v>0</v>
      </c>
      <c r="Y15" s="82">
        <v>0</v>
      </c>
      <c r="Z15" s="82">
        <v>0</v>
      </c>
      <c r="AA15" s="82">
        <v>0</v>
      </c>
      <c r="AB15" s="82">
        <v>0</v>
      </c>
      <c r="AC15" s="82">
        <v>0</v>
      </c>
      <c r="AD15" s="82">
        <v>0</v>
      </c>
      <c r="AE15" s="82">
        <v>0</v>
      </c>
      <c r="AF15" s="82">
        <v>0</v>
      </c>
      <c r="AG15" s="82">
        <v>0</v>
      </c>
      <c r="AH15" s="82">
        <v>0</v>
      </c>
      <c r="AI15" s="82">
        <v>0</v>
      </c>
      <c r="AJ15" s="81">
        <v>0</v>
      </c>
      <c r="AK15" s="82">
        <v>0</v>
      </c>
    </row>
    <row r="16" spans="1:37" ht="14.25" customHeight="1">
      <c r="A16" s="75" t="s">
        <v>219</v>
      </c>
      <c r="B16" s="76">
        <v>0</v>
      </c>
      <c r="C16" s="76">
        <v>0</v>
      </c>
      <c r="D16" s="77">
        <v>0</v>
      </c>
      <c r="E16" s="76">
        <v>0</v>
      </c>
      <c r="F16" s="76">
        <v>0</v>
      </c>
      <c r="G16" s="77">
        <v>0</v>
      </c>
      <c r="H16" s="78"/>
      <c r="I16" s="78"/>
      <c r="J16" s="79"/>
      <c r="K16" s="76">
        <v>0</v>
      </c>
      <c r="L16" s="76">
        <v>0</v>
      </c>
      <c r="M16" s="77">
        <v>0</v>
      </c>
      <c r="N16" s="77">
        <v>0</v>
      </c>
      <c r="O16" s="76">
        <v>0</v>
      </c>
      <c r="P16" s="76">
        <v>476.44</v>
      </c>
      <c r="Q16" s="77">
        <v>0</v>
      </c>
      <c r="R16" s="76">
        <v>0</v>
      </c>
      <c r="S16" s="76">
        <v>0</v>
      </c>
      <c r="T16" s="76">
        <v>479.15499999999997</v>
      </c>
      <c r="U16" s="77">
        <v>0</v>
      </c>
      <c r="V16" s="76">
        <v>0</v>
      </c>
      <c r="W16" s="76">
        <v>0</v>
      </c>
      <c r="X16" s="76">
        <v>0</v>
      </c>
      <c r="Y16" s="77">
        <v>0</v>
      </c>
      <c r="Z16" s="77">
        <v>0</v>
      </c>
      <c r="AA16" s="77">
        <v>0</v>
      </c>
      <c r="AB16" s="77">
        <v>0</v>
      </c>
      <c r="AC16" s="77">
        <v>0</v>
      </c>
      <c r="AD16" s="77">
        <v>0</v>
      </c>
      <c r="AE16" s="77">
        <v>0</v>
      </c>
      <c r="AF16" s="77">
        <v>0</v>
      </c>
      <c r="AG16" s="77">
        <v>0</v>
      </c>
      <c r="AH16" s="77">
        <v>0</v>
      </c>
      <c r="AI16" s="77">
        <v>0</v>
      </c>
      <c r="AJ16" s="76">
        <v>0</v>
      </c>
      <c r="AK16" s="77">
        <v>0</v>
      </c>
    </row>
    <row r="17" spans="1:37" ht="14.25" customHeight="1">
      <c r="A17" s="80" t="s">
        <v>286</v>
      </c>
      <c r="B17" s="81">
        <v>0</v>
      </c>
      <c r="C17" s="81">
        <v>0</v>
      </c>
      <c r="D17" s="82">
        <v>0</v>
      </c>
      <c r="E17" s="81">
        <v>0</v>
      </c>
      <c r="F17" s="81">
        <v>0</v>
      </c>
      <c r="G17" s="82">
        <v>0</v>
      </c>
      <c r="H17" s="83"/>
      <c r="I17" s="83"/>
      <c r="J17" s="84"/>
      <c r="K17" s="81">
        <v>0</v>
      </c>
      <c r="L17" s="81">
        <v>0</v>
      </c>
      <c r="M17" s="82">
        <v>0</v>
      </c>
      <c r="N17" s="82">
        <v>0</v>
      </c>
      <c r="O17" s="81">
        <v>0</v>
      </c>
      <c r="P17" s="81">
        <v>466.4</v>
      </c>
      <c r="Q17" s="82">
        <v>0</v>
      </c>
      <c r="R17" s="81">
        <v>0</v>
      </c>
      <c r="S17" s="81">
        <v>0</v>
      </c>
      <c r="T17" s="81">
        <v>469.6</v>
      </c>
      <c r="U17" s="82">
        <v>0</v>
      </c>
      <c r="V17" s="81">
        <v>0</v>
      </c>
      <c r="W17" s="81">
        <v>0</v>
      </c>
      <c r="X17" s="81">
        <v>0</v>
      </c>
      <c r="Y17" s="82">
        <v>0</v>
      </c>
      <c r="Z17" s="82">
        <v>0</v>
      </c>
      <c r="AA17" s="82">
        <v>0</v>
      </c>
      <c r="AB17" s="82">
        <v>0</v>
      </c>
      <c r="AC17" s="82">
        <v>0</v>
      </c>
      <c r="AD17" s="82">
        <v>0</v>
      </c>
      <c r="AE17" s="82">
        <v>0</v>
      </c>
      <c r="AF17" s="82">
        <v>0</v>
      </c>
      <c r="AG17" s="82">
        <v>0</v>
      </c>
      <c r="AH17" s="82">
        <v>0</v>
      </c>
      <c r="AI17" s="82">
        <v>0</v>
      </c>
      <c r="AJ17" s="81">
        <v>0</v>
      </c>
      <c r="AK17" s="82">
        <v>0</v>
      </c>
    </row>
    <row r="18" spans="1:37" ht="14.25" customHeight="1">
      <c r="A18" s="75" t="s">
        <v>287</v>
      </c>
      <c r="B18" s="76">
        <v>0</v>
      </c>
      <c r="C18" s="76">
        <v>0</v>
      </c>
      <c r="D18" s="77">
        <v>0</v>
      </c>
      <c r="E18" s="76">
        <v>0</v>
      </c>
      <c r="F18" s="76">
        <v>0</v>
      </c>
      <c r="G18" s="77">
        <v>0</v>
      </c>
      <c r="H18" s="78"/>
      <c r="I18" s="78"/>
      <c r="J18" s="79"/>
      <c r="K18" s="76">
        <v>0</v>
      </c>
      <c r="L18" s="76">
        <v>0</v>
      </c>
      <c r="M18" s="77">
        <v>0</v>
      </c>
      <c r="N18" s="77">
        <v>0</v>
      </c>
      <c r="O18" s="76">
        <v>0</v>
      </c>
      <c r="P18" s="76">
        <v>482.03699999999998</v>
      </c>
      <c r="Q18" s="77">
        <v>0</v>
      </c>
      <c r="R18" s="76">
        <v>0</v>
      </c>
      <c r="S18" s="76">
        <v>0</v>
      </c>
      <c r="T18" s="76">
        <v>483.72300000000001</v>
      </c>
      <c r="U18" s="77">
        <v>0</v>
      </c>
      <c r="V18" s="76">
        <v>0</v>
      </c>
      <c r="W18" s="76">
        <v>0</v>
      </c>
      <c r="X18" s="76">
        <v>0</v>
      </c>
      <c r="Y18" s="77">
        <v>0</v>
      </c>
      <c r="Z18" s="77">
        <v>0</v>
      </c>
      <c r="AA18" s="77">
        <v>0</v>
      </c>
      <c r="AB18" s="77">
        <v>0</v>
      </c>
      <c r="AC18" s="77">
        <v>0</v>
      </c>
      <c r="AD18" s="77">
        <v>0</v>
      </c>
      <c r="AE18" s="77">
        <v>0</v>
      </c>
      <c r="AF18" s="77">
        <v>0</v>
      </c>
      <c r="AG18" s="77">
        <v>0</v>
      </c>
      <c r="AH18" s="77">
        <v>0</v>
      </c>
      <c r="AI18" s="77">
        <v>0</v>
      </c>
      <c r="AJ18" s="76">
        <v>0</v>
      </c>
      <c r="AK18" s="77">
        <v>0</v>
      </c>
    </row>
    <row r="19" spans="1:37" ht="14.25" customHeight="1">
      <c r="A19" s="80" t="s">
        <v>288</v>
      </c>
      <c r="B19" s="81">
        <v>0</v>
      </c>
      <c r="C19" s="81">
        <v>0</v>
      </c>
      <c r="D19" s="82">
        <v>0</v>
      </c>
      <c r="E19" s="81">
        <v>0</v>
      </c>
      <c r="F19" s="81">
        <v>0</v>
      </c>
      <c r="G19" s="82">
        <v>0</v>
      </c>
      <c r="H19" s="83"/>
      <c r="I19" s="83"/>
      <c r="J19" s="84"/>
      <c r="K19" s="81">
        <v>0</v>
      </c>
      <c r="L19" s="81">
        <v>0</v>
      </c>
      <c r="M19" s="82">
        <v>0</v>
      </c>
      <c r="N19" s="82">
        <v>0</v>
      </c>
      <c r="O19" s="81">
        <v>0</v>
      </c>
      <c r="P19" s="81">
        <v>488.267</v>
      </c>
      <c r="Q19" s="82">
        <v>0</v>
      </c>
      <c r="R19" s="81">
        <v>0</v>
      </c>
      <c r="S19" s="81">
        <v>0</v>
      </c>
      <c r="T19" s="81">
        <v>489.46100000000001</v>
      </c>
      <c r="U19" s="82">
        <v>0</v>
      </c>
      <c r="V19" s="81">
        <v>0</v>
      </c>
      <c r="W19" s="81">
        <v>0</v>
      </c>
      <c r="X19" s="81">
        <v>0</v>
      </c>
      <c r="Y19" s="82">
        <v>0</v>
      </c>
      <c r="Z19" s="82">
        <v>0</v>
      </c>
      <c r="AA19" s="82">
        <v>0</v>
      </c>
      <c r="AB19" s="82">
        <v>0</v>
      </c>
      <c r="AC19" s="82">
        <v>0</v>
      </c>
      <c r="AD19" s="82">
        <v>0</v>
      </c>
      <c r="AE19" s="82">
        <v>0</v>
      </c>
      <c r="AF19" s="82">
        <v>0</v>
      </c>
      <c r="AG19" s="82">
        <v>0</v>
      </c>
      <c r="AH19" s="82">
        <v>0</v>
      </c>
      <c r="AI19" s="82">
        <v>0</v>
      </c>
      <c r="AJ19" s="81">
        <v>0</v>
      </c>
      <c r="AK19" s="82">
        <v>0</v>
      </c>
    </row>
    <row r="20" spans="1:37" ht="14.25" customHeight="1">
      <c r="A20" s="75" t="s">
        <v>220</v>
      </c>
      <c r="B20" s="76">
        <v>0</v>
      </c>
      <c r="C20" s="76">
        <v>0</v>
      </c>
      <c r="D20" s="77">
        <v>0</v>
      </c>
      <c r="E20" s="76">
        <v>0</v>
      </c>
      <c r="F20" s="76">
        <v>0</v>
      </c>
      <c r="G20" s="77">
        <v>0</v>
      </c>
      <c r="H20" s="78"/>
      <c r="I20" s="78"/>
      <c r="J20" s="79"/>
      <c r="K20" s="76">
        <v>0</v>
      </c>
      <c r="L20" s="76">
        <v>0</v>
      </c>
      <c r="M20" s="77">
        <v>0</v>
      </c>
      <c r="N20" s="77">
        <v>0</v>
      </c>
      <c r="O20" s="76">
        <v>0</v>
      </c>
      <c r="P20" s="76">
        <v>497.4</v>
      </c>
      <c r="Q20" s="77">
        <v>0</v>
      </c>
      <c r="R20" s="76">
        <v>0</v>
      </c>
      <c r="S20" s="76">
        <v>0</v>
      </c>
      <c r="T20" s="76">
        <v>498.19099999999997</v>
      </c>
      <c r="U20" s="77">
        <v>0</v>
      </c>
      <c r="V20" s="76">
        <v>0</v>
      </c>
      <c r="W20" s="76">
        <v>0</v>
      </c>
      <c r="X20" s="76">
        <v>0</v>
      </c>
      <c r="Y20" s="77">
        <v>0</v>
      </c>
      <c r="Z20" s="77">
        <v>0</v>
      </c>
      <c r="AA20" s="77">
        <v>0</v>
      </c>
      <c r="AB20" s="77">
        <v>0</v>
      </c>
      <c r="AC20" s="77">
        <v>0</v>
      </c>
      <c r="AD20" s="77">
        <v>0</v>
      </c>
      <c r="AE20" s="77">
        <v>0</v>
      </c>
      <c r="AF20" s="77">
        <v>0</v>
      </c>
      <c r="AG20" s="77">
        <v>0</v>
      </c>
      <c r="AH20" s="77">
        <v>0</v>
      </c>
      <c r="AI20" s="77">
        <v>0</v>
      </c>
      <c r="AJ20" s="76">
        <v>0</v>
      </c>
      <c r="AK20" s="77">
        <v>0</v>
      </c>
    </row>
    <row r="21" spans="1:37" ht="14.25" customHeight="1">
      <c r="A21" s="80" t="s">
        <v>289</v>
      </c>
      <c r="B21" s="81">
        <v>0</v>
      </c>
      <c r="C21" s="81">
        <v>0</v>
      </c>
      <c r="D21" s="82">
        <v>0</v>
      </c>
      <c r="E21" s="81">
        <v>0</v>
      </c>
      <c r="F21" s="81">
        <v>0</v>
      </c>
      <c r="G21" s="82">
        <v>0</v>
      </c>
      <c r="H21" s="83"/>
      <c r="I21" s="83"/>
      <c r="J21" s="84"/>
      <c r="K21" s="81">
        <v>0</v>
      </c>
      <c r="L21" s="81">
        <v>0</v>
      </c>
      <c r="M21" s="82">
        <v>0</v>
      </c>
      <c r="N21" s="82">
        <v>0</v>
      </c>
      <c r="O21" s="81">
        <v>0</v>
      </c>
      <c r="P21" s="81">
        <v>503.09199999999998</v>
      </c>
      <c r="Q21" s="82">
        <v>0</v>
      </c>
      <c r="R21" s="81">
        <v>0</v>
      </c>
      <c r="S21" s="81">
        <v>0</v>
      </c>
      <c r="T21" s="81">
        <v>503.30900000000003</v>
      </c>
      <c r="U21" s="82">
        <v>0</v>
      </c>
      <c r="V21" s="81">
        <v>0</v>
      </c>
      <c r="W21" s="81">
        <v>0</v>
      </c>
      <c r="X21" s="81">
        <v>0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I21" s="82">
        <v>0</v>
      </c>
      <c r="AJ21" s="81">
        <v>0</v>
      </c>
      <c r="AK21" s="82">
        <v>0</v>
      </c>
    </row>
    <row r="22" spans="1:37" ht="14.25" customHeight="1">
      <c r="A22" s="75" t="s">
        <v>290</v>
      </c>
      <c r="B22" s="76">
        <v>0</v>
      </c>
      <c r="C22" s="76">
        <v>0</v>
      </c>
      <c r="D22" s="77">
        <v>0</v>
      </c>
      <c r="E22" s="76">
        <v>0</v>
      </c>
      <c r="F22" s="76">
        <v>0</v>
      </c>
      <c r="G22" s="77">
        <v>0</v>
      </c>
      <c r="H22" s="78"/>
      <c r="I22" s="78"/>
      <c r="J22" s="79"/>
      <c r="K22" s="76">
        <v>0</v>
      </c>
      <c r="L22" s="76">
        <v>0</v>
      </c>
      <c r="M22" s="77">
        <v>0</v>
      </c>
      <c r="N22" s="77">
        <v>0</v>
      </c>
      <c r="O22" s="76">
        <v>0</v>
      </c>
      <c r="P22" s="76">
        <v>514</v>
      </c>
      <c r="Q22" s="77">
        <v>0</v>
      </c>
      <c r="R22" s="76">
        <v>0</v>
      </c>
      <c r="S22" s="76">
        <v>0</v>
      </c>
      <c r="T22" s="76">
        <v>514</v>
      </c>
      <c r="U22" s="77">
        <v>0</v>
      </c>
      <c r="V22" s="76">
        <v>0</v>
      </c>
      <c r="W22" s="76">
        <v>0</v>
      </c>
      <c r="X22" s="76">
        <v>0</v>
      </c>
      <c r="Y22" s="77">
        <v>0</v>
      </c>
      <c r="Z22" s="77">
        <v>0</v>
      </c>
      <c r="AA22" s="77">
        <v>0</v>
      </c>
      <c r="AB22" s="77">
        <v>0</v>
      </c>
      <c r="AC22" s="77">
        <v>0</v>
      </c>
      <c r="AD22" s="77">
        <v>0</v>
      </c>
      <c r="AE22" s="77">
        <v>0</v>
      </c>
      <c r="AF22" s="77">
        <v>0</v>
      </c>
      <c r="AG22" s="77">
        <v>0</v>
      </c>
      <c r="AH22" s="77">
        <v>0</v>
      </c>
      <c r="AI22" s="77">
        <v>0</v>
      </c>
      <c r="AJ22" s="76">
        <v>0</v>
      </c>
      <c r="AK22" s="77">
        <v>0</v>
      </c>
    </row>
    <row r="23" spans="1:37" ht="14.25" customHeight="1">
      <c r="A23" s="80" t="s">
        <v>291</v>
      </c>
      <c r="B23" s="81">
        <v>0</v>
      </c>
      <c r="C23" s="81">
        <v>0</v>
      </c>
      <c r="D23" s="82">
        <v>0</v>
      </c>
      <c r="E23" s="81">
        <v>0</v>
      </c>
      <c r="F23" s="81">
        <v>0</v>
      </c>
      <c r="G23" s="82">
        <v>0</v>
      </c>
      <c r="H23" s="83"/>
      <c r="I23" s="83"/>
      <c r="J23" s="84"/>
      <c r="K23" s="81">
        <v>0</v>
      </c>
      <c r="L23" s="81">
        <v>0</v>
      </c>
      <c r="M23" s="82">
        <v>0</v>
      </c>
      <c r="N23" s="82">
        <v>0</v>
      </c>
      <c r="O23" s="81">
        <v>0</v>
      </c>
      <c r="P23" s="81">
        <v>516.79999999999995</v>
      </c>
      <c r="Q23" s="82">
        <v>0</v>
      </c>
      <c r="R23" s="81">
        <v>0</v>
      </c>
      <c r="S23" s="81">
        <v>0</v>
      </c>
      <c r="T23" s="81">
        <v>516.79999999999995</v>
      </c>
      <c r="U23" s="82">
        <v>0</v>
      </c>
      <c r="V23" s="81">
        <v>0</v>
      </c>
      <c r="W23" s="81">
        <v>0</v>
      </c>
      <c r="X23" s="81">
        <v>0</v>
      </c>
      <c r="Y23" s="82">
        <v>0</v>
      </c>
      <c r="Z23" s="82">
        <v>0</v>
      </c>
      <c r="AA23" s="82">
        <v>0</v>
      </c>
      <c r="AB23" s="82">
        <v>0</v>
      </c>
      <c r="AC23" s="82">
        <v>0</v>
      </c>
      <c r="AD23" s="82">
        <v>0</v>
      </c>
      <c r="AE23" s="82">
        <v>0</v>
      </c>
      <c r="AF23" s="82">
        <v>0</v>
      </c>
      <c r="AG23" s="82">
        <v>0</v>
      </c>
      <c r="AH23" s="82">
        <v>0</v>
      </c>
      <c r="AI23" s="82">
        <v>0</v>
      </c>
      <c r="AJ23" s="81">
        <v>0</v>
      </c>
      <c r="AK23" s="82">
        <v>0</v>
      </c>
    </row>
    <row r="24" spans="1:37" ht="14.25" customHeight="1">
      <c r="A24" s="75" t="s">
        <v>221</v>
      </c>
      <c r="B24" s="76">
        <v>0</v>
      </c>
      <c r="C24" s="76">
        <v>0</v>
      </c>
      <c r="D24" s="77">
        <v>0</v>
      </c>
      <c r="E24" s="76">
        <v>0</v>
      </c>
      <c r="F24" s="76">
        <v>0</v>
      </c>
      <c r="G24" s="77">
        <v>0</v>
      </c>
      <c r="H24" s="78"/>
      <c r="I24" s="78"/>
      <c r="J24" s="79"/>
      <c r="K24" s="76">
        <v>0</v>
      </c>
      <c r="L24" s="76">
        <v>0</v>
      </c>
      <c r="M24" s="77">
        <v>0</v>
      </c>
      <c r="N24" s="77">
        <v>0</v>
      </c>
      <c r="O24" s="76">
        <v>0</v>
      </c>
      <c r="P24" s="76">
        <v>518.28</v>
      </c>
      <c r="Q24" s="77">
        <v>0</v>
      </c>
      <c r="R24" s="76">
        <v>0</v>
      </c>
      <c r="S24" s="76">
        <v>0</v>
      </c>
      <c r="T24" s="76">
        <v>518.28</v>
      </c>
      <c r="U24" s="77">
        <v>0</v>
      </c>
      <c r="V24" s="76">
        <v>0</v>
      </c>
      <c r="W24" s="76">
        <v>0</v>
      </c>
      <c r="X24" s="76">
        <v>0</v>
      </c>
      <c r="Y24" s="77">
        <v>0</v>
      </c>
      <c r="Z24" s="77">
        <v>0</v>
      </c>
      <c r="AA24" s="77">
        <v>0</v>
      </c>
      <c r="AB24" s="77">
        <v>0</v>
      </c>
      <c r="AC24" s="77">
        <v>0</v>
      </c>
      <c r="AD24" s="77">
        <v>0</v>
      </c>
      <c r="AE24" s="77">
        <v>0</v>
      </c>
      <c r="AF24" s="77">
        <v>0</v>
      </c>
      <c r="AG24" s="77">
        <v>0</v>
      </c>
      <c r="AH24" s="77">
        <v>0</v>
      </c>
      <c r="AI24" s="77">
        <v>0</v>
      </c>
      <c r="AJ24" s="76">
        <v>0</v>
      </c>
      <c r="AK24" s="77">
        <v>0</v>
      </c>
    </row>
    <row r="25" spans="1:37" ht="14.25" customHeight="1">
      <c r="A25" s="80" t="s">
        <v>292</v>
      </c>
      <c r="B25" s="81">
        <v>0</v>
      </c>
      <c r="C25" s="81">
        <v>0</v>
      </c>
      <c r="D25" s="82">
        <v>0</v>
      </c>
      <c r="E25" s="81">
        <v>0</v>
      </c>
      <c r="F25" s="81">
        <v>0</v>
      </c>
      <c r="G25" s="82">
        <v>0</v>
      </c>
      <c r="H25" s="83"/>
      <c r="I25" s="83"/>
      <c r="J25" s="84"/>
      <c r="K25" s="81">
        <v>0</v>
      </c>
      <c r="L25" s="81">
        <v>0</v>
      </c>
      <c r="M25" s="82">
        <v>0</v>
      </c>
      <c r="N25" s="82">
        <v>0</v>
      </c>
      <c r="O25" s="81">
        <v>0</v>
      </c>
      <c r="P25" s="81">
        <v>525.6</v>
      </c>
      <c r="Q25" s="82">
        <v>0</v>
      </c>
      <c r="R25" s="81">
        <v>0</v>
      </c>
      <c r="S25" s="81">
        <v>0</v>
      </c>
      <c r="T25" s="81">
        <v>525.6</v>
      </c>
      <c r="U25" s="82">
        <v>0</v>
      </c>
      <c r="V25" s="81">
        <v>0</v>
      </c>
      <c r="W25" s="81">
        <v>0</v>
      </c>
      <c r="X25" s="81">
        <v>0</v>
      </c>
      <c r="Y25" s="82">
        <v>0</v>
      </c>
      <c r="Z25" s="82">
        <v>0</v>
      </c>
      <c r="AA25" s="82">
        <v>0</v>
      </c>
      <c r="AB25" s="82">
        <v>0</v>
      </c>
      <c r="AC25" s="82">
        <v>0</v>
      </c>
      <c r="AD25" s="82">
        <v>0</v>
      </c>
      <c r="AE25" s="82">
        <v>0</v>
      </c>
      <c r="AF25" s="82">
        <v>0</v>
      </c>
      <c r="AG25" s="82">
        <v>0</v>
      </c>
      <c r="AH25" s="82">
        <v>0</v>
      </c>
      <c r="AI25" s="82">
        <v>0</v>
      </c>
      <c r="AJ25" s="81">
        <v>0</v>
      </c>
      <c r="AK25" s="82">
        <v>0</v>
      </c>
    </row>
    <row r="26" spans="1:37" ht="14.25" customHeight="1">
      <c r="A26" s="75" t="s">
        <v>293</v>
      </c>
      <c r="B26" s="76">
        <v>0</v>
      </c>
      <c r="C26" s="76">
        <v>0</v>
      </c>
      <c r="D26" s="77">
        <v>0</v>
      </c>
      <c r="E26" s="76">
        <v>0</v>
      </c>
      <c r="F26" s="76">
        <v>0</v>
      </c>
      <c r="G26" s="77">
        <v>0</v>
      </c>
      <c r="H26" s="78"/>
      <c r="I26" s="78"/>
      <c r="J26" s="79"/>
      <c r="K26" s="76">
        <v>0</v>
      </c>
      <c r="L26" s="76">
        <v>0</v>
      </c>
      <c r="M26" s="77">
        <v>0</v>
      </c>
      <c r="N26" s="77">
        <v>0</v>
      </c>
      <c r="O26" s="76">
        <v>0</v>
      </c>
      <c r="P26" s="76">
        <v>522.20000000000005</v>
      </c>
      <c r="Q26" s="77">
        <v>0</v>
      </c>
      <c r="R26" s="76">
        <v>0</v>
      </c>
      <c r="S26" s="76">
        <v>0</v>
      </c>
      <c r="T26" s="76">
        <v>522.20000000000005</v>
      </c>
      <c r="U26" s="77">
        <v>0</v>
      </c>
      <c r="V26" s="76">
        <v>0</v>
      </c>
      <c r="W26" s="76">
        <v>0</v>
      </c>
      <c r="X26" s="76">
        <v>0</v>
      </c>
      <c r="Y26" s="77">
        <v>0</v>
      </c>
      <c r="Z26" s="77">
        <v>0</v>
      </c>
      <c r="AA26" s="77">
        <v>0</v>
      </c>
      <c r="AB26" s="77">
        <v>0</v>
      </c>
      <c r="AC26" s="77">
        <v>0</v>
      </c>
      <c r="AD26" s="77">
        <v>0</v>
      </c>
      <c r="AE26" s="77">
        <v>0</v>
      </c>
      <c r="AF26" s="77">
        <v>0</v>
      </c>
      <c r="AG26" s="77">
        <v>0</v>
      </c>
      <c r="AH26" s="77">
        <v>0</v>
      </c>
      <c r="AI26" s="77">
        <v>0</v>
      </c>
      <c r="AJ26" s="76">
        <v>0</v>
      </c>
      <c r="AK26" s="77">
        <v>0</v>
      </c>
    </row>
    <row r="27" spans="1:37" ht="14.25" customHeight="1">
      <c r="A27" s="80" t="s">
        <v>294</v>
      </c>
      <c r="B27" s="81">
        <v>0</v>
      </c>
      <c r="C27" s="81">
        <v>0</v>
      </c>
      <c r="D27" s="82">
        <v>0</v>
      </c>
      <c r="E27" s="81">
        <v>0</v>
      </c>
      <c r="F27" s="81">
        <v>0</v>
      </c>
      <c r="G27" s="82">
        <v>0</v>
      </c>
      <c r="H27" s="83"/>
      <c r="I27" s="83"/>
      <c r="J27" s="84"/>
      <c r="K27" s="81">
        <v>0</v>
      </c>
      <c r="L27" s="81">
        <v>0</v>
      </c>
      <c r="M27" s="82">
        <v>0</v>
      </c>
      <c r="N27" s="82">
        <v>0</v>
      </c>
      <c r="O27" s="81">
        <v>0</v>
      </c>
      <c r="P27" s="81">
        <v>571.6</v>
      </c>
      <c r="Q27" s="82">
        <v>0</v>
      </c>
      <c r="R27" s="81">
        <v>0</v>
      </c>
      <c r="S27" s="81">
        <v>0</v>
      </c>
      <c r="T27" s="81">
        <v>571.6</v>
      </c>
      <c r="U27" s="82">
        <v>0</v>
      </c>
      <c r="V27" s="81">
        <v>0</v>
      </c>
      <c r="W27" s="81">
        <v>0</v>
      </c>
      <c r="X27" s="81">
        <v>0</v>
      </c>
      <c r="Y27" s="82">
        <v>0</v>
      </c>
      <c r="Z27" s="82">
        <v>0</v>
      </c>
      <c r="AA27" s="82">
        <v>0</v>
      </c>
      <c r="AB27" s="82">
        <v>0</v>
      </c>
      <c r="AC27" s="82">
        <v>0</v>
      </c>
      <c r="AD27" s="82">
        <v>0</v>
      </c>
      <c r="AE27" s="82">
        <v>0</v>
      </c>
      <c r="AF27" s="82">
        <v>0</v>
      </c>
      <c r="AG27" s="82">
        <v>0</v>
      </c>
      <c r="AH27" s="82">
        <v>0</v>
      </c>
      <c r="AI27" s="82">
        <v>0</v>
      </c>
      <c r="AJ27" s="81">
        <v>0</v>
      </c>
      <c r="AK27" s="82">
        <v>0</v>
      </c>
    </row>
    <row r="28" spans="1:37" ht="14.25" customHeight="1">
      <c r="A28" s="75" t="s">
        <v>222</v>
      </c>
      <c r="B28" s="76">
        <v>0</v>
      </c>
      <c r="C28" s="76">
        <v>0</v>
      </c>
      <c r="D28" s="77">
        <v>0</v>
      </c>
      <c r="E28" s="76">
        <v>0</v>
      </c>
      <c r="F28" s="76">
        <v>0</v>
      </c>
      <c r="G28" s="77">
        <v>0</v>
      </c>
      <c r="H28" s="78"/>
      <c r="I28" s="78"/>
      <c r="J28" s="79"/>
      <c r="K28" s="76">
        <v>0</v>
      </c>
      <c r="L28" s="76">
        <v>0</v>
      </c>
      <c r="M28" s="77">
        <v>0</v>
      </c>
      <c r="N28" s="77">
        <v>0</v>
      </c>
      <c r="O28" s="76">
        <v>0</v>
      </c>
      <c r="P28" s="76">
        <v>596.70000000000005</v>
      </c>
      <c r="Q28" s="77">
        <v>0</v>
      </c>
      <c r="R28" s="76">
        <v>0</v>
      </c>
      <c r="S28" s="76">
        <v>0</v>
      </c>
      <c r="T28" s="76">
        <v>596.70000000000005</v>
      </c>
      <c r="U28" s="77">
        <v>0</v>
      </c>
      <c r="V28" s="76">
        <v>0</v>
      </c>
      <c r="W28" s="76">
        <v>0</v>
      </c>
      <c r="X28" s="76">
        <v>0</v>
      </c>
      <c r="Y28" s="77">
        <v>0</v>
      </c>
      <c r="Z28" s="77">
        <v>0</v>
      </c>
      <c r="AA28" s="77">
        <v>0</v>
      </c>
      <c r="AB28" s="77">
        <v>0</v>
      </c>
      <c r="AC28" s="77">
        <v>0</v>
      </c>
      <c r="AD28" s="77">
        <v>0</v>
      </c>
      <c r="AE28" s="77">
        <v>0</v>
      </c>
      <c r="AF28" s="77">
        <v>0</v>
      </c>
      <c r="AG28" s="77">
        <v>0</v>
      </c>
      <c r="AH28" s="77">
        <v>0</v>
      </c>
      <c r="AI28" s="77">
        <v>0</v>
      </c>
      <c r="AJ28" s="76">
        <v>0</v>
      </c>
      <c r="AK28" s="77">
        <v>0</v>
      </c>
    </row>
    <row r="29" spans="1:37" ht="14.25" customHeight="1">
      <c r="A29" s="80" t="s">
        <v>295</v>
      </c>
      <c r="B29" s="81">
        <v>0</v>
      </c>
      <c r="C29" s="81">
        <v>0</v>
      </c>
      <c r="D29" s="82">
        <v>0</v>
      </c>
      <c r="E29" s="81">
        <v>0</v>
      </c>
      <c r="F29" s="81">
        <v>0</v>
      </c>
      <c r="G29" s="82">
        <v>0</v>
      </c>
      <c r="H29" s="83"/>
      <c r="I29" s="83"/>
      <c r="J29" s="84"/>
      <c r="K29" s="81">
        <v>0</v>
      </c>
      <c r="L29" s="81">
        <v>0</v>
      </c>
      <c r="M29" s="82">
        <v>0</v>
      </c>
      <c r="N29" s="82">
        <v>0</v>
      </c>
      <c r="O29" s="81">
        <v>0</v>
      </c>
      <c r="P29" s="81">
        <v>574.64</v>
      </c>
      <c r="Q29" s="82">
        <v>0</v>
      </c>
      <c r="R29" s="81">
        <v>0</v>
      </c>
      <c r="S29" s="81">
        <v>0</v>
      </c>
      <c r="T29" s="81">
        <v>574.64</v>
      </c>
      <c r="U29" s="82">
        <v>0</v>
      </c>
      <c r="V29" s="81">
        <v>0</v>
      </c>
      <c r="W29" s="81">
        <v>0</v>
      </c>
      <c r="X29" s="81">
        <v>0</v>
      </c>
      <c r="Y29" s="82">
        <v>0</v>
      </c>
      <c r="Z29" s="82">
        <v>0</v>
      </c>
      <c r="AA29" s="82">
        <v>0</v>
      </c>
      <c r="AB29" s="82">
        <v>0</v>
      </c>
      <c r="AC29" s="82">
        <v>0</v>
      </c>
      <c r="AD29" s="82">
        <v>0</v>
      </c>
      <c r="AE29" s="82">
        <v>0</v>
      </c>
      <c r="AF29" s="82">
        <v>0</v>
      </c>
      <c r="AG29" s="82">
        <v>0</v>
      </c>
      <c r="AH29" s="82">
        <v>0</v>
      </c>
      <c r="AI29" s="82">
        <v>0</v>
      </c>
      <c r="AJ29" s="81">
        <v>0</v>
      </c>
      <c r="AK29" s="82">
        <v>0</v>
      </c>
    </row>
    <row r="30" spans="1:37" ht="14.25" customHeight="1">
      <c r="A30" s="75" t="s">
        <v>296</v>
      </c>
      <c r="B30" s="76">
        <v>0</v>
      </c>
      <c r="C30" s="76">
        <v>0</v>
      </c>
      <c r="D30" s="77">
        <v>0</v>
      </c>
      <c r="E30" s="76">
        <v>0</v>
      </c>
      <c r="F30" s="76">
        <v>0</v>
      </c>
      <c r="G30" s="77">
        <v>0</v>
      </c>
      <c r="H30" s="78"/>
      <c r="I30" s="78"/>
      <c r="J30" s="79"/>
      <c r="K30" s="76">
        <v>0</v>
      </c>
      <c r="L30" s="76">
        <v>0</v>
      </c>
      <c r="M30" s="77">
        <v>0</v>
      </c>
      <c r="N30" s="77">
        <v>0</v>
      </c>
      <c r="O30" s="76">
        <v>0</v>
      </c>
      <c r="P30" s="76">
        <v>533.6</v>
      </c>
      <c r="Q30" s="77">
        <v>0</v>
      </c>
      <c r="R30" s="76">
        <v>0</v>
      </c>
      <c r="S30" s="76">
        <v>0</v>
      </c>
      <c r="T30" s="76">
        <v>533.6</v>
      </c>
      <c r="U30" s="77">
        <v>0</v>
      </c>
      <c r="V30" s="76">
        <v>0</v>
      </c>
      <c r="W30" s="76">
        <v>0</v>
      </c>
      <c r="X30" s="76">
        <v>0</v>
      </c>
      <c r="Y30" s="77">
        <v>0</v>
      </c>
      <c r="Z30" s="77">
        <v>0</v>
      </c>
      <c r="AA30" s="77">
        <v>0</v>
      </c>
      <c r="AB30" s="77">
        <v>0</v>
      </c>
      <c r="AC30" s="77">
        <v>0</v>
      </c>
      <c r="AD30" s="77">
        <v>0</v>
      </c>
      <c r="AE30" s="77">
        <v>0</v>
      </c>
      <c r="AF30" s="77">
        <v>0</v>
      </c>
      <c r="AG30" s="77">
        <v>0</v>
      </c>
      <c r="AH30" s="77">
        <v>0</v>
      </c>
      <c r="AI30" s="77">
        <v>0</v>
      </c>
      <c r="AJ30" s="76">
        <v>0</v>
      </c>
      <c r="AK30" s="77">
        <v>0</v>
      </c>
    </row>
    <row r="31" spans="1:37" ht="14.25" customHeight="1">
      <c r="A31" s="80" t="s">
        <v>297</v>
      </c>
      <c r="B31" s="81">
        <v>0</v>
      </c>
      <c r="C31" s="81">
        <v>0</v>
      </c>
      <c r="D31" s="82">
        <v>0</v>
      </c>
      <c r="E31" s="81">
        <v>0</v>
      </c>
      <c r="F31" s="81">
        <v>0</v>
      </c>
      <c r="G31" s="82">
        <v>0</v>
      </c>
      <c r="H31" s="83"/>
      <c r="I31" s="83"/>
      <c r="J31" s="84"/>
      <c r="K31" s="81">
        <v>0</v>
      </c>
      <c r="L31" s="81">
        <v>0</v>
      </c>
      <c r="M31" s="82">
        <v>0</v>
      </c>
      <c r="N31" s="82">
        <v>0</v>
      </c>
      <c r="O31" s="81">
        <v>0</v>
      </c>
      <c r="P31" s="81">
        <v>390</v>
      </c>
      <c r="Q31" s="82">
        <v>0</v>
      </c>
      <c r="R31" s="81">
        <v>0</v>
      </c>
      <c r="S31" s="81">
        <v>0</v>
      </c>
      <c r="T31" s="81">
        <v>390</v>
      </c>
      <c r="U31" s="82">
        <v>0</v>
      </c>
      <c r="V31" s="81">
        <v>0</v>
      </c>
      <c r="W31" s="81">
        <v>0</v>
      </c>
      <c r="X31" s="81">
        <v>0</v>
      </c>
      <c r="Y31" s="82">
        <v>0</v>
      </c>
      <c r="Z31" s="82">
        <v>0</v>
      </c>
      <c r="AA31" s="82">
        <v>0</v>
      </c>
      <c r="AB31" s="82">
        <v>0</v>
      </c>
      <c r="AC31" s="82">
        <v>0</v>
      </c>
      <c r="AD31" s="82">
        <v>0</v>
      </c>
      <c r="AE31" s="82">
        <v>0</v>
      </c>
      <c r="AF31" s="82">
        <v>0</v>
      </c>
      <c r="AG31" s="82">
        <v>0</v>
      </c>
      <c r="AH31" s="82">
        <v>0</v>
      </c>
      <c r="AI31" s="82">
        <v>0</v>
      </c>
      <c r="AJ31" s="81">
        <v>0</v>
      </c>
      <c r="AK31" s="82">
        <v>0</v>
      </c>
    </row>
    <row r="32" spans="1:37" ht="14.25" customHeight="1">
      <c r="A32" s="75" t="s">
        <v>223</v>
      </c>
      <c r="B32" s="76">
        <v>0</v>
      </c>
      <c r="C32" s="76">
        <v>0</v>
      </c>
      <c r="D32" s="77">
        <v>0</v>
      </c>
      <c r="E32" s="76">
        <v>0</v>
      </c>
      <c r="F32" s="76">
        <v>0</v>
      </c>
      <c r="G32" s="77">
        <v>0</v>
      </c>
      <c r="H32" s="78"/>
      <c r="I32" s="78"/>
      <c r="J32" s="79"/>
      <c r="K32" s="76">
        <v>0</v>
      </c>
      <c r="L32" s="76">
        <v>0</v>
      </c>
      <c r="M32" s="77">
        <v>0</v>
      </c>
      <c r="N32" s="77">
        <v>0</v>
      </c>
      <c r="O32" s="76">
        <v>0</v>
      </c>
      <c r="P32" s="76">
        <v>-80</v>
      </c>
      <c r="Q32" s="77">
        <v>0</v>
      </c>
      <c r="R32" s="76">
        <v>0</v>
      </c>
      <c r="S32" s="76">
        <v>0</v>
      </c>
      <c r="T32" s="76">
        <v>-80</v>
      </c>
      <c r="U32" s="77">
        <v>0</v>
      </c>
      <c r="V32" s="76">
        <v>0</v>
      </c>
      <c r="W32" s="76">
        <v>0</v>
      </c>
      <c r="X32" s="76">
        <v>0</v>
      </c>
      <c r="Y32" s="77">
        <v>0</v>
      </c>
      <c r="Z32" s="77">
        <v>0</v>
      </c>
      <c r="AA32" s="77">
        <v>0</v>
      </c>
      <c r="AB32" s="77">
        <v>0</v>
      </c>
      <c r="AC32" s="77">
        <v>0</v>
      </c>
      <c r="AD32" s="77">
        <v>0</v>
      </c>
      <c r="AE32" s="77">
        <v>0</v>
      </c>
      <c r="AF32" s="77">
        <v>0</v>
      </c>
      <c r="AG32" s="77">
        <v>0</v>
      </c>
      <c r="AH32" s="77">
        <v>0</v>
      </c>
      <c r="AI32" s="77">
        <v>0</v>
      </c>
      <c r="AJ32" s="76">
        <v>0</v>
      </c>
      <c r="AK32" s="77">
        <v>0</v>
      </c>
    </row>
    <row r="33" spans="1:37" ht="14.25" customHeight="1">
      <c r="A33" s="80" t="s">
        <v>298</v>
      </c>
      <c r="B33" s="81">
        <v>0</v>
      </c>
      <c r="C33" s="81">
        <v>0</v>
      </c>
      <c r="D33" s="82">
        <v>0</v>
      </c>
      <c r="E33" s="81">
        <v>0</v>
      </c>
      <c r="F33" s="81">
        <v>0</v>
      </c>
      <c r="G33" s="82">
        <v>0</v>
      </c>
      <c r="H33" s="83"/>
      <c r="I33" s="83"/>
      <c r="J33" s="84"/>
      <c r="K33" s="81">
        <v>0</v>
      </c>
      <c r="L33" s="81">
        <v>0</v>
      </c>
      <c r="M33" s="82">
        <v>0</v>
      </c>
      <c r="N33" s="82">
        <v>0</v>
      </c>
      <c r="O33" s="81">
        <v>0</v>
      </c>
      <c r="P33" s="81">
        <v>-80</v>
      </c>
      <c r="Q33" s="82">
        <v>0</v>
      </c>
      <c r="R33" s="81">
        <v>0</v>
      </c>
      <c r="S33" s="81">
        <v>0</v>
      </c>
      <c r="T33" s="81">
        <v>-80</v>
      </c>
      <c r="U33" s="82">
        <v>0</v>
      </c>
      <c r="V33" s="81">
        <v>0</v>
      </c>
      <c r="W33" s="81">
        <v>0</v>
      </c>
      <c r="X33" s="81">
        <v>0</v>
      </c>
      <c r="Y33" s="82">
        <v>0</v>
      </c>
      <c r="Z33" s="82">
        <v>0</v>
      </c>
      <c r="AA33" s="82">
        <v>0</v>
      </c>
      <c r="AB33" s="82">
        <v>0</v>
      </c>
      <c r="AC33" s="82">
        <v>0</v>
      </c>
      <c r="AD33" s="82">
        <v>0</v>
      </c>
      <c r="AE33" s="82">
        <v>0</v>
      </c>
      <c r="AF33" s="82">
        <v>0</v>
      </c>
      <c r="AG33" s="82">
        <v>0</v>
      </c>
      <c r="AH33" s="82">
        <v>0</v>
      </c>
      <c r="AI33" s="82">
        <v>0</v>
      </c>
      <c r="AJ33" s="81">
        <v>0</v>
      </c>
      <c r="AK33" s="82">
        <v>0</v>
      </c>
    </row>
    <row r="34" spans="1:37" ht="14.25" customHeight="1">
      <c r="A34" s="75" t="s">
        <v>299</v>
      </c>
      <c r="B34" s="76">
        <v>0</v>
      </c>
      <c r="C34" s="76">
        <v>0</v>
      </c>
      <c r="D34" s="77">
        <v>0</v>
      </c>
      <c r="E34" s="76">
        <v>0</v>
      </c>
      <c r="F34" s="76">
        <v>0</v>
      </c>
      <c r="G34" s="77">
        <v>0</v>
      </c>
      <c r="H34" s="78"/>
      <c r="I34" s="78"/>
      <c r="J34" s="79"/>
      <c r="K34" s="76">
        <v>0</v>
      </c>
      <c r="L34" s="76">
        <v>0</v>
      </c>
      <c r="M34" s="77">
        <v>0</v>
      </c>
      <c r="N34" s="77">
        <v>0</v>
      </c>
      <c r="O34" s="76">
        <v>0</v>
      </c>
      <c r="P34" s="76">
        <v>-80</v>
      </c>
      <c r="Q34" s="77">
        <v>0</v>
      </c>
      <c r="R34" s="76">
        <v>0</v>
      </c>
      <c r="S34" s="76">
        <v>0</v>
      </c>
      <c r="T34" s="76">
        <v>-80</v>
      </c>
      <c r="U34" s="77">
        <v>0</v>
      </c>
      <c r="V34" s="76">
        <v>0</v>
      </c>
      <c r="W34" s="76">
        <v>0</v>
      </c>
      <c r="X34" s="76">
        <v>0</v>
      </c>
      <c r="Y34" s="77">
        <v>0</v>
      </c>
      <c r="Z34" s="77">
        <v>0</v>
      </c>
      <c r="AA34" s="77">
        <v>0</v>
      </c>
      <c r="AB34" s="77">
        <v>0</v>
      </c>
      <c r="AC34" s="77">
        <v>0</v>
      </c>
      <c r="AD34" s="77">
        <v>0</v>
      </c>
      <c r="AE34" s="77">
        <v>0</v>
      </c>
      <c r="AF34" s="77">
        <v>0</v>
      </c>
      <c r="AG34" s="77">
        <v>0</v>
      </c>
      <c r="AH34" s="77">
        <v>0</v>
      </c>
      <c r="AI34" s="77">
        <v>0</v>
      </c>
      <c r="AJ34" s="76">
        <v>0</v>
      </c>
      <c r="AK34" s="77">
        <v>0</v>
      </c>
    </row>
    <row r="35" spans="1:37" ht="14.25" customHeight="1">
      <c r="A35" s="80" t="s">
        <v>300</v>
      </c>
      <c r="B35" s="81">
        <v>0</v>
      </c>
      <c r="C35" s="81">
        <v>0</v>
      </c>
      <c r="D35" s="82">
        <v>0</v>
      </c>
      <c r="E35" s="81">
        <v>0</v>
      </c>
      <c r="F35" s="81">
        <v>0</v>
      </c>
      <c r="G35" s="82">
        <v>0</v>
      </c>
      <c r="H35" s="83"/>
      <c r="I35" s="83"/>
      <c r="J35" s="84"/>
      <c r="K35" s="81">
        <v>0</v>
      </c>
      <c r="L35" s="81">
        <v>0</v>
      </c>
      <c r="M35" s="82">
        <v>0</v>
      </c>
      <c r="N35" s="82">
        <v>0</v>
      </c>
      <c r="O35" s="81">
        <v>0</v>
      </c>
      <c r="P35" s="81">
        <v>-80</v>
      </c>
      <c r="Q35" s="82">
        <v>0</v>
      </c>
      <c r="R35" s="81">
        <v>0</v>
      </c>
      <c r="S35" s="81">
        <v>0</v>
      </c>
      <c r="T35" s="81">
        <v>-80</v>
      </c>
      <c r="U35" s="82">
        <v>0</v>
      </c>
      <c r="V35" s="81">
        <v>0</v>
      </c>
      <c r="W35" s="81">
        <v>0</v>
      </c>
      <c r="X35" s="81">
        <v>0</v>
      </c>
      <c r="Y35" s="82">
        <v>0</v>
      </c>
      <c r="Z35" s="82">
        <v>0</v>
      </c>
      <c r="AA35" s="82">
        <v>0</v>
      </c>
      <c r="AB35" s="82">
        <v>0</v>
      </c>
      <c r="AC35" s="82">
        <v>0</v>
      </c>
      <c r="AD35" s="82">
        <v>0</v>
      </c>
      <c r="AE35" s="82">
        <v>0</v>
      </c>
      <c r="AF35" s="82">
        <v>0</v>
      </c>
      <c r="AG35" s="82">
        <v>0</v>
      </c>
      <c r="AH35" s="82">
        <v>0</v>
      </c>
      <c r="AI35" s="82">
        <v>0</v>
      </c>
      <c r="AJ35" s="81">
        <v>0</v>
      </c>
      <c r="AK35" s="82">
        <v>0</v>
      </c>
    </row>
    <row r="36" spans="1:37" ht="14.25" customHeight="1">
      <c r="A36" s="75" t="s">
        <v>224</v>
      </c>
      <c r="B36" s="76">
        <v>0</v>
      </c>
      <c r="C36" s="76">
        <v>0</v>
      </c>
      <c r="D36" s="77">
        <v>0</v>
      </c>
      <c r="E36" s="76">
        <v>0</v>
      </c>
      <c r="F36" s="76">
        <v>0</v>
      </c>
      <c r="G36" s="77">
        <v>0</v>
      </c>
      <c r="H36" s="78"/>
      <c r="I36" s="78"/>
      <c r="J36" s="79"/>
      <c r="K36" s="76">
        <v>0</v>
      </c>
      <c r="L36" s="76">
        <v>0</v>
      </c>
      <c r="M36" s="77">
        <v>0</v>
      </c>
      <c r="N36" s="77">
        <v>0</v>
      </c>
      <c r="O36" s="76">
        <v>0</v>
      </c>
      <c r="P36" s="76">
        <v>-80</v>
      </c>
      <c r="Q36" s="77">
        <v>0</v>
      </c>
      <c r="R36" s="76">
        <v>0</v>
      </c>
      <c r="S36" s="76">
        <v>0</v>
      </c>
      <c r="T36" s="76">
        <v>-80</v>
      </c>
      <c r="U36" s="77">
        <v>0</v>
      </c>
      <c r="V36" s="76">
        <v>0</v>
      </c>
      <c r="W36" s="76">
        <v>0</v>
      </c>
      <c r="X36" s="76">
        <v>0</v>
      </c>
      <c r="Y36" s="77">
        <v>0</v>
      </c>
      <c r="Z36" s="77">
        <v>0</v>
      </c>
      <c r="AA36" s="77">
        <v>0</v>
      </c>
      <c r="AB36" s="77">
        <v>0</v>
      </c>
      <c r="AC36" s="77">
        <v>0</v>
      </c>
      <c r="AD36" s="77">
        <v>0</v>
      </c>
      <c r="AE36" s="77">
        <v>0</v>
      </c>
      <c r="AF36" s="77">
        <v>0</v>
      </c>
      <c r="AG36" s="77">
        <v>0</v>
      </c>
      <c r="AH36" s="77">
        <v>0</v>
      </c>
      <c r="AI36" s="77">
        <v>0</v>
      </c>
      <c r="AJ36" s="76">
        <v>0</v>
      </c>
      <c r="AK36" s="77">
        <v>0</v>
      </c>
    </row>
    <row r="37" spans="1:37" ht="14.25" customHeight="1">
      <c r="A37" s="80" t="s">
        <v>301</v>
      </c>
      <c r="B37" s="81">
        <v>0</v>
      </c>
      <c r="C37" s="81">
        <v>0</v>
      </c>
      <c r="D37" s="82">
        <v>0</v>
      </c>
      <c r="E37" s="81">
        <v>0</v>
      </c>
      <c r="F37" s="81">
        <v>0</v>
      </c>
      <c r="G37" s="82">
        <v>0</v>
      </c>
      <c r="H37" s="83"/>
      <c r="I37" s="83"/>
      <c r="J37" s="84"/>
      <c r="K37" s="81">
        <v>0</v>
      </c>
      <c r="L37" s="81">
        <v>0</v>
      </c>
      <c r="M37" s="82">
        <v>0</v>
      </c>
      <c r="N37" s="82">
        <v>0</v>
      </c>
      <c r="O37" s="81">
        <v>0</v>
      </c>
      <c r="P37" s="81">
        <v>-80</v>
      </c>
      <c r="Q37" s="82">
        <v>0</v>
      </c>
      <c r="R37" s="81">
        <v>0</v>
      </c>
      <c r="S37" s="81">
        <v>0</v>
      </c>
      <c r="T37" s="81">
        <v>-80</v>
      </c>
      <c r="U37" s="82">
        <v>0</v>
      </c>
      <c r="V37" s="81">
        <v>0</v>
      </c>
      <c r="W37" s="81">
        <v>0</v>
      </c>
      <c r="X37" s="81">
        <v>0</v>
      </c>
      <c r="Y37" s="82">
        <v>0</v>
      </c>
      <c r="Z37" s="82">
        <v>0</v>
      </c>
      <c r="AA37" s="82">
        <v>0</v>
      </c>
      <c r="AB37" s="82">
        <v>0</v>
      </c>
      <c r="AC37" s="82">
        <v>0</v>
      </c>
      <c r="AD37" s="82">
        <v>0</v>
      </c>
      <c r="AE37" s="82">
        <v>0</v>
      </c>
      <c r="AF37" s="82">
        <v>0</v>
      </c>
      <c r="AG37" s="82">
        <v>0</v>
      </c>
      <c r="AH37" s="82">
        <v>0</v>
      </c>
      <c r="AI37" s="82">
        <v>0</v>
      </c>
      <c r="AJ37" s="81">
        <v>0</v>
      </c>
      <c r="AK37" s="82">
        <v>0</v>
      </c>
    </row>
    <row r="38" spans="1:37" ht="14.25" customHeight="1">
      <c r="A38" s="75" t="s">
        <v>302</v>
      </c>
      <c r="B38" s="76">
        <v>0</v>
      </c>
      <c r="C38" s="76">
        <v>0</v>
      </c>
      <c r="D38" s="77">
        <v>0</v>
      </c>
      <c r="E38" s="76">
        <v>0</v>
      </c>
      <c r="F38" s="76">
        <v>0</v>
      </c>
      <c r="G38" s="77">
        <v>0</v>
      </c>
      <c r="H38" s="78"/>
      <c r="I38" s="78"/>
      <c r="J38" s="79"/>
      <c r="K38" s="76">
        <v>0</v>
      </c>
      <c r="L38" s="76">
        <v>0</v>
      </c>
      <c r="M38" s="77">
        <v>0</v>
      </c>
      <c r="N38" s="77">
        <v>0</v>
      </c>
      <c r="O38" s="76">
        <v>0</v>
      </c>
      <c r="P38" s="76">
        <v>-80</v>
      </c>
      <c r="Q38" s="77">
        <v>0</v>
      </c>
      <c r="R38" s="76">
        <v>0</v>
      </c>
      <c r="S38" s="76">
        <v>0</v>
      </c>
      <c r="T38" s="76">
        <v>-80</v>
      </c>
      <c r="U38" s="77">
        <v>0</v>
      </c>
      <c r="V38" s="76">
        <v>0</v>
      </c>
      <c r="W38" s="76">
        <v>0</v>
      </c>
      <c r="X38" s="76">
        <v>0</v>
      </c>
      <c r="Y38" s="77">
        <v>0</v>
      </c>
      <c r="Z38" s="77">
        <v>0</v>
      </c>
      <c r="AA38" s="77">
        <v>0</v>
      </c>
      <c r="AB38" s="77">
        <v>0</v>
      </c>
      <c r="AC38" s="77">
        <v>0</v>
      </c>
      <c r="AD38" s="77">
        <v>0</v>
      </c>
      <c r="AE38" s="77">
        <v>0</v>
      </c>
      <c r="AF38" s="77">
        <v>0</v>
      </c>
      <c r="AG38" s="77">
        <v>0</v>
      </c>
      <c r="AH38" s="77">
        <v>0</v>
      </c>
      <c r="AI38" s="77">
        <v>0</v>
      </c>
      <c r="AJ38" s="76">
        <v>0</v>
      </c>
      <c r="AK38" s="77">
        <v>0</v>
      </c>
    </row>
    <row r="39" spans="1:37" ht="14.25" customHeight="1">
      <c r="A39" s="80" t="s">
        <v>303</v>
      </c>
      <c r="B39" s="81">
        <v>0</v>
      </c>
      <c r="C39" s="81">
        <v>0</v>
      </c>
      <c r="D39" s="82">
        <v>0</v>
      </c>
      <c r="E39" s="81">
        <v>0</v>
      </c>
      <c r="F39" s="81">
        <v>0</v>
      </c>
      <c r="G39" s="82">
        <v>0</v>
      </c>
      <c r="H39" s="83"/>
      <c r="I39" s="83"/>
      <c r="J39" s="84"/>
      <c r="K39" s="81">
        <v>0</v>
      </c>
      <c r="L39" s="81">
        <v>0</v>
      </c>
      <c r="M39" s="82">
        <v>0</v>
      </c>
      <c r="N39" s="82">
        <v>0</v>
      </c>
      <c r="O39" s="81">
        <v>0</v>
      </c>
      <c r="P39" s="81">
        <v>-80</v>
      </c>
      <c r="Q39" s="82">
        <v>0</v>
      </c>
      <c r="R39" s="81">
        <v>0</v>
      </c>
      <c r="S39" s="81">
        <v>0</v>
      </c>
      <c r="T39" s="81">
        <v>-80</v>
      </c>
      <c r="U39" s="82">
        <v>0</v>
      </c>
      <c r="V39" s="81">
        <v>0</v>
      </c>
      <c r="W39" s="81">
        <v>0</v>
      </c>
      <c r="X39" s="81">
        <v>0</v>
      </c>
      <c r="Y39" s="82">
        <v>0</v>
      </c>
      <c r="Z39" s="82">
        <v>0</v>
      </c>
      <c r="AA39" s="82">
        <v>0</v>
      </c>
      <c r="AB39" s="82">
        <v>0</v>
      </c>
      <c r="AC39" s="82">
        <v>0</v>
      </c>
      <c r="AD39" s="82">
        <v>0</v>
      </c>
      <c r="AE39" s="82">
        <v>0</v>
      </c>
      <c r="AF39" s="82">
        <v>0</v>
      </c>
      <c r="AG39" s="82">
        <v>0</v>
      </c>
      <c r="AH39" s="82">
        <v>0</v>
      </c>
      <c r="AI39" s="82">
        <v>0</v>
      </c>
      <c r="AJ39" s="81">
        <v>0</v>
      </c>
      <c r="AK39" s="82">
        <v>0</v>
      </c>
    </row>
    <row r="40" spans="1:37" ht="14.25" customHeight="1">
      <c r="A40" s="75" t="s">
        <v>225</v>
      </c>
      <c r="B40" s="76">
        <v>0</v>
      </c>
      <c r="C40" s="76">
        <v>0</v>
      </c>
      <c r="D40" s="77">
        <v>0</v>
      </c>
      <c r="E40" s="76">
        <v>0</v>
      </c>
      <c r="F40" s="76">
        <v>0</v>
      </c>
      <c r="G40" s="77">
        <v>0</v>
      </c>
      <c r="H40" s="78"/>
      <c r="I40" s="78"/>
      <c r="J40" s="79"/>
      <c r="K40" s="76">
        <v>0</v>
      </c>
      <c r="L40" s="76">
        <v>0</v>
      </c>
      <c r="M40" s="77">
        <v>0</v>
      </c>
      <c r="N40" s="77">
        <v>0</v>
      </c>
      <c r="O40" s="76">
        <v>0</v>
      </c>
      <c r="P40" s="76">
        <v>-80</v>
      </c>
      <c r="Q40" s="77">
        <v>0</v>
      </c>
      <c r="R40" s="76">
        <v>0</v>
      </c>
      <c r="S40" s="76">
        <v>0</v>
      </c>
      <c r="T40" s="76">
        <v>-80</v>
      </c>
      <c r="U40" s="77">
        <v>0</v>
      </c>
      <c r="V40" s="76">
        <v>0</v>
      </c>
      <c r="W40" s="76">
        <v>0</v>
      </c>
      <c r="X40" s="76">
        <v>0</v>
      </c>
      <c r="Y40" s="77">
        <v>0</v>
      </c>
      <c r="Z40" s="77">
        <v>0</v>
      </c>
      <c r="AA40" s="77">
        <v>0</v>
      </c>
      <c r="AB40" s="77">
        <v>0</v>
      </c>
      <c r="AC40" s="77">
        <v>0</v>
      </c>
      <c r="AD40" s="77">
        <v>0</v>
      </c>
      <c r="AE40" s="77">
        <v>0</v>
      </c>
      <c r="AF40" s="77">
        <v>0</v>
      </c>
      <c r="AG40" s="77">
        <v>0</v>
      </c>
      <c r="AH40" s="77">
        <v>0</v>
      </c>
      <c r="AI40" s="77">
        <v>0</v>
      </c>
      <c r="AJ40" s="76">
        <v>0</v>
      </c>
      <c r="AK40" s="77">
        <v>0</v>
      </c>
    </row>
    <row r="41" spans="1:37" ht="14.25" customHeight="1">
      <c r="A41" s="80" t="s">
        <v>304</v>
      </c>
      <c r="B41" s="81">
        <v>0</v>
      </c>
      <c r="C41" s="81">
        <v>0</v>
      </c>
      <c r="D41" s="82">
        <v>0</v>
      </c>
      <c r="E41" s="81">
        <v>0</v>
      </c>
      <c r="F41" s="81">
        <v>0</v>
      </c>
      <c r="G41" s="82">
        <v>0</v>
      </c>
      <c r="H41" s="83"/>
      <c r="I41" s="83"/>
      <c r="J41" s="84"/>
      <c r="K41" s="81">
        <v>0</v>
      </c>
      <c r="L41" s="81">
        <v>0</v>
      </c>
      <c r="M41" s="82">
        <v>0</v>
      </c>
      <c r="N41" s="82">
        <v>0</v>
      </c>
      <c r="O41" s="81">
        <v>0</v>
      </c>
      <c r="P41" s="81">
        <v>-80</v>
      </c>
      <c r="Q41" s="82">
        <v>0</v>
      </c>
      <c r="R41" s="81">
        <v>0</v>
      </c>
      <c r="S41" s="81">
        <v>0</v>
      </c>
      <c r="T41" s="81">
        <v>-80</v>
      </c>
      <c r="U41" s="82">
        <v>0</v>
      </c>
      <c r="V41" s="81">
        <v>0</v>
      </c>
      <c r="W41" s="81">
        <v>0</v>
      </c>
      <c r="X41" s="81">
        <v>0</v>
      </c>
      <c r="Y41" s="82">
        <v>0</v>
      </c>
      <c r="Z41" s="82">
        <v>0</v>
      </c>
      <c r="AA41" s="82">
        <v>0</v>
      </c>
      <c r="AB41" s="82">
        <v>0</v>
      </c>
      <c r="AC41" s="82">
        <v>0</v>
      </c>
      <c r="AD41" s="82">
        <v>0</v>
      </c>
      <c r="AE41" s="82">
        <v>0</v>
      </c>
      <c r="AF41" s="82">
        <v>0</v>
      </c>
      <c r="AG41" s="82">
        <v>0</v>
      </c>
      <c r="AH41" s="82">
        <v>0</v>
      </c>
      <c r="AI41" s="82">
        <v>0</v>
      </c>
      <c r="AJ41" s="81">
        <v>0</v>
      </c>
      <c r="AK41" s="82">
        <v>0</v>
      </c>
    </row>
    <row r="42" spans="1:37" ht="14.25" customHeight="1">
      <c r="A42" s="75" t="s">
        <v>305</v>
      </c>
      <c r="B42" s="76">
        <v>0</v>
      </c>
      <c r="C42" s="76">
        <v>0</v>
      </c>
      <c r="D42" s="77">
        <v>0</v>
      </c>
      <c r="E42" s="76">
        <v>0</v>
      </c>
      <c r="F42" s="76">
        <v>0</v>
      </c>
      <c r="G42" s="77">
        <v>0</v>
      </c>
      <c r="H42" s="78"/>
      <c r="I42" s="78"/>
      <c r="J42" s="79"/>
      <c r="K42" s="76">
        <v>0</v>
      </c>
      <c r="L42" s="76">
        <v>0</v>
      </c>
      <c r="M42" s="77">
        <v>0</v>
      </c>
      <c r="N42" s="77">
        <v>0</v>
      </c>
      <c r="O42" s="76">
        <v>0</v>
      </c>
      <c r="P42" s="76">
        <v>-80</v>
      </c>
      <c r="Q42" s="77">
        <v>0</v>
      </c>
      <c r="R42" s="76">
        <v>0</v>
      </c>
      <c r="S42" s="76">
        <v>0</v>
      </c>
      <c r="T42" s="76">
        <v>-80</v>
      </c>
      <c r="U42" s="77">
        <v>0</v>
      </c>
      <c r="V42" s="76">
        <v>0</v>
      </c>
      <c r="W42" s="76">
        <v>0</v>
      </c>
      <c r="X42" s="76">
        <v>0</v>
      </c>
      <c r="Y42" s="77">
        <v>0</v>
      </c>
      <c r="Z42" s="77">
        <v>0</v>
      </c>
      <c r="AA42" s="77">
        <v>0</v>
      </c>
      <c r="AB42" s="77">
        <v>0</v>
      </c>
      <c r="AC42" s="77">
        <v>0</v>
      </c>
      <c r="AD42" s="77">
        <v>0</v>
      </c>
      <c r="AE42" s="77">
        <v>0</v>
      </c>
      <c r="AF42" s="77">
        <v>0</v>
      </c>
      <c r="AG42" s="77">
        <v>0</v>
      </c>
      <c r="AH42" s="77">
        <v>0</v>
      </c>
      <c r="AI42" s="77">
        <v>0</v>
      </c>
      <c r="AJ42" s="76">
        <v>0</v>
      </c>
      <c r="AK42" s="77">
        <v>0</v>
      </c>
    </row>
    <row r="43" spans="1:37" ht="14.25" customHeight="1">
      <c r="A43" s="80" t="s">
        <v>306</v>
      </c>
      <c r="B43" s="81">
        <v>0</v>
      </c>
      <c r="C43" s="81">
        <v>0</v>
      </c>
      <c r="D43" s="82">
        <v>0</v>
      </c>
      <c r="E43" s="81">
        <v>0</v>
      </c>
      <c r="F43" s="81">
        <v>0</v>
      </c>
      <c r="G43" s="82">
        <v>0</v>
      </c>
      <c r="H43" s="83"/>
      <c r="I43" s="83"/>
      <c r="J43" s="84"/>
      <c r="K43" s="81">
        <v>0</v>
      </c>
      <c r="L43" s="81">
        <v>0</v>
      </c>
      <c r="M43" s="82">
        <v>0</v>
      </c>
      <c r="N43" s="82">
        <v>0</v>
      </c>
      <c r="O43" s="81">
        <v>0</v>
      </c>
      <c r="P43" s="81">
        <v>-80</v>
      </c>
      <c r="Q43" s="82">
        <v>0</v>
      </c>
      <c r="R43" s="81">
        <v>0</v>
      </c>
      <c r="S43" s="81">
        <v>0</v>
      </c>
      <c r="T43" s="81">
        <v>-80</v>
      </c>
      <c r="U43" s="82">
        <v>0</v>
      </c>
      <c r="V43" s="81">
        <v>0</v>
      </c>
      <c r="W43" s="81">
        <v>0</v>
      </c>
      <c r="X43" s="81">
        <v>0</v>
      </c>
      <c r="Y43" s="82">
        <v>0</v>
      </c>
      <c r="Z43" s="82">
        <v>0</v>
      </c>
      <c r="AA43" s="82">
        <v>0</v>
      </c>
      <c r="AB43" s="82">
        <v>0</v>
      </c>
      <c r="AC43" s="82">
        <v>0</v>
      </c>
      <c r="AD43" s="82">
        <v>0</v>
      </c>
      <c r="AE43" s="82">
        <v>0</v>
      </c>
      <c r="AF43" s="82">
        <v>0</v>
      </c>
      <c r="AG43" s="82">
        <v>0</v>
      </c>
      <c r="AH43" s="82">
        <v>0</v>
      </c>
      <c r="AI43" s="82">
        <v>0</v>
      </c>
      <c r="AJ43" s="81">
        <v>0</v>
      </c>
      <c r="AK43" s="82">
        <v>0</v>
      </c>
    </row>
    <row r="44" spans="1:37" ht="14.25" customHeight="1">
      <c r="A44" s="75" t="s">
        <v>226</v>
      </c>
      <c r="B44" s="76">
        <v>0</v>
      </c>
      <c r="C44" s="76">
        <v>0</v>
      </c>
      <c r="D44" s="77">
        <v>0</v>
      </c>
      <c r="E44" s="76">
        <v>0</v>
      </c>
      <c r="F44" s="76">
        <v>0</v>
      </c>
      <c r="G44" s="77">
        <v>0</v>
      </c>
      <c r="H44" s="78"/>
      <c r="I44" s="78"/>
      <c r="J44" s="79"/>
      <c r="K44" s="76">
        <v>0</v>
      </c>
      <c r="L44" s="76">
        <v>0</v>
      </c>
      <c r="M44" s="77">
        <v>0</v>
      </c>
      <c r="N44" s="77">
        <v>0</v>
      </c>
      <c r="O44" s="76">
        <v>0</v>
      </c>
      <c r="P44" s="76">
        <v>-80</v>
      </c>
      <c r="Q44" s="77">
        <v>0</v>
      </c>
      <c r="R44" s="76">
        <v>0</v>
      </c>
      <c r="S44" s="76">
        <v>0</v>
      </c>
      <c r="T44" s="76">
        <v>-80</v>
      </c>
      <c r="U44" s="77">
        <v>0</v>
      </c>
      <c r="V44" s="76">
        <v>0</v>
      </c>
      <c r="W44" s="76">
        <v>0</v>
      </c>
      <c r="X44" s="76">
        <v>0</v>
      </c>
      <c r="Y44" s="77">
        <v>0</v>
      </c>
      <c r="Z44" s="77">
        <v>0</v>
      </c>
      <c r="AA44" s="77">
        <v>0</v>
      </c>
      <c r="AB44" s="77">
        <v>0</v>
      </c>
      <c r="AC44" s="77">
        <v>0</v>
      </c>
      <c r="AD44" s="77">
        <v>0</v>
      </c>
      <c r="AE44" s="77">
        <v>0</v>
      </c>
      <c r="AF44" s="77">
        <v>0</v>
      </c>
      <c r="AG44" s="77">
        <v>0</v>
      </c>
      <c r="AH44" s="77">
        <v>0</v>
      </c>
      <c r="AI44" s="77">
        <v>0</v>
      </c>
      <c r="AJ44" s="76">
        <v>0</v>
      </c>
      <c r="AK44" s="77">
        <v>0</v>
      </c>
    </row>
    <row r="45" spans="1:37" ht="14.25" customHeight="1">
      <c r="A45" s="80" t="s">
        <v>307</v>
      </c>
      <c r="B45" s="81">
        <v>0</v>
      </c>
      <c r="C45" s="81">
        <v>0</v>
      </c>
      <c r="D45" s="82">
        <v>0</v>
      </c>
      <c r="E45" s="81">
        <v>0</v>
      </c>
      <c r="F45" s="81">
        <v>0</v>
      </c>
      <c r="G45" s="82">
        <v>0</v>
      </c>
      <c r="H45" s="83"/>
      <c r="I45" s="83"/>
      <c r="J45" s="84"/>
      <c r="K45" s="81">
        <v>0</v>
      </c>
      <c r="L45" s="81">
        <v>0</v>
      </c>
      <c r="M45" s="82">
        <v>0</v>
      </c>
      <c r="N45" s="82">
        <v>0</v>
      </c>
      <c r="O45" s="81">
        <v>0</v>
      </c>
      <c r="P45" s="81">
        <v>-80</v>
      </c>
      <c r="Q45" s="82">
        <v>0</v>
      </c>
      <c r="R45" s="81">
        <v>0</v>
      </c>
      <c r="S45" s="81">
        <v>0</v>
      </c>
      <c r="T45" s="81">
        <v>-80</v>
      </c>
      <c r="U45" s="82">
        <v>0</v>
      </c>
      <c r="V45" s="81">
        <v>0</v>
      </c>
      <c r="W45" s="81">
        <v>0</v>
      </c>
      <c r="X45" s="81">
        <v>0</v>
      </c>
      <c r="Y45" s="82">
        <v>0</v>
      </c>
      <c r="Z45" s="82">
        <v>0</v>
      </c>
      <c r="AA45" s="82">
        <v>0</v>
      </c>
      <c r="AB45" s="82">
        <v>0</v>
      </c>
      <c r="AC45" s="82">
        <v>0</v>
      </c>
      <c r="AD45" s="82">
        <v>0</v>
      </c>
      <c r="AE45" s="82">
        <v>0</v>
      </c>
      <c r="AF45" s="82">
        <v>0</v>
      </c>
      <c r="AG45" s="82">
        <v>0</v>
      </c>
      <c r="AH45" s="82">
        <v>0</v>
      </c>
      <c r="AI45" s="82">
        <v>0</v>
      </c>
      <c r="AJ45" s="81">
        <v>0</v>
      </c>
      <c r="AK45" s="82">
        <v>0</v>
      </c>
    </row>
    <row r="46" spans="1:37" ht="14.25" customHeight="1">
      <c r="A46" s="75" t="s">
        <v>308</v>
      </c>
      <c r="B46" s="76">
        <v>0</v>
      </c>
      <c r="C46" s="76">
        <v>0</v>
      </c>
      <c r="D46" s="77">
        <v>0</v>
      </c>
      <c r="E46" s="76">
        <v>0</v>
      </c>
      <c r="F46" s="76">
        <v>0</v>
      </c>
      <c r="G46" s="77">
        <v>0</v>
      </c>
      <c r="H46" s="78"/>
      <c r="I46" s="78"/>
      <c r="J46" s="79"/>
      <c r="K46" s="76">
        <v>0</v>
      </c>
      <c r="L46" s="76">
        <v>0</v>
      </c>
      <c r="M46" s="77">
        <v>0</v>
      </c>
      <c r="N46" s="77">
        <v>0</v>
      </c>
      <c r="O46" s="76">
        <v>0</v>
      </c>
      <c r="P46" s="76">
        <v>-80</v>
      </c>
      <c r="Q46" s="77">
        <v>0</v>
      </c>
      <c r="R46" s="76">
        <v>0</v>
      </c>
      <c r="S46" s="76">
        <v>0</v>
      </c>
      <c r="T46" s="76">
        <v>-80</v>
      </c>
      <c r="U46" s="77">
        <v>0</v>
      </c>
      <c r="V46" s="76">
        <v>0</v>
      </c>
      <c r="W46" s="76">
        <v>0</v>
      </c>
      <c r="X46" s="76">
        <v>0</v>
      </c>
      <c r="Y46" s="77">
        <v>0</v>
      </c>
      <c r="Z46" s="77">
        <v>0</v>
      </c>
      <c r="AA46" s="77">
        <v>0</v>
      </c>
      <c r="AB46" s="77">
        <v>0</v>
      </c>
      <c r="AC46" s="77">
        <v>0</v>
      </c>
      <c r="AD46" s="77">
        <v>0</v>
      </c>
      <c r="AE46" s="77">
        <v>0</v>
      </c>
      <c r="AF46" s="77">
        <v>0</v>
      </c>
      <c r="AG46" s="77">
        <v>0</v>
      </c>
      <c r="AH46" s="77">
        <v>0</v>
      </c>
      <c r="AI46" s="77">
        <v>0</v>
      </c>
      <c r="AJ46" s="76">
        <v>0</v>
      </c>
      <c r="AK46" s="77">
        <v>0</v>
      </c>
    </row>
    <row r="47" spans="1:37" ht="14.25" customHeight="1">
      <c r="A47" s="80" t="s">
        <v>309</v>
      </c>
      <c r="B47" s="81">
        <v>0</v>
      </c>
      <c r="C47" s="81">
        <v>0</v>
      </c>
      <c r="D47" s="82">
        <v>0</v>
      </c>
      <c r="E47" s="81">
        <v>0</v>
      </c>
      <c r="F47" s="81">
        <v>0</v>
      </c>
      <c r="G47" s="82">
        <v>0</v>
      </c>
      <c r="H47" s="83"/>
      <c r="I47" s="83"/>
      <c r="J47" s="84"/>
      <c r="K47" s="81">
        <v>0</v>
      </c>
      <c r="L47" s="81">
        <v>0</v>
      </c>
      <c r="M47" s="82">
        <v>0</v>
      </c>
      <c r="N47" s="82">
        <v>0</v>
      </c>
      <c r="O47" s="81">
        <v>0</v>
      </c>
      <c r="P47" s="81">
        <v>-80</v>
      </c>
      <c r="Q47" s="82">
        <v>0</v>
      </c>
      <c r="R47" s="81">
        <v>0</v>
      </c>
      <c r="S47" s="81">
        <v>0</v>
      </c>
      <c r="T47" s="81">
        <v>-80</v>
      </c>
      <c r="U47" s="82">
        <v>0</v>
      </c>
      <c r="V47" s="81">
        <v>0</v>
      </c>
      <c r="W47" s="81">
        <v>0</v>
      </c>
      <c r="X47" s="81">
        <v>0</v>
      </c>
      <c r="Y47" s="82">
        <v>0</v>
      </c>
      <c r="Z47" s="82">
        <v>0</v>
      </c>
      <c r="AA47" s="82">
        <v>0</v>
      </c>
      <c r="AB47" s="82">
        <v>0</v>
      </c>
      <c r="AC47" s="82">
        <v>0</v>
      </c>
      <c r="AD47" s="82">
        <v>0</v>
      </c>
      <c r="AE47" s="82">
        <v>0</v>
      </c>
      <c r="AF47" s="82">
        <v>0</v>
      </c>
      <c r="AG47" s="82">
        <v>0</v>
      </c>
      <c r="AH47" s="82">
        <v>0</v>
      </c>
      <c r="AI47" s="82">
        <v>0</v>
      </c>
      <c r="AJ47" s="81">
        <v>0</v>
      </c>
      <c r="AK47" s="82">
        <v>0</v>
      </c>
    </row>
    <row r="48" spans="1:37" ht="14.25" customHeight="1">
      <c r="A48" s="75" t="s">
        <v>227</v>
      </c>
      <c r="B48" s="76">
        <v>0</v>
      </c>
      <c r="C48" s="76">
        <v>0</v>
      </c>
      <c r="D48" s="77">
        <v>0</v>
      </c>
      <c r="E48" s="76">
        <v>0</v>
      </c>
      <c r="F48" s="76">
        <v>0</v>
      </c>
      <c r="G48" s="77">
        <v>0</v>
      </c>
      <c r="H48" s="78"/>
      <c r="I48" s="78"/>
      <c r="J48" s="79"/>
      <c r="K48" s="76">
        <v>0</v>
      </c>
      <c r="L48" s="76">
        <v>0</v>
      </c>
      <c r="M48" s="77">
        <v>0</v>
      </c>
      <c r="N48" s="77">
        <v>0</v>
      </c>
      <c r="O48" s="76">
        <v>0</v>
      </c>
      <c r="P48" s="76">
        <v>-80</v>
      </c>
      <c r="Q48" s="77">
        <v>0</v>
      </c>
      <c r="R48" s="76">
        <v>0</v>
      </c>
      <c r="S48" s="76">
        <v>0</v>
      </c>
      <c r="T48" s="76">
        <v>-80</v>
      </c>
      <c r="U48" s="77">
        <v>0</v>
      </c>
      <c r="V48" s="76">
        <v>0</v>
      </c>
      <c r="W48" s="76">
        <v>0</v>
      </c>
      <c r="X48" s="76">
        <v>0</v>
      </c>
      <c r="Y48" s="77">
        <v>0</v>
      </c>
      <c r="Z48" s="77">
        <v>0</v>
      </c>
      <c r="AA48" s="77">
        <v>0</v>
      </c>
      <c r="AB48" s="77">
        <v>0</v>
      </c>
      <c r="AC48" s="77">
        <v>0</v>
      </c>
      <c r="AD48" s="77">
        <v>0</v>
      </c>
      <c r="AE48" s="77">
        <v>0</v>
      </c>
      <c r="AF48" s="77">
        <v>0</v>
      </c>
      <c r="AG48" s="77">
        <v>0</v>
      </c>
      <c r="AH48" s="77">
        <v>0</v>
      </c>
      <c r="AI48" s="77">
        <v>0</v>
      </c>
      <c r="AJ48" s="76">
        <v>0</v>
      </c>
      <c r="AK48" s="77">
        <v>0</v>
      </c>
    </row>
    <row r="49" spans="1:37" ht="14.25" customHeight="1">
      <c r="A49" s="80" t="s">
        <v>310</v>
      </c>
      <c r="B49" s="81">
        <v>0</v>
      </c>
      <c r="C49" s="81">
        <v>0</v>
      </c>
      <c r="D49" s="82">
        <v>0</v>
      </c>
      <c r="E49" s="81">
        <v>0</v>
      </c>
      <c r="F49" s="81">
        <v>0</v>
      </c>
      <c r="G49" s="82">
        <v>0</v>
      </c>
      <c r="H49" s="83"/>
      <c r="I49" s="83"/>
      <c r="J49" s="84"/>
      <c r="K49" s="81">
        <v>0</v>
      </c>
      <c r="L49" s="81">
        <v>0</v>
      </c>
      <c r="M49" s="82">
        <v>0</v>
      </c>
      <c r="N49" s="82">
        <v>0</v>
      </c>
      <c r="O49" s="81">
        <v>0</v>
      </c>
      <c r="P49" s="81">
        <v>-80</v>
      </c>
      <c r="Q49" s="82">
        <v>0</v>
      </c>
      <c r="R49" s="81">
        <v>0</v>
      </c>
      <c r="S49" s="81">
        <v>0</v>
      </c>
      <c r="T49" s="81">
        <v>-80</v>
      </c>
      <c r="U49" s="82">
        <v>0</v>
      </c>
      <c r="V49" s="81">
        <v>0</v>
      </c>
      <c r="W49" s="81">
        <v>0</v>
      </c>
      <c r="X49" s="81">
        <v>0</v>
      </c>
      <c r="Y49" s="82">
        <v>0</v>
      </c>
      <c r="Z49" s="82">
        <v>0</v>
      </c>
      <c r="AA49" s="82">
        <v>0</v>
      </c>
      <c r="AB49" s="82">
        <v>0</v>
      </c>
      <c r="AC49" s="82">
        <v>0</v>
      </c>
      <c r="AD49" s="82">
        <v>0</v>
      </c>
      <c r="AE49" s="82">
        <v>0</v>
      </c>
      <c r="AF49" s="82">
        <v>0</v>
      </c>
      <c r="AG49" s="82">
        <v>0</v>
      </c>
      <c r="AH49" s="82">
        <v>0</v>
      </c>
      <c r="AI49" s="82">
        <v>0</v>
      </c>
      <c r="AJ49" s="81">
        <v>0</v>
      </c>
      <c r="AK49" s="82">
        <v>0</v>
      </c>
    </row>
    <row r="50" spans="1:37" ht="14.25" customHeight="1">
      <c r="A50" s="75" t="s">
        <v>311</v>
      </c>
      <c r="B50" s="76">
        <v>0</v>
      </c>
      <c r="C50" s="76">
        <v>0</v>
      </c>
      <c r="D50" s="77">
        <v>0</v>
      </c>
      <c r="E50" s="76">
        <v>0</v>
      </c>
      <c r="F50" s="76">
        <v>0</v>
      </c>
      <c r="G50" s="77">
        <v>0</v>
      </c>
      <c r="H50" s="78"/>
      <c r="I50" s="78"/>
      <c r="J50" s="79"/>
      <c r="K50" s="76">
        <v>0</v>
      </c>
      <c r="L50" s="76">
        <v>0</v>
      </c>
      <c r="M50" s="77">
        <v>0</v>
      </c>
      <c r="N50" s="77">
        <v>0</v>
      </c>
      <c r="O50" s="76">
        <v>0</v>
      </c>
      <c r="P50" s="76">
        <v>-80</v>
      </c>
      <c r="Q50" s="77">
        <v>0</v>
      </c>
      <c r="R50" s="76">
        <v>0</v>
      </c>
      <c r="S50" s="76">
        <v>0</v>
      </c>
      <c r="T50" s="76">
        <v>-80</v>
      </c>
      <c r="U50" s="77">
        <v>0</v>
      </c>
      <c r="V50" s="76">
        <v>0</v>
      </c>
      <c r="W50" s="76">
        <v>0</v>
      </c>
      <c r="X50" s="76">
        <v>0</v>
      </c>
      <c r="Y50" s="77">
        <v>0</v>
      </c>
      <c r="Z50" s="77">
        <v>0</v>
      </c>
      <c r="AA50" s="77">
        <v>0</v>
      </c>
      <c r="AB50" s="77">
        <v>0</v>
      </c>
      <c r="AC50" s="77">
        <v>0</v>
      </c>
      <c r="AD50" s="77">
        <v>0</v>
      </c>
      <c r="AE50" s="77">
        <v>0</v>
      </c>
      <c r="AF50" s="77">
        <v>0</v>
      </c>
      <c r="AG50" s="77">
        <v>0</v>
      </c>
      <c r="AH50" s="77">
        <v>0</v>
      </c>
      <c r="AI50" s="77">
        <v>0</v>
      </c>
      <c r="AJ50" s="76">
        <v>0</v>
      </c>
      <c r="AK50" s="77">
        <v>0</v>
      </c>
    </row>
    <row r="51" spans="1:37" ht="14.25" customHeight="1">
      <c r="A51" s="80" t="s">
        <v>312</v>
      </c>
      <c r="B51" s="81">
        <v>0</v>
      </c>
      <c r="C51" s="81">
        <v>0</v>
      </c>
      <c r="D51" s="82">
        <v>0</v>
      </c>
      <c r="E51" s="81">
        <v>0</v>
      </c>
      <c r="F51" s="81">
        <v>0</v>
      </c>
      <c r="G51" s="82">
        <v>0</v>
      </c>
      <c r="H51" s="83"/>
      <c r="I51" s="83"/>
      <c r="J51" s="84"/>
      <c r="K51" s="81">
        <v>0</v>
      </c>
      <c r="L51" s="81">
        <v>0</v>
      </c>
      <c r="M51" s="82">
        <v>0</v>
      </c>
      <c r="N51" s="82">
        <v>0</v>
      </c>
      <c r="O51" s="81">
        <v>0</v>
      </c>
      <c r="P51" s="81">
        <v>-80</v>
      </c>
      <c r="Q51" s="82">
        <v>0</v>
      </c>
      <c r="R51" s="81">
        <v>0</v>
      </c>
      <c r="S51" s="81">
        <v>0</v>
      </c>
      <c r="T51" s="81">
        <v>-80</v>
      </c>
      <c r="U51" s="82">
        <v>0</v>
      </c>
      <c r="V51" s="81">
        <v>0</v>
      </c>
      <c r="W51" s="81">
        <v>0</v>
      </c>
      <c r="X51" s="81">
        <v>0</v>
      </c>
      <c r="Y51" s="82">
        <v>0</v>
      </c>
      <c r="Z51" s="82">
        <v>0</v>
      </c>
      <c r="AA51" s="82">
        <v>0</v>
      </c>
      <c r="AB51" s="82">
        <v>0</v>
      </c>
      <c r="AC51" s="82">
        <v>0</v>
      </c>
      <c r="AD51" s="82">
        <v>0</v>
      </c>
      <c r="AE51" s="82">
        <v>0</v>
      </c>
      <c r="AF51" s="82">
        <v>0</v>
      </c>
      <c r="AG51" s="82">
        <v>0</v>
      </c>
      <c r="AH51" s="82">
        <v>0</v>
      </c>
      <c r="AI51" s="82">
        <v>0</v>
      </c>
      <c r="AJ51" s="81">
        <v>0</v>
      </c>
      <c r="AK51" s="82">
        <v>0</v>
      </c>
    </row>
    <row r="52" spans="1:37" ht="14.25" customHeight="1">
      <c r="A52" s="75" t="s">
        <v>228</v>
      </c>
      <c r="B52" s="76">
        <v>0</v>
      </c>
      <c r="C52" s="76">
        <v>0</v>
      </c>
      <c r="D52" s="77">
        <v>0</v>
      </c>
      <c r="E52" s="76">
        <v>0</v>
      </c>
      <c r="F52" s="76">
        <v>0</v>
      </c>
      <c r="G52" s="77">
        <v>0</v>
      </c>
      <c r="H52" s="78"/>
      <c r="I52" s="78"/>
      <c r="J52" s="79"/>
      <c r="K52" s="76">
        <v>0</v>
      </c>
      <c r="L52" s="76">
        <v>0</v>
      </c>
      <c r="M52" s="77">
        <v>0</v>
      </c>
      <c r="N52" s="77">
        <v>0</v>
      </c>
      <c r="O52" s="76">
        <v>0</v>
      </c>
      <c r="P52" s="76">
        <v>-80</v>
      </c>
      <c r="Q52" s="77">
        <v>0</v>
      </c>
      <c r="R52" s="76">
        <v>0</v>
      </c>
      <c r="S52" s="76">
        <v>0</v>
      </c>
      <c r="T52" s="76">
        <v>-80</v>
      </c>
      <c r="U52" s="77">
        <v>0</v>
      </c>
      <c r="V52" s="76">
        <v>0</v>
      </c>
      <c r="W52" s="76">
        <v>0</v>
      </c>
      <c r="X52" s="76">
        <v>0</v>
      </c>
      <c r="Y52" s="77">
        <v>0</v>
      </c>
      <c r="Z52" s="77">
        <v>0</v>
      </c>
      <c r="AA52" s="77">
        <v>0</v>
      </c>
      <c r="AB52" s="77">
        <v>0</v>
      </c>
      <c r="AC52" s="77">
        <v>0</v>
      </c>
      <c r="AD52" s="77">
        <v>0</v>
      </c>
      <c r="AE52" s="77">
        <v>0</v>
      </c>
      <c r="AF52" s="77">
        <v>0</v>
      </c>
      <c r="AG52" s="77">
        <v>0</v>
      </c>
      <c r="AH52" s="77">
        <v>0</v>
      </c>
      <c r="AI52" s="77">
        <v>0</v>
      </c>
      <c r="AJ52" s="76">
        <v>0</v>
      </c>
      <c r="AK52" s="77">
        <v>0</v>
      </c>
    </row>
    <row r="53" spans="1:37" ht="14.25" customHeight="1">
      <c r="A53" s="80" t="s">
        <v>313</v>
      </c>
      <c r="B53" s="81">
        <v>0</v>
      </c>
      <c r="C53" s="81">
        <v>0</v>
      </c>
      <c r="D53" s="82">
        <v>0</v>
      </c>
      <c r="E53" s="81">
        <v>0</v>
      </c>
      <c r="F53" s="81">
        <v>0</v>
      </c>
      <c r="G53" s="82">
        <v>0</v>
      </c>
      <c r="H53" s="83"/>
      <c r="I53" s="83"/>
      <c r="J53" s="84"/>
      <c r="K53" s="81">
        <v>0</v>
      </c>
      <c r="L53" s="81">
        <v>0</v>
      </c>
      <c r="M53" s="82">
        <v>0</v>
      </c>
      <c r="N53" s="82">
        <v>0</v>
      </c>
      <c r="O53" s="81">
        <v>0</v>
      </c>
      <c r="P53" s="81">
        <v>-80</v>
      </c>
      <c r="Q53" s="82">
        <v>0</v>
      </c>
      <c r="R53" s="81">
        <v>0</v>
      </c>
      <c r="S53" s="81">
        <v>0</v>
      </c>
      <c r="T53" s="81">
        <v>-80</v>
      </c>
      <c r="U53" s="82">
        <v>0</v>
      </c>
      <c r="V53" s="81">
        <v>0</v>
      </c>
      <c r="W53" s="81">
        <v>0</v>
      </c>
      <c r="X53" s="81">
        <v>0</v>
      </c>
      <c r="Y53" s="82">
        <v>0</v>
      </c>
      <c r="Z53" s="82">
        <v>0</v>
      </c>
      <c r="AA53" s="82">
        <v>0</v>
      </c>
      <c r="AB53" s="82">
        <v>0</v>
      </c>
      <c r="AC53" s="82">
        <v>0</v>
      </c>
      <c r="AD53" s="82">
        <v>0</v>
      </c>
      <c r="AE53" s="82">
        <v>0</v>
      </c>
      <c r="AF53" s="82">
        <v>0</v>
      </c>
      <c r="AG53" s="82">
        <v>0</v>
      </c>
      <c r="AH53" s="82">
        <v>0</v>
      </c>
      <c r="AI53" s="82">
        <v>0</v>
      </c>
      <c r="AJ53" s="81">
        <v>0</v>
      </c>
      <c r="AK53" s="82">
        <v>0</v>
      </c>
    </row>
    <row r="54" spans="1:37" ht="14.25" customHeight="1">
      <c r="A54" s="75" t="s">
        <v>314</v>
      </c>
      <c r="B54" s="76">
        <v>0</v>
      </c>
      <c r="C54" s="76">
        <v>0</v>
      </c>
      <c r="D54" s="77">
        <v>0</v>
      </c>
      <c r="E54" s="76">
        <v>0</v>
      </c>
      <c r="F54" s="76">
        <v>0</v>
      </c>
      <c r="G54" s="77">
        <v>0</v>
      </c>
      <c r="H54" s="78"/>
      <c r="I54" s="78"/>
      <c r="J54" s="79"/>
      <c r="K54" s="76">
        <v>0</v>
      </c>
      <c r="L54" s="76">
        <v>0</v>
      </c>
      <c r="M54" s="77">
        <v>0</v>
      </c>
      <c r="N54" s="77">
        <v>0</v>
      </c>
      <c r="O54" s="76">
        <v>0</v>
      </c>
      <c r="P54" s="76">
        <v>-80</v>
      </c>
      <c r="Q54" s="77">
        <v>0</v>
      </c>
      <c r="R54" s="76">
        <v>0</v>
      </c>
      <c r="S54" s="76">
        <v>0</v>
      </c>
      <c r="T54" s="76">
        <v>-80</v>
      </c>
      <c r="U54" s="77">
        <v>0</v>
      </c>
      <c r="V54" s="76">
        <v>0</v>
      </c>
      <c r="W54" s="76">
        <v>0</v>
      </c>
      <c r="X54" s="76">
        <v>0</v>
      </c>
      <c r="Y54" s="77">
        <v>0</v>
      </c>
      <c r="Z54" s="77">
        <v>0</v>
      </c>
      <c r="AA54" s="77">
        <v>0</v>
      </c>
      <c r="AB54" s="77">
        <v>0</v>
      </c>
      <c r="AC54" s="77">
        <v>0</v>
      </c>
      <c r="AD54" s="77">
        <v>0</v>
      </c>
      <c r="AE54" s="77">
        <v>0</v>
      </c>
      <c r="AF54" s="77">
        <v>0</v>
      </c>
      <c r="AG54" s="77">
        <v>0</v>
      </c>
      <c r="AH54" s="77">
        <v>0</v>
      </c>
      <c r="AI54" s="77">
        <v>0</v>
      </c>
      <c r="AJ54" s="76">
        <v>0</v>
      </c>
      <c r="AK54" s="77">
        <v>0</v>
      </c>
    </row>
    <row r="55" spans="1:37" ht="14.25" customHeight="1">
      <c r="A55" s="80" t="s">
        <v>315</v>
      </c>
      <c r="B55" s="81">
        <v>0</v>
      </c>
      <c r="C55" s="81">
        <v>0</v>
      </c>
      <c r="D55" s="82">
        <v>0</v>
      </c>
      <c r="E55" s="81">
        <v>0</v>
      </c>
      <c r="F55" s="81">
        <v>0</v>
      </c>
      <c r="G55" s="82">
        <v>0</v>
      </c>
      <c r="H55" s="83"/>
      <c r="I55" s="83"/>
      <c r="J55" s="84"/>
      <c r="K55" s="81">
        <v>0</v>
      </c>
      <c r="L55" s="81">
        <v>0</v>
      </c>
      <c r="M55" s="82">
        <v>0</v>
      </c>
      <c r="N55" s="82">
        <v>0</v>
      </c>
      <c r="O55" s="81">
        <v>0</v>
      </c>
      <c r="P55" s="81">
        <v>-80</v>
      </c>
      <c r="Q55" s="82">
        <v>0</v>
      </c>
      <c r="R55" s="81">
        <v>0</v>
      </c>
      <c r="S55" s="81">
        <v>0</v>
      </c>
      <c r="T55" s="81">
        <v>-80</v>
      </c>
      <c r="U55" s="82">
        <v>0</v>
      </c>
      <c r="V55" s="81">
        <v>0</v>
      </c>
      <c r="W55" s="81">
        <v>0</v>
      </c>
      <c r="X55" s="81">
        <v>0</v>
      </c>
      <c r="Y55" s="82">
        <v>0</v>
      </c>
      <c r="Z55" s="82">
        <v>0</v>
      </c>
      <c r="AA55" s="82">
        <v>0</v>
      </c>
      <c r="AB55" s="82">
        <v>0</v>
      </c>
      <c r="AC55" s="82">
        <v>0</v>
      </c>
      <c r="AD55" s="82">
        <v>0</v>
      </c>
      <c r="AE55" s="82">
        <v>0</v>
      </c>
      <c r="AF55" s="82">
        <v>0</v>
      </c>
      <c r="AG55" s="82">
        <v>0</v>
      </c>
      <c r="AH55" s="82">
        <v>0</v>
      </c>
      <c r="AI55" s="82">
        <v>0</v>
      </c>
      <c r="AJ55" s="81">
        <v>0</v>
      </c>
      <c r="AK55" s="82">
        <v>0</v>
      </c>
    </row>
    <row r="56" spans="1:37" ht="14.25" customHeight="1">
      <c r="A56" s="75" t="s">
        <v>229</v>
      </c>
      <c r="B56" s="76">
        <v>0</v>
      </c>
      <c r="C56" s="76">
        <v>0</v>
      </c>
      <c r="D56" s="77">
        <v>0</v>
      </c>
      <c r="E56" s="76">
        <v>0</v>
      </c>
      <c r="F56" s="76">
        <v>0</v>
      </c>
      <c r="G56" s="77">
        <v>0</v>
      </c>
      <c r="H56" s="78"/>
      <c r="I56" s="78"/>
      <c r="J56" s="79"/>
      <c r="K56" s="76">
        <v>0</v>
      </c>
      <c r="L56" s="76">
        <v>0</v>
      </c>
      <c r="M56" s="77">
        <v>0</v>
      </c>
      <c r="N56" s="77">
        <v>0</v>
      </c>
      <c r="O56" s="76">
        <v>0</v>
      </c>
      <c r="P56" s="76">
        <v>-80</v>
      </c>
      <c r="Q56" s="77">
        <v>0</v>
      </c>
      <c r="R56" s="76">
        <v>0</v>
      </c>
      <c r="S56" s="76">
        <v>0</v>
      </c>
      <c r="T56" s="76">
        <v>-80</v>
      </c>
      <c r="U56" s="77">
        <v>0</v>
      </c>
      <c r="V56" s="76">
        <v>0</v>
      </c>
      <c r="W56" s="76">
        <v>0</v>
      </c>
      <c r="X56" s="76">
        <v>0</v>
      </c>
      <c r="Y56" s="77">
        <v>0</v>
      </c>
      <c r="Z56" s="77">
        <v>0</v>
      </c>
      <c r="AA56" s="77">
        <v>0</v>
      </c>
      <c r="AB56" s="77">
        <v>0</v>
      </c>
      <c r="AC56" s="77">
        <v>0</v>
      </c>
      <c r="AD56" s="77">
        <v>0</v>
      </c>
      <c r="AE56" s="77">
        <v>0</v>
      </c>
      <c r="AF56" s="77">
        <v>0</v>
      </c>
      <c r="AG56" s="77">
        <v>0</v>
      </c>
      <c r="AH56" s="77">
        <v>0</v>
      </c>
      <c r="AI56" s="77">
        <v>0</v>
      </c>
      <c r="AJ56" s="76">
        <v>0</v>
      </c>
      <c r="AK56" s="77">
        <v>0</v>
      </c>
    </row>
    <row r="57" spans="1:37" ht="14.25" customHeight="1">
      <c r="A57" s="80" t="s">
        <v>316</v>
      </c>
      <c r="B57" s="81">
        <v>0</v>
      </c>
      <c r="C57" s="81">
        <v>0</v>
      </c>
      <c r="D57" s="82">
        <v>0</v>
      </c>
      <c r="E57" s="81">
        <v>0</v>
      </c>
      <c r="F57" s="81">
        <v>0</v>
      </c>
      <c r="G57" s="82">
        <v>0</v>
      </c>
      <c r="H57" s="83"/>
      <c r="I57" s="83"/>
      <c r="J57" s="84"/>
      <c r="K57" s="81">
        <v>0</v>
      </c>
      <c r="L57" s="81">
        <v>0</v>
      </c>
      <c r="M57" s="82">
        <v>0</v>
      </c>
      <c r="N57" s="82">
        <v>0</v>
      </c>
      <c r="O57" s="81">
        <v>0</v>
      </c>
      <c r="P57" s="81">
        <v>-80</v>
      </c>
      <c r="Q57" s="82">
        <v>0</v>
      </c>
      <c r="R57" s="81">
        <v>0</v>
      </c>
      <c r="S57" s="81">
        <v>0</v>
      </c>
      <c r="T57" s="81">
        <v>-80</v>
      </c>
      <c r="U57" s="82">
        <v>0</v>
      </c>
      <c r="V57" s="81">
        <v>0</v>
      </c>
      <c r="W57" s="81">
        <v>0</v>
      </c>
      <c r="X57" s="81">
        <v>0</v>
      </c>
      <c r="Y57" s="82">
        <v>0</v>
      </c>
      <c r="Z57" s="82">
        <v>0</v>
      </c>
      <c r="AA57" s="82">
        <v>0</v>
      </c>
      <c r="AB57" s="82">
        <v>0</v>
      </c>
      <c r="AC57" s="82">
        <v>0</v>
      </c>
      <c r="AD57" s="82">
        <v>0</v>
      </c>
      <c r="AE57" s="82">
        <v>0</v>
      </c>
      <c r="AF57" s="82">
        <v>0</v>
      </c>
      <c r="AG57" s="82">
        <v>0</v>
      </c>
      <c r="AH57" s="82">
        <v>0</v>
      </c>
      <c r="AI57" s="82">
        <v>0</v>
      </c>
      <c r="AJ57" s="81">
        <v>0</v>
      </c>
      <c r="AK57" s="82">
        <v>0</v>
      </c>
    </row>
    <row r="58" spans="1:37" ht="14.25" customHeight="1">
      <c r="A58" s="75" t="s">
        <v>317</v>
      </c>
      <c r="B58" s="76">
        <v>0</v>
      </c>
      <c r="C58" s="76">
        <v>0</v>
      </c>
      <c r="D58" s="77">
        <v>0</v>
      </c>
      <c r="E58" s="76">
        <v>0</v>
      </c>
      <c r="F58" s="76">
        <v>0</v>
      </c>
      <c r="G58" s="77">
        <v>0</v>
      </c>
      <c r="H58" s="78"/>
      <c r="I58" s="78"/>
      <c r="J58" s="79"/>
      <c r="K58" s="76">
        <v>0</v>
      </c>
      <c r="L58" s="76">
        <v>0</v>
      </c>
      <c r="M58" s="77">
        <v>0</v>
      </c>
      <c r="N58" s="77">
        <v>0</v>
      </c>
      <c r="O58" s="76">
        <v>0</v>
      </c>
      <c r="P58" s="76">
        <v>-80</v>
      </c>
      <c r="Q58" s="77">
        <v>0</v>
      </c>
      <c r="R58" s="76">
        <v>0</v>
      </c>
      <c r="S58" s="76">
        <v>0</v>
      </c>
      <c r="T58" s="76">
        <v>-80</v>
      </c>
      <c r="U58" s="77">
        <v>0</v>
      </c>
      <c r="V58" s="76">
        <v>0</v>
      </c>
      <c r="W58" s="76">
        <v>0</v>
      </c>
      <c r="X58" s="76">
        <v>0</v>
      </c>
      <c r="Y58" s="77">
        <v>0</v>
      </c>
      <c r="Z58" s="77">
        <v>0</v>
      </c>
      <c r="AA58" s="77">
        <v>0</v>
      </c>
      <c r="AB58" s="77">
        <v>0</v>
      </c>
      <c r="AC58" s="77">
        <v>0</v>
      </c>
      <c r="AD58" s="77">
        <v>0</v>
      </c>
      <c r="AE58" s="77">
        <v>0</v>
      </c>
      <c r="AF58" s="77">
        <v>0</v>
      </c>
      <c r="AG58" s="77">
        <v>0</v>
      </c>
      <c r="AH58" s="77">
        <v>0</v>
      </c>
      <c r="AI58" s="77">
        <v>0</v>
      </c>
      <c r="AJ58" s="76">
        <v>0</v>
      </c>
      <c r="AK58" s="77">
        <v>0</v>
      </c>
    </row>
    <row r="59" spans="1:37" ht="14.25" customHeight="1">
      <c r="A59" s="80" t="s">
        <v>318</v>
      </c>
      <c r="B59" s="81">
        <v>0</v>
      </c>
      <c r="C59" s="81">
        <v>0</v>
      </c>
      <c r="D59" s="82">
        <v>0</v>
      </c>
      <c r="E59" s="81">
        <v>0</v>
      </c>
      <c r="F59" s="81">
        <v>0</v>
      </c>
      <c r="G59" s="82">
        <v>0</v>
      </c>
      <c r="H59" s="83"/>
      <c r="I59" s="83"/>
      <c r="J59" s="84"/>
      <c r="K59" s="81">
        <v>0</v>
      </c>
      <c r="L59" s="81">
        <v>0</v>
      </c>
      <c r="M59" s="82">
        <v>0</v>
      </c>
      <c r="N59" s="82">
        <v>0</v>
      </c>
      <c r="O59" s="81">
        <v>0</v>
      </c>
      <c r="P59" s="81">
        <v>-80</v>
      </c>
      <c r="Q59" s="82">
        <v>0</v>
      </c>
      <c r="R59" s="81">
        <v>0</v>
      </c>
      <c r="S59" s="81">
        <v>0</v>
      </c>
      <c r="T59" s="81">
        <v>-80</v>
      </c>
      <c r="U59" s="82">
        <v>0</v>
      </c>
      <c r="V59" s="81">
        <v>0</v>
      </c>
      <c r="W59" s="81">
        <v>0</v>
      </c>
      <c r="X59" s="81">
        <v>0</v>
      </c>
      <c r="Y59" s="82">
        <v>0</v>
      </c>
      <c r="Z59" s="82">
        <v>0</v>
      </c>
      <c r="AA59" s="82">
        <v>0</v>
      </c>
      <c r="AB59" s="82">
        <v>0</v>
      </c>
      <c r="AC59" s="82">
        <v>0</v>
      </c>
      <c r="AD59" s="82">
        <v>0</v>
      </c>
      <c r="AE59" s="82">
        <v>0</v>
      </c>
      <c r="AF59" s="82">
        <v>0</v>
      </c>
      <c r="AG59" s="82">
        <v>0</v>
      </c>
      <c r="AH59" s="82">
        <v>0</v>
      </c>
      <c r="AI59" s="82">
        <v>0</v>
      </c>
      <c r="AJ59" s="81">
        <v>0</v>
      </c>
      <c r="AK59" s="82">
        <v>0</v>
      </c>
    </row>
    <row r="60" spans="1:37" ht="14.25" customHeight="1">
      <c r="A60" s="75" t="s">
        <v>230</v>
      </c>
      <c r="B60" s="76">
        <v>0</v>
      </c>
      <c r="C60" s="76">
        <v>0</v>
      </c>
      <c r="D60" s="77">
        <v>0</v>
      </c>
      <c r="E60" s="76">
        <v>0</v>
      </c>
      <c r="F60" s="76">
        <v>0</v>
      </c>
      <c r="G60" s="77">
        <v>0</v>
      </c>
      <c r="H60" s="78"/>
      <c r="I60" s="78"/>
      <c r="J60" s="79"/>
      <c r="K60" s="76">
        <v>0</v>
      </c>
      <c r="L60" s="76">
        <v>0</v>
      </c>
      <c r="M60" s="77">
        <v>0</v>
      </c>
      <c r="N60" s="77">
        <v>0</v>
      </c>
      <c r="O60" s="76">
        <v>0</v>
      </c>
      <c r="P60" s="76">
        <v>-80</v>
      </c>
      <c r="Q60" s="77">
        <v>0</v>
      </c>
      <c r="R60" s="76">
        <v>0</v>
      </c>
      <c r="S60" s="76">
        <v>0</v>
      </c>
      <c r="T60" s="76">
        <v>-80</v>
      </c>
      <c r="U60" s="77">
        <v>0</v>
      </c>
      <c r="V60" s="76">
        <v>0</v>
      </c>
      <c r="W60" s="76">
        <v>0</v>
      </c>
      <c r="X60" s="76">
        <v>0</v>
      </c>
      <c r="Y60" s="77">
        <v>0</v>
      </c>
      <c r="Z60" s="77">
        <v>0</v>
      </c>
      <c r="AA60" s="77">
        <v>0</v>
      </c>
      <c r="AB60" s="77">
        <v>0</v>
      </c>
      <c r="AC60" s="77">
        <v>0</v>
      </c>
      <c r="AD60" s="77">
        <v>0</v>
      </c>
      <c r="AE60" s="77">
        <v>0</v>
      </c>
      <c r="AF60" s="77">
        <v>0</v>
      </c>
      <c r="AG60" s="77">
        <v>0</v>
      </c>
      <c r="AH60" s="77">
        <v>0</v>
      </c>
      <c r="AI60" s="77">
        <v>0</v>
      </c>
      <c r="AJ60" s="76">
        <v>0</v>
      </c>
      <c r="AK60" s="77">
        <v>0</v>
      </c>
    </row>
    <row r="61" spans="1:37" ht="14.25" customHeight="1">
      <c r="A61" s="80" t="s">
        <v>319</v>
      </c>
      <c r="B61" s="81">
        <v>0</v>
      </c>
      <c r="C61" s="81">
        <v>0</v>
      </c>
      <c r="D61" s="82">
        <v>0</v>
      </c>
      <c r="E61" s="81">
        <v>0</v>
      </c>
      <c r="F61" s="81">
        <v>0</v>
      </c>
      <c r="G61" s="82">
        <v>0</v>
      </c>
      <c r="H61" s="83"/>
      <c r="I61" s="83"/>
      <c r="J61" s="84"/>
      <c r="K61" s="81">
        <v>0</v>
      </c>
      <c r="L61" s="81">
        <v>0</v>
      </c>
      <c r="M61" s="82">
        <v>0</v>
      </c>
      <c r="N61" s="82">
        <v>0</v>
      </c>
      <c r="O61" s="81">
        <v>0</v>
      </c>
      <c r="P61" s="81">
        <v>-80</v>
      </c>
      <c r="Q61" s="82">
        <v>0</v>
      </c>
      <c r="R61" s="81">
        <v>0</v>
      </c>
      <c r="S61" s="81">
        <v>0</v>
      </c>
      <c r="T61" s="81">
        <v>-80</v>
      </c>
      <c r="U61" s="82">
        <v>0</v>
      </c>
      <c r="V61" s="81">
        <v>0</v>
      </c>
      <c r="W61" s="81">
        <v>0</v>
      </c>
      <c r="X61" s="81">
        <v>0</v>
      </c>
      <c r="Y61" s="82">
        <v>0</v>
      </c>
      <c r="Z61" s="82">
        <v>0</v>
      </c>
      <c r="AA61" s="82">
        <v>0</v>
      </c>
      <c r="AB61" s="82">
        <v>0</v>
      </c>
      <c r="AC61" s="82">
        <v>0</v>
      </c>
      <c r="AD61" s="82">
        <v>0</v>
      </c>
      <c r="AE61" s="82">
        <v>0</v>
      </c>
      <c r="AF61" s="82">
        <v>0</v>
      </c>
      <c r="AG61" s="82">
        <v>0</v>
      </c>
      <c r="AH61" s="82">
        <v>0</v>
      </c>
      <c r="AI61" s="82">
        <v>0</v>
      </c>
      <c r="AJ61" s="81">
        <v>0</v>
      </c>
      <c r="AK61" s="82">
        <v>0</v>
      </c>
    </row>
    <row r="62" spans="1:37" ht="14.25" customHeight="1">
      <c r="A62" s="75" t="s">
        <v>320</v>
      </c>
      <c r="B62" s="76">
        <v>0</v>
      </c>
      <c r="C62" s="76">
        <v>0</v>
      </c>
      <c r="D62" s="77">
        <v>0</v>
      </c>
      <c r="E62" s="76">
        <v>0</v>
      </c>
      <c r="F62" s="76">
        <v>0</v>
      </c>
      <c r="G62" s="77">
        <v>0</v>
      </c>
      <c r="H62" s="78"/>
      <c r="I62" s="78"/>
      <c r="J62" s="79"/>
      <c r="K62" s="76">
        <v>0</v>
      </c>
      <c r="L62" s="76">
        <v>0</v>
      </c>
      <c r="M62" s="77">
        <v>0</v>
      </c>
      <c r="N62" s="77">
        <v>0</v>
      </c>
      <c r="O62" s="76">
        <v>0</v>
      </c>
      <c r="P62" s="76">
        <v>-80</v>
      </c>
      <c r="Q62" s="77">
        <v>0</v>
      </c>
      <c r="R62" s="76">
        <v>0</v>
      </c>
      <c r="S62" s="76">
        <v>0</v>
      </c>
      <c r="T62" s="76">
        <v>-80</v>
      </c>
      <c r="U62" s="77">
        <v>0</v>
      </c>
      <c r="V62" s="76">
        <v>0</v>
      </c>
      <c r="W62" s="76">
        <v>0</v>
      </c>
      <c r="X62" s="76">
        <v>0</v>
      </c>
      <c r="Y62" s="77">
        <v>0</v>
      </c>
      <c r="Z62" s="77">
        <v>0</v>
      </c>
      <c r="AA62" s="77">
        <v>0</v>
      </c>
      <c r="AB62" s="77">
        <v>0</v>
      </c>
      <c r="AC62" s="77">
        <v>0</v>
      </c>
      <c r="AD62" s="77">
        <v>0</v>
      </c>
      <c r="AE62" s="77">
        <v>0</v>
      </c>
      <c r="AF62" s="77">
        <v>0</v>
      </c>
      <c r="AG62" s="77">
        <v>0</v>
      </c>
      <c r="AH62" s="77">
        <v>0</v>
      </c>
      <c r="AI62" s="77">
        <v>0</v>
      </c>
      <c r="AJ62" s="76">
        <v>0</v>
      </c>
      <c r="AK62" s="77">
        <v>0</v>
      </c>
    </row>
    <row r="63" spans="1:37" ht="14.25" customHeight="1">
      <c r="A63" s="80" t="s">
        <v>321</v>
      </c>
      <c r="B63" s="81">
        <v>0</v>
      </c>
      <c r="C63" s="81">
        <v>0</v>
      </c>
      <c r="D63" s="82">
        <v>0</v>
      </c>
      <c r="E63" s="81">
        <v>0</v>
      </c>
      <c r="F63" s="81">
        <v>0</v>
      </c>
      <c r="G63" s="82">
        <v>0</v>
      </c>
      <c r="H63" s="83"/>
      <c r="I63" s="83"/>
      <c r="J63" s="84"/>
      <c r="K63" s="81">
        <v>0</v>
      </c>
      <c r="L63" s="81">
        <v>0</v>
      </c>
      <c r="M63" s="82">
        <v>0</v>
      </c>
      <c r="N63" s="82">
        <v>0</v>
      </c>
      <c r="O63" s="81">
        <v>0</v>
      </c>
      <c r="P63" s="81">
        <v>-80</v>
      </c>
      <c r="Q63" s="82">
        <v>0</v>
      </c>
      <c r="R63" s="81">
        <v>0</v>
      </c>
      <c r="S63" s="81">
        <v>0</v>
      </c>
      <c r="T63" s="81">
        <v>-80</v>
      </c>
      <c r="U63" s="82">
        <v>0</v>
      </c>
      <c r="V63" s="81">
        <v>0</v>
      </c>
      <c r="W63" s="81">
        <v>0</v>
      </c>
      <c r="X63" s="81">
        <v>0</v>
      </c>
      <c r="Y63" s="82">
        <v>0</v>
      </c>
      <c r="Z63" s="82">
        <v>0</v>
      </c>
      <c r="AA63" s="82">
        <v>0</v>
      </c>
      <c r="AB63" s="82">
        <v>0</v>
      </c>
      <c r="AC63" s="82">
        <v>0</v>
      </c>
      <c r="AD63" s="82">
        <v>0</v>
      </c>
      <c r="AE63" s="82">
        <v>0</v>
      </c>
      <c r="AF63" s="82">
        <v>0</v>
      </c>
      <c r="AG63" s="82">
        <v>0</v>
      </c>
      <c r="AH63" s="82">
        <v>0</v>
      </c>
      <c r="AI63" s="82">
        <v>0</v>
      </c>
      <c r="AJ63" s="81">
        <v>0</v>
      </c>
      <c r="AK63" s="82">
        <v>0</v>
      </c>
    </row>
    <row r="64" spans="1:37" ht="14.25" customHeight="1">
      <c r="A64" s="75" t="s">
        <v>231</v>
      </c>
      <c r="B64" s="76">
        <v>0</v>
      </c>
      <c r="C64" s="76">
        <v>0</v>
      </c>
      <c r="D64" s="77">
        <v>0</v>
      </c>
      <c r="E64" s="76">
        <v>0</v>
      </c>
      <c r="F64" s="76">
        <v>0</v>
      </c>
      <c r="G64" s="77">
        <v>0</v>
      </c>
      <c r="H64" s="78"/>
      <c r="I64" s="78"/>
      <c r="J64" s="79"/>
      <c r="K64" s="76">
        <v>0</v>
      </c>
      <c r="L64" s="76">
        <v>0</v>
      </c>
      <c r="M64" s="77">
        <v>0</v>
      </c>
      <c r="N64" s="77">
        <v>0</v>
      </c>
      <c r="O64" s="76">
        <v>0</v>
      </c>
      <c r="P64" s="76">
        <v>-80</v>
      </c>
      <c r="Q64" s="77">
        <v>0</v>
      </c>
      <c r="R64" s="76">
        <v>0</v>
      </c>
      <c r="S64" s="76">
        <v>0</v>
      </c>
      <c r="T64" s="76">
        <v>-80</v>
      </c>
      <c r="U64" s="77">
        <v>0</v>
      </c>
      <c r="V64" s="76">
        <v>0</v>
      </c>
      <c r="W64" s="76">
        <v>0</v>
      </c>
      <c r="X64" s="76">
        <v>0</v>
      </c>
      <c r="Y64" s="77">
        <v>0</v>
      </c>
      <c r="Z64" s="77">
        <v>0</v>
      </c>
      <c r="AA64" s="77">
        <v>0</v>
      </c>
      <c r="AB64" s="77">
        <v>0</v>
      </c>
      <c r="AC64" s="77">
        <v>0</v>
      </c>
      <c r="AD64" s="77">
        <v>0</v>
      </c>
      <c r="AE64" s="77">
        <v>0</v>
      </c>
      <c r="AF64" s="77">
        <v>0</v>
      </c>
      <c r="AG64" s="77">
        <v>0</v>
      </c>
      <c r="AH64" s="77">
        <v>0</v>
      </c>
      <c r="AI64" s="77">
        <v>0</v>
      </c>
      <c r="AJ64" s="76">
        <v>0</v>
      </c>
      <c r="AK64" s="77">
        <v>0</v>
      </c>
    </row>
    <row r="65" spans="1:37" ht="14.25" customHeight="1">
      <c r="A65" s="80" t="s">
        <v>322</v>
      </c>
      <c r="B65" s="81">
        <v>0</v>
      </c>
      <c r="C65" s="81">
        <v>0</v>
      </c>
      <c r="D65" s="82">
        <v>0</v>
      </c>
      <c r="E65" s="81">
        <v>0</v>
      </c>
      <c r="F65" s="81">
        <v>0</v>
      </c>
      <c r="G65" s="82">
        <v>0</v>
      </c>
      <c r="H65" s="83"/>
      <c r="I65" s="83"/>
      <c r="J65" s="84"/>
      <c r="K65" s="81">
        <v>0</v>
      </c>
      <c r="L65" s="81">
        <v>0</v>
      </c>
      <c r="M65" s="82">
        <v>0</v>
      </c>
      <c r="N65" s="82">
        <v>0</v>
      </c>
      <c r="O65" s="81">
        <v>0</v>
      </c>
      <c r="P65" s="81">
        <v>-80</v>
      </c>
      <c r="Q65" s="82">
        <v>0</v>
      </c>
      <c r="R65" s="81">
        <v>0</v>
      </c>
      <c r="S65" s="81">
        <v>0</v>
      </c>
      <c r="T65" s="81">
        <v>-80</v>
      </c>
      <c r="U65" s="82">
        <v>0</v>
      </c>
      <c r="V65" s="81">
        <v>0</v>
      </c>
      <c r="W65" s="81">
        <v>0</v>
      </c>
      <c r="X65" s="81">
        <v>0</v>
      </c>
      <c r="Y65" s="82">
        <v>0</v>
      </c>
      <c r="Z65" s="82">
        <v>0</v>
      </c>
      <c r="AA65" s="82">
        <v>0</v>
      </c>
      <c r="AB65" s="82">
        <v>0</v>
      </c>
      <c r="AC65" s="82">
        <v>0</v>
      </c>
      <c r="AD65" s="82">
        <v>0</v>
      </c>
      <c r="AE65" s="82">
        <v>0</v>
      </c>
      <c r="AF65" s="82">
        <v>0</v>
      </c>
      <c r="AG65" s="82">
        <v>0</v>
      </c>
      <c r="AH65" s="82">
        <v>0</v>
      </c>
      <c r="AI65" s="82">
        <v>0</v>
      </c>
      <c r="AJ65" s="81">
        <v>0</v>
      </c>
      <c r="AK65" s="82">
        <v>0</v>
      </c>
    </row>
    <row r="66" spans="1:37" ht="14.25" customHeight="1">
      <c r="A66" s="75" t="s">
        <v>323</v>
      </c>
      <c r="B66" s="76">
        <v>0</v>
      </c>
      <c r="C66" s="76">
        <v>0</v>
      </c>
      <c r="D66" s="77">
        <v>0</v>
      </c>
      <c r="E66" s="76">
        <v>0</v>
      </c>
      <c r="F66" s="76">
        <v>0</v>
      </c>
      <c r="G66" s="77">
        <v>0</v>
      </c>
      <c r="H66" s="78"/>
      <c r="I66" s="78"/>
      <c r="J66" s="79"/>
      <c r="K66" s="76">
        <v>0</v>
      </c>
      <c r="L66" s="76">
        <v>0</v>
      </c>
      <c r="M66" s="77">
        <v>0</v>
      </c>
      <c r="N66" s="77">
        <v>0</v>
      </c>
      <c r="O66" s="76">
        <v>0</v>
      </c>
      <c r="P66" s="76">
        <v>-80</v>
      </c>
      <c r="Q66" s="77">
        <v>0</v>
      </c>
      <c r="R66" s="76">
        <v>0</v>
      </c>
      <c r="S66" s="76">
        <v>0</v>
      </c>
      <c r="T66" s="76">
        <v>-80</v>
      </c>
      <c r="U66" s="77">
        <v>0</v>
      </c>
      <c r="V66" s="76">
        <v>0</v>
      </c>
      <c r="W66" s="76">
        <v>0</v>
      </c>
      <c r="X66" s="76">
        <v>0</v>
      </c>
      <c r="Y66" s="77">
        <v>0</v>
      </c>
      <c r="Z66" s="77">
        <v>0</v>
      </c>
      <c r="AA66" s="77">
        <v>0</v>
      </c>
      <c r="AB66" s="77">
        <v>0</v>
      </c>
      <c r="AC66" s="77">
        <v>0</v>
      </c>
      <c r="AD66" s="77">
        <v>0</v>
      </c>
      <c r="AE66" s="77">
        <v>0</v>
      </c>
      <c r="AF66" s="77">
        <v>0</v>
      </c>
      <c r="AG66" s="77">
        <v>0</v>
      </c>
      <c r="AH66" s="77">
        <v>0</v>
      </c>
      <c r="AI66" s="77">
        <v>0</v>
      </c>
      <c r="AJ66" s="76">
        <v>0</v>
      </c>
      <c r="AK66" s="77">
        <v>0</v>
      </c>
    </row>
    <row r="67" spans="1:37" ht="14.25" customHeight="1">
      <c r="A67" s="80" t="s">
        <v>324</v>
      </c>
      <c r="B67" s="81">
        <v>0</v>
      </c>
      <c r="C67" s="81">
        <v>0</v>
      </c>
      <c r="D67" s="82">
        <v>0</v>
      </c>
      <c r="E67" s="81">
        <v>0</v>
      </c>
      <c r="F67" s="81">
        <v>0</v>
      </c>
      <c r="G67" s="82">
        <v>0</v>
      </c>
      <c r="H67" s="83"/>
      <c r="I67" s="83"/>
      <c r="J67" s="84"/>
      <c r="K67" s="81">
        <v>0</v>
      </c>
      <c r="L67" s="81">
        <v>0</v>
      </c>
      <c r="M67" s="82">
        <v>0</v>
      </c>
      <c r="N67" s="82">
        <v>0</v>
      </c>
      <c r="O67" s="81">
        <v>0</v>
      </c>
      <c r="P67" s="81">
        <v>-80</v>
      </c>
      <c r="Q67" s="82">
        <v>0</v>
      </c>
      <c r="R67" s="81">
        <v>0</v>
      </c>
      <c r="S67" s="81">
        <v>0</v>
      </c>
      <c r="T67" s="81">
        <v>-80</v>
      </c>
      <c r="U67" s="82">
        <v>0</v>
      </c>
      <c r="V67" s="81">
        <v>0</v>
      </c>
      <c r="W67" s="81">
        <v>0</v>
      </c>
      <c r="X67" s="81">
        <v>0</v>
      </c>
      <c r="Y67" s="82">
        <v>0</v>
      </c>
      <c r="Z67" s="82">
        <v>0</v>
      </c>
      <c r="AA67" s="82">
        <v>0</v>
      </c>
      <c r="AB67" s="82">
        <v>0</v>
      </c>
      <c r="AC67" s="82">
        <v>0</v>
      </c>
      <c r="AD67" s="82">
        <v>0</v>
      </c>
      <c r="AE67" s="82">
        <v>0</v>
      </c>
      <c r="AF67" s="82">
        <v>0</v>
      </c>
      <c r="AG67" s="82">
        <v>0</v>
      </c>
      <c r="AH67" s="82">
        <v>0</v>
      </c>
      <c r="AI67" s="82">
        <v>0</v>
      </c>
      <c r="AJ67" s="81">
        <v>0</v>
      </c>
      <c r="AK67" s="82">
        <v>0</v>
      </c>
    </row>
    <row r="68" spans="1:37" ht="14.25" customHeight="1">
      <c r="A68" s="75" t="s">
        <v>232</v>
      </c>
      <c r="B68" s="76">
        <v>0</v>
      </c>
      <c r="C68" s="76">
        <v>0</v>
      </c>
      <c r="D68" s="77">
        <v>0</v>
      </c>
      <c r="E68" s="76">
        <v>0</v>
      </c>
      <c r="F68" s="76">
        <v>0</v>
      </c>
      <c r="G68" s="77">
        <v>0</v>
      </c>
      <c r="H68" s="78"/>
      <c r="I68" s="78"/>
      <c r="J68" s="79"/>
      <c r="K68" s="76">
        <v>0</v>
      </c>
      <c r="L68" s="76">
        <v>0</v>
      </c>
      <c r="M68" s="77">
        <v>0</v>
      </c>
      <c r="N68" s="77">
        <v>0</v>
      </c>
      <c r="O68" s="76">
        <v>0</v>
      </c>
      <c r="P68" s="76">
        <v>-80</v>
      </c>
      <c r="Q68" s="77">
        <v>0</v>
      </c>
      <c r="R68" s="76">
        <v>0</v>
      </c>
      <c r="S68" s="76">
        <v>0</v>
      </c>
      <c r="T68" s="76">
        <v>-80</v>
      </c>
      <c r="U68" s="77">
        <v>0</v>
      </c>
      <c r="V68" s="76">
        <v>0</v>
      </c>
      <c r="W68" s="76">
        <v>0</v>
      </c>
      <c r="X68" s="76">
        <v>0</v>
      </c>
      <c r="Y68" s="77">
        <v>0</v>
      </c>
      <c r="Z68" s="77">
        <v>0</v>
      </c>
      <c r="AA68" s="77">
        <v>0</v>
      </c>
      <c r="AB68" s="77">
        <v>0</v>
      </c>
      <c r="AC68" s="77">
        <v>0</v>
      </c>
      <c r="AD68" s="77">
        <v>0</v>
      </c>
      <c r="AE68" s="77">
        <v>0</v>
      </c>
      <c r="AF68" s="77">
        <v>0</v>
      </c>
      <c r="AG68" s="77">
        <v>0</v>
      </c>
      <c r="AH68" s="77">
        <v>0</v>
      </c>
      <c r="AI68" s="77">
        <v>0</v>
      </c>
      <c r="AJ68" s="76">
        <v>0</v>
      </c>
      <c r="AK68" s="77">
        <v>0</v>
      </c>
    </row>
    <row r="69" spans="1:37" ht="14.25" customHeight="1">
      <c r="A69" s="80" t="s">
        <v>325</v>
      </c>
      <c r="B69" s="81">
        <v>0</v>
      </c>
      <c r="C69" s="81">
        <v>0</v>
      </c>
      <c r="D69" s="82">
        <v>0</v>
      </c>
      <c r="E69" s="81">
        <v>0</v>
      </c>
      <c r="F69" s="81">
        <v>0</v>
      </c>
      <c r="G69" s="82">
        <v>0</v>
      </c>
      <c r="H69" s="83"/>
      <c r="I69" s="83"/>
      <c r="J69" s="84"/>
      <c r="K69" s="81">
        <v>0</v>
      </c>
      <c r="L69" s="81">
        <v>0</v>
      </c>
      <c r="M69" s="82">
        <v>0</v>
      </c>
      <c r="N69" s="82">
        <v>0</v>
      </c>
      <c r="O69" s="81">
        <v>0</v>
      </c>
      <c r="P69" s="81">
        <v>-80</v>
      </c>
      <c r="Q69" s="82">
        <v>0</v>
      </c>
      <c r="R69" s="81">
        <v>0</v>
      </c>
      <c r="S69" s="81">
        <v>0</v>
      </c>
      <c r="T69" s="81">
        <v>-80</v>
      </c>
      <c r="U69" s="82">
        <v>0</v>
      </c>
      <c r="V69" s="81">
        <v>0</v>
      </c>
      <c r="W69" s="81">
        <v>0</v>
      </c>
      <c r="X69" s="81">
        <v>0</v>
      </c>
      <c r="Y69" s="82">
        <v>0</v>
      </c>
      <c r="Z69" s="82">
        <v>0</v>
      </c>
      <c r="AA69" s="82">
        <v>0</v>
      </c>
      <c r="AB69" s="82">
        <v>0</v>
      </c>
      <c r="AC69" s="82">
        <v>0</v>
      </c>
      <c r="AD69" s="82">
        <v>0</v>
      </c>
      <c r="AE69" s="82">
        <v>0</v>
      </c>
      <c r="AF69" s="82">
        <v>0</v>
      </c>
      <c r="AG69" s="82">
        <v>0</v>
      </c>
      <c r="AH69" s="82">
        <v>0</v>
      </c>
      <c r="AI69" s="82">
        <v>0</v>
      </c>
      <c r="AJ69" s="81">
        <v>0</v>
      </c>
      <c r="AK69" s="82">
        <v>0</v>
      </c>
    </row>
    <row r="70" spans="1:37" ht="14.25" customHeight="1">
      <c r="A70" s="75" t="s">
        <v>326</v>
      </c>
      <c r="B70" s="76">
        <v>0</v>
      </c>
      <c r="C70" s="76">
        <v>0</v>
      </c>
      <c r="D70" s="77">
        <v>0</v>
      </c>
      <c r="E70" s="76">
        <v>0</v>
      </c>
      <c r="F70" s="76">
        <v>0</v>
      </c>
      <c r="G70" s="77">
        <v>0</v>
      </c>
      <c r="H70" s="78"/>
      <c r="I70" s="78"/>
      <c r="J70" s="79"/>
      <c r="K70" s="76">
        <v>0</v>
      </c>
      <c r="L70" s="76">
        <v>0</v>
      </c>
      <c r="M70" s="77">
        <v>0</v>
      </c>
      <c r="N70" s="77">
        <v>0</v>
      </c>
      <c r="O70" s="76">
        <v>0</v>
      </c>
      <c r="P70" s="76">
        <v>-80</v>
      </c>
      <c r="Q70" s="77">
        <v>0</v>
      </c>
      <c r="R70" s="76">
        <v>0</v>
      </c>
      <c r="S70" s="76">
        <v>0</v>
      </c>
      <c r="T70" s="76">
        <v>-80</v>
      </c>
      <c r="U70" s="77">
        <v>0</v>
      </c>
      <c r="V70" s="76">
        <v>0</v>
      </c>
      <c r="W70" s="76">
        <v>0</v>
      </c>
      <c r="X70" s="76">
        <v>0</v>
      </c>
      <c r="Y70" s="77">
        <v>0</v>
      </c>
      <c r="Z70" s="77">
        <v>0</v>
      </c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6">
        <v>0</v>
      </c>
      <c r="AK70" s="77">
        <v>0</v>
      </c>
    </row>
    <row r="71" spans="1:37" ht="14.25" customHeight="1">
      <c r="A71" s="80" t="s">
        <v>327</v>
      </c>
      <c r="B71" s="81">
        <v>0</v>
      </c>
      <c r="C71" s="81">
        <v>0</v>
      </c>
      <c r="D71" s="82">
        <v>0</v>
      </c>
      <c r="E71" s="81">
        <v>0</v>
      </c>
      <c r="F71" s="81">
        <v>0</v>
      </c>
      <c r="G71" s="82">
        <v>0</v>
      </c>
      <c r="H71" s="83"/>
      <c r="I71" s="83"/>
      <c r="J71" s="84"/>
      <c r="K71" s="81">
        <v>0</v>
      </c>
      <c r="L71" s="81">
        <v>0</v>
      </c>
      <c r="M71" s="82">
        <v>0</v>
      </c>
      <c r="N71" s="82">
        <v>0</v>
      </c>
      <c r="O71" s="81">
        <v>0</v>
      </c>
      <c r="P71" s="81">
        <v>415.536</v>
      </c>
      <c r="Q71" s="82">
        <v>0</v>
      </c>
      <c r="R71" s="81">
        <v>0</v>
      </c>
      <c r="S71" s="81">
        <v>0</v>
      </c>
      <c r="T71" s="81">
        <v>454.428</v>
      </c>
      <c r="U71" s="82">
        <v>0</v>
      </c>
      <c r="V71" s="81">
        <v>0</v>
      </c>
      <c r="W71" s="81">
        <v>0</v>
      </c>
      <c r="X71" s="81">
        <v>0</v>
      </c>
      <c r="Y71" s="82">
        <v>0</v>
      </c>
      <c r="Z71" s="82">
        <v>0</v>
      </c>
      <c r="AA71" s="82">
        <v>0</v>
      </c>
      <c r="AB71" s="82">
        <v>0</v>
      </c>
      <c r="AC71" s="82">
        <v>0</v>
      </c>
      <c r="AD71" s="82">
        <v>0</v>
      </c>
      <c r="AE71" s="82">
        <v>0</v>
      </c>
      <c r="AF71" s="82">
        <v>0</v>
      </c>
      <c r="AG71" s="82">
        <v>0</v>
      </c>
      <c r="AH71" s="82">
        <v>0</v>
      </c>
      <c r="AI71" s="82">
        <v>0</v>
      </c>
      <c r="AJ71" s="81">
        <v>0</v>
      </c>
      <c r="AK71" s="82">
        <v>0</v>
      </c>
    </row>
    <row r="72" spans="1:37" ht="14.25" customHeight="1">
      <c r="A72" s="75" t="s">
        <v>233</v>
      </c>
      <c r="B72" s="76">
        <v>0</v>
      </c>
      <c r="C72" s="76">
        <v>0</v>
      </c>
      <c r="D72" s="77">
        <v>0</v>
      </c>
      <c r="E72" s="76">
        <v>0</v>
      </c>
      <c r="F72" s="76">
        <v>0</v>
      </c>
      <c r="G72" s="77">
        <v>0</v>
      </c>
      <c r="H72" s="78"/>
      <c r="I72" s="78"/>
      <c r="J72" s="79"/>
      <c r="K72" s="76">
        <v>0</v>
      </c>
      <c r="L72" s="76">
        <v>0</v>
      </c>
      <c r="M72" s="77">
        <v>0</v>
      </c>
      <c r="N72" s="77">
        <v>0</v>
      </c>
      <c r="O72" s="76">
        <v>0</v>
      </c>
      <c r="P72" s="76">
        <v>321.95699999999999</v>
      </c>
      <c r="Q72" s="77">
        <v>0</v>
      </c>
      <c r="R72" s="76">
        <v>0</v>
      </c>
      <c r="S72" s="76">
        <v>0</v>
      </c>
      <c r="T72" s="76">
        <v>338.60700000000003</v>
      </c>
      <c r="U72" s="77">
        <v>0</v>
      </c>
      <c r="V72" s="76">
        <v>0</v>
      </c>
      <c r="W72" s="76">
        <v>0</v>
      </c>
      <c r="X72" s="76">
        <v>0</v>
      </c>
      <c r="Y72" s="77">
        <v>0</v>
      </c>
      <c r="Z72" s="77">
        <v>0</v>
      </c>
      <c r="AA72" s="77">
        <v>0</v>
      </c>
      <c r="AB72" s="77">
        <v>0</v>
      </c>
      <c r="AC72" s="77">
        <v>0</v>
      </c>
      <c r="AD72" s="77">
        <v>0</v>
      </c>
      <c r="AE72" s="77">
        <v>0</v>
      </c>
      <c r="AF72" s="77">
        <v>0</v>
      </c>
      <c r="AG72" s="77">
        <v>0</v>
      </c>
      <c r="AH72" s="77">
        <v>0</v>
      </c>
      <c r="AI72" s="77">
        <v>0</v>
      </c>
      <c r="AJ72" s="76">
        <v>0</v>
      </c>
      <c r="AK72" s="77">
        <v>0</v>
      </c>
    </row>
    <row r="73" spans="1:37" ht="14.25" customHeight="1">
      <c r="A73" s="80" t="s">
        <v>328</v>
      </c>
      <c r="B73" s="81">
        <v>0</v>
      </c>
      <c r="C73" s="81">
        <v>0</v>
      </c>
      <c r="D73" s="82">
        <v>0</v>
      </c>
      <c r="E73" s="81">
        <v>0</v>
      </c>
      <c r="F73" s="81">
        <v>0</v>
      </c>
      <c r="G73" s="82">
        <v>0</v>
      </c>
      <c r="H73" s="83"/>
      <c r="I73" s="83"/>
      <c r="J73" s="84"/>
      <c r="K73" s="81">
        <v>0</v>
      </c>
      <c r="L73" s="81">
        <v>0</v>
      </c>
      <c r="M73" s="82">
        <v>0</v>
      </c>
      <c r="N73" s="82">
        <v>0</v>
      </c>
      <c r="O73" s="81">
        <v>0</v>
      </c>
      <c r="P73" s="81">
        <v>-78.938000000000002</v>
      </c>
      <c r="Q73" s="82">
        <v>0</v>
      </c>
      <c r="R73" s="81">
        <v>0</v>
      </c>
      <c r="S73" s="81">
        <v>0</v>
      </c>
      <c r="T73" s="81">
        <v>-75.843999999999994</v>
      </c>
      <c r="U73" s="82">
        <v>0</v>
      </c>
      <c r="V73" s="81">
        <v>0</v>
      </c>
      <c r="W73" s="81">
        <v>0</v>
      </c>
      <c r="X73" s="81">
        <v>0</v>
      </c>
      <c r="Y73" s="82">
        <v>0</v>
      </c>
      <c r="Z73" s="82">
        <v>0</v>
      </c>
      <c r="AA73" s="82">
        <v>0</v>
      </c>
      <c r="AB73" s="82">
        <v>0</v>
      </c>
      <c r="AC73" s="82">
        <v>0</v>
      </c>
      <c r="AD73" s="82">
        <v>0</v>
      </c>
      <c r="AE73" s="82">
        <v>0</v>
      </c>
      <c r="AF73" s="82">
        <v>0</v>
      </c>
      <c r="AG73" s="82">
        <v>0</v>
      </c>
      <c r="AH73" s="82">
        <v>0</v>
      </c>
      <c r="AI73" s="82">
        <v>0</v>
      </c>
      <c r="AJ73" s="81">
        <v>0</v>
      </c>
      <c r="AK73" s="82">
        <v>0</v>
      </c>
    </row>
    <row r="74" spans="1:37" ht="14.25" customHeight="1">
      <c r="A74" s="75" t="s">
        <v>329</v>
      </c>
      <c r="B74" s="76">
        <v>0</v>
      </c>
      <c r="C74" s="76">
        <v>0</v>
      </c>
      <c r="D74" s="77">
        <v>0</v>
      </c>
      <c r="E74" s="76">
        <v>0</v>
      </c>
      <c r="F74" s="76">
        <v>0</v>
      </c>
      <c r="G74" s="77">
        <v>0</v>
      </c>
      <c r="H74" s="78"/>
      <c r="I74" s="78"/>
      <c r="J74" s="79"/>
      <c r="K74" s="76">
        <v>0</v>
      </c>
      <c r="L74" s="76">
        <v>0</v>
      </c>
      <c r="M74" s="77">
        <v>0</v>
      </c>
      <c r="N74" s="77">
        <v>0</v>
      </c>
      <c r="O74" s="76">
        <v>0</v>
      </c>
      <c r="P74" s="76">
        <v>331.03100000000001</v>
      </c>
      <c r="Q74" s="77">
        <v>0</v>
      </c>
      <c r="R74" s="76">
        <v>0</v>
      </c>
      <c r="S74" s="76">
        <v>0</v>
      </c>
      <c r="T74" s="76">
        <v>350.87</v>
      </c>
      <c r="U74" s="77">
        <v>0</v>
      </c>
      <c r="V74" s="76">
        <v>0</v>
      </c>
      <c r="W74" s="76">
        <v>0</v>
      </c>
      <c r="X74" s="76">
        <v>0</v>
      </c>
      <c r="Y74" s="77">
        <v>0</v>
      </c>
      <c r="Z74" s="77">
        <v>0</v>
      </c>
      <c r="AA74" s="77">
        <v>0</v>
      </c>
      <c r="AB74" s="77">
        <v>0</v>
      </c>
      <c r="AC74" s="77">
        <v>0</v>
      </c>
      <c r="AD74" s="77">
        <v>0</v>
      </c>
      <c r="AE74" s="77">
        <v>0</v>
      </c>
      <c r="AF74" s="77">
        <v>0</v>
      </c>
      <c r="AG74" s="77">
        <v>0</v>
      </c>
      <c r="AH74" s="77">
        <v>0</v>
      </c>
      <c r="AI74" s="77">
        <v>0</v>
      </c>
      <c r="AJ74" s="76">
        <v>0</v>
      </c>
      <c r="AK74" s="77">
        <v>0</v>
      </c>
    </row>
    <row r="75" spans="1:37" ht="14.25" customHeight="1">
      <c r="A75" s="80" t="s">
        <v>330</v>
      </c>
      <c r="B75" s="81">
        <v>0</v>
      </c>
      <c r="C75" s="81">
        <v>0</v>
      </c>
      <c r="D75" s="82">
        <v>0</v>
      </c>
      <c r="E75" s="81">
        <v>0</v>
      </c>
      <c r="F75" s="81">
        <v>0</v>
      </c>
      <c r="G75" s="82">
        <v>0</v>
      </c>
      <c r="H75" s="83"/>
      <c r="I75" s="83"/>
      <c r="J75" s="84"/>
      <c r="K75" s="81">
        <v>0</v>
      </c>
      <c r="L75" s="81">
        <v>0</v>
      </c>
      <c r="M75" s="82">
        <v>0</v>
      </c>
      <c r="N75" s="82">
        <v>0</v>
      </c>
      <c r="O75" s="81">
        <v>0</v>
      </c>
      <c r="P75" s="81">
        <v>677</v>
      </c>
      <c r="Q75" s="82">
        <v>0</v>
      </c>
      <c r="R75" s="81">
        <v>0</v>
      </c>
      <c r="S75" s="81">
        <v>0</v>
      </c>
      <c r="T75" s="81">
        <v>705.87400000000002</v>
      </c>
      <c r="U75" s="82">
        <v>0</v>
      </c>
      <c r="V75" s="81">
        <v>0</v>
      </c>
      <c r="W75" s="81">
        <v>0</v>
      </c>
      <c r="X75" s="81">
        <v>0</v>
      </c>
      <c r="Y75" s="82">
        <v>0</v>
      </c>
      <c r="Z75" s="82">
        <v>0</v>
      </c>
      <c r="AA75" s="82">
        <v>0</v>
      </c>
      <c r="AB75" s="82">
        <v>0</v>
      </c>
      <c r="AC75" s="82">
        <v>0</v>
      </c>
      <c r="AD75" s="82">
        <v>0</v>
      </c>
      <c r="AE75" s="82">
        <v>0</v>
      </c>
      <c r="AF75" s="82">
        <v>0</v>
      </c>
      <c r="AG75" s="82">
        <v>0</v>
      </c>
      <c r="AH75" s="82">
        <v>0</v>
      </c>
      <c r="AI75" s="82">
        <v>0</v>
      </c>
      <c r="AJ75" s="81">
        <v>0</v>
      </c>
      <c r="AK75" s="82">
        <v>0</v>
      </c>
    </row>
    <row r="76" spans="1:37" ht="14.25" customHeight="1">
      <c r="A76" s="75" t="s">
        <v>234</v>
      </c>
      <c r="B76" s="76">
        <v>0</v>
      </c>
      <c r="C76" s="76">
        <v>0</v>
      </c>
      <c r="D76" s="77">
        <v>0</v>
      </c>
      <c r="E76" s="76">
        <v>0</v>
      </c>
      <c r="F76" s="76">
        <v>0</v>
      </c>
      <c r="G76" s="77">
        <v>0</v>
      </c>
      <c r="H76" s="78"/>
      <c r="I76" s="78"/>
      <c r="J76" s="79"/>
      <c r="K76" s="76">
        <v>0</v>
      </c>
      <c r="L76" s="76">
        <v>0</v>
      </c>
      <c r="M76" s="77">
        <v>0</v>
      </c>
      <c r="N76" s="77">
        <v>0</v>
      </c>
      <c r="O76" s="76">
        <v>0</v>
      </c>
      <c r="P76" s="76">
        <v>648.24</v>
      </c>
      <c r="Q76" s="77">
        <v>0</v>
      </c>
      <c r="R76" s="76">
        <v>0</v>
      </c>
      <c r="S76" s="76">
        <v>0</v>
      </c>
      <c r="T76" s="76">
        <v>647.68899999999996</v>
      </c>
      <c r="U76" s="77">
        <v>0</v>
      </c>
      <c r="V76" s="76">
        <v>0</v>
      </c>
      <c r="W76" s="76">
        <v>0</v>
      </c>
      <c r="X76" s="76">
        <v>0</v>
      </c>
      <c r="Y76" s="77">
        <v>0</v>
      </c>
      <c r="Z76" s="77">
        <v>0</v>
      </c>
      <c r="AA76" s="77">
        <v>0</v>
      </c>
      <c r="AB76" s="77">
        <v>0</v>
      </c>
      <c r="AC76" s="77">
        <v>0</v>
      </c>
      <c r="AD76" s="77">
        <v>0</v>
      </c>
      <c r="AE76" s="77">
        <v>0</v>
      </c>
      <c r="AF76" s="77">
        <v>0</v>
      </c>
      <c r="AG76" s="77">
        <v>0</v>
      </c>
      <c r="AH76" s="77">
        <v>0</v>
      </c>
      <c r="AI76" s="77">
        <v>0</v>
      </c>
      <c r="AJ76" s="76">
        <v>0</v>
      </c>
      <c r="AK76" s="77">
        <v>0</v>
      </c>
    </row>
    <row r="77" spans="1:37" ht="14.25" customHeight="1">
      <c r="A77" s="80" t="s">
        <v>331</v>
      </c>
      <c r="B77" s="81">
        <v>0</v>
      </c>
      <c r="C77" s="81">
        <v>0</v>
      </c>
      <c r="D77" s="82">
        <v>0</v>
      </c>
      <c r="E77" s="81">
        <v>0</v>
      </c>
      <c r="F77" s="81">
        <v>0</v>
      </c>
      <c r="G77" s="82">
        <v>0</v>
      </c>
      <c r="H77" s="83"/>
      <c r="I77" s="83"/>
      <c r="J77" s="84"/>
      <c r="K77" s="81">
        <v>0</v>
      </c>
      <c r="L77" s="81">
        <v>0</v>
      </c>
      <c r="M77" s="82">
        <v>0</v>
      </c>
      <c r="N77" s="82">
        <v>0</v>
      </c>
      <c r="O77" s="81">
        <v>0</v>
      </c>
      <c r="P77" s="81">
        <v>532.08199999999999</v>
      </c>
      <c r="Q77" s="82">
        <v>0</v>
      </c>
      <c r="R77" s="81">
        <v>0</v>
      </c>
      <c r="S77" s="81">
        <v>0</v>
      </c>
      <c r="T77" s="81">
        <v>531.75199999999995</v>
      </c>
      <c r="U77" s="82">
        <v>0</v>
      </c>
      <c r="V77" s="81">
        <v>0</v>
      </c>
      <c r="W77" s="81">
        <v>0</v>
      </c>
      <c r="X77" s="81">
        <v>0</v>
      </c>
      <c r="Y77" s="82">
        <v>0</v>
      </c>
      <c r="Z77" s="82">
        <v>0</v>
      </c>
      <c r="AA77" s="82">
        <v>0</v>
      </c>
      <c r="AB77" s="82">
        <v>0</v>
      </c>
      <c r="AC77" s="82">
        <v>0</v>
      </c>
      <c r="AD77" s="82">
        <v>0</v>
      </c>
      <c r="AE77" s="82">
        <v>0</v>
      </c>
      <c r="AF77" s="82">
        <v>0</v>
      </c>
      <c r="AG77" s="82">
        <v>0</v>
      </c>
      <c r="AH77" s="82">
        <v>0</v>
      </c>
      <c r="AI77" s="82">
        <v>0</v>
      </c>
      <c r="AJ77" s="81">
        <v>0</v>
      </c>
      <c r="AK77" s="82">
        <v>0</v>
      </c>
    </row>
    <row r="78" spans="1:37" ht="14.25" customHeight="1">
      <c r="A78" s="75" t="s">
        <v>332</v>
      </c>
      <c r="B78" s="76">
        <v>0</v>
      </c>
      <c r="C78" s="76">
        <v>0</v>
      </c>
      <c r="D78" s="77">
        <v>0</v>
      </c>
      <c r="E78" s="76">
        <v>0</v>
      </c>
      <c r="F78" s="76">
        <v>0</v>
      </c>
      <c r="G78" s="77">
        <v>0</v>
      </c>
      <c r="H78" s="78"/>
      <c r="I78" s="78"/>
      <c r="J78" s="79"/>
      <c r="K78" s="76">
        <v>0</v>
      </c>
      <c r="L78" s="76">
        <v>0</v>
      </c>
      <c r="M78" s="77">
        <v>0</v>
      </c>
      <c r="N78" s="77">
        <v>0</v>
      </c>
      <c r="O78" s="76">
        <v>0</v>
      </c>
      <c r="P78" s="76">
        <v>578.46</v>
      </c>
      <c r="Q78" s="77">
        <v>0</v>
      </c>
      <c r="R78" s="76">
        <v>0</v>
      </c>
      <c r="S78" s="76">
        <v>0</v>
      </c>
      <c r="T78" s="76">
        <v>578.03399999999999</v>
      </c>
      <c r="U78" s="77">
        <v>0</v>
      </c>
      <c r="V78" s="76">
        <v>0</v>
      </c>
      <c r="W78" s="76">
        <v>0</v>
      </c>
      <c r="X78" s="76">
        <v>0</v>
      </c>
      <c r="Y78" s="77">
        <v>0</v>
      </c>
      <c r="Z78" s="77">
        <v>0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0</v>
      </c>
      <c r="AG78" s="77">
        <v>0</v>
      </c>
      <c r="AH78" s="77">
        <v>0</v>
      </c>
      <c r="AI78" s="77">
        <v>0</v>
      </c>
      <c r="AJ78" s="76">
        <v>0</v>
      </c>
      <c r="AK78" s="77">
        <v>0</v>
      </c>
    </row>
    <row r="79" spans="1:37" ht="14.25" customHeight="1">
      <c r="A79" s="80" t="s">
        <v>333</v>
      </c>
      <c r="B79" s="81">
        <v>0</v>
      </c>
      <c r="C79" s="81">
        <v>0</v>
      </c>
      <c r="D79" s="82">
        <v>0</v>
      </c>
      <c r="E79" s="81">
        <v>0</v>
      </c>
      <c r="F79" s="81">
        <v>0</v>
      </c>
      <c r="G79" s="82">
        <v>0</v>
      </c>
      <c r="H79" s="83"/>
      <c r="I79" s="83"/>
      <c r="J79" s="84"/>
      <c r="K79" s="81">
        <v>0</v>
      </c>
      <c r="L79" s="81">
        <v>0</v>
      </c>
      <c r="M79" s="82">
        <v>0</v>
      </c>
      <c r="N79" s="82">
        <v>0</v>
      </c>
      <c r="O79" s="81">
        <v>0</v>
      </c>
      <c r="P79" s="81">
        <v>544</v>
      </c>
      <c r="Q79" s="82">
        <v>0</v>
      </c>
      <c r="R79" s="81">
        <v>0</v>
      </c>
      <c r="S79" s="81">
        <v>0</v>
      </c>
      <c r="T79" s="81">
        <v>568.51099999999997</v>
      </c>
      <c r="U79" s="82">
        <v>0</v>
      </c>
      <c r="V79" s="81">
        <v>0</v>
      </c>
      <c r="W79" s="81">
        <v>0</v>
      </c>
      <c r="X79" s="81">
        <v>0</v>
      </c>
      <c r="Y79" s="82">
        <v>0</v>
      </c>
      <c r="Z79" s="82">
        <v>0</v>
      </c>
      <c r="AA79" s="82">
        <v>0</v>
      </c>
      <c r="AB79" s="82">
        <v>0</v>
      </c>
      <c r="AC79" s="82">
        <v>0</v>
      </c>
      <c r="AD79" s="82">
        <v>0</v>
      </c>
      <c r="AE79" s="82">
        <v>0</v>
      </c>
      <c r="AF79" s="82">
        <v>0</v>
      </c>
      <c r="AG79" s="82">
        <v>0</v>
      </c>
      <c r="AH79" s="82">
        <v>0</v>
      </c>
      <c r="AI79" s="82">
        <v>0</v>
      </c>
      <c r="AJ79" s="81">
        <v>0</v>
      </c>
      <c r="AK79" s="82">
        <v>0</v>
      </c>
    </row>
    <row r="80" spans="1:37" ht="14.25" customHeight="1">
      <c r="A80" s="75" t="s">
        <v>236</v>
      </c>
      <c r="B80" s="76">
        <v>0</v>
      </c>
      <c r="C80" s="76">
        <v>0</v>
      </c>
      <c r="D80" s="77">
        <v>0</v>
      </c>
      <c r="E80" s="76">
        <v>0</v>
      </c>
      <c r="F80" s="76">
        <v>0</v>
      </c>
      <c r="G80" s="77">
        <v>0</v>
      </c>
      <c r="H80" s="78"/>
      <c r="I80" s="78"/>
      <c r="J80" s="79"/>
      <c r="K80" s="76">
        <v>0</v>
      </c>
      <c r="L80" s="76">
        <v>0</v>
      </c>
      <c r="M80" s="77">
        <v>0</v>
      </c>
      <c r="N80" s="77">
        <v>0</v>
      </c>
      <c r="O80" s="76">
        <v>10.638</v>
      </c>
      <c r="P80" s="76">
        <v>548.76</v>
      </c>
      <c r="Q80" s="77">
        <v>5837.7088800000001</v>
      </c>
      <c r="R80" s="76">
        <v>0</v>
      </c>
      <c r="S80" s="76">
        <v>0</v>
      </c>
      <c r="T80" s="76">
        <v>572.53</v>
      </c>
      <c r="U80" s="77">
        <v>0</v>
      </c>
      <c r="V80" s="76">
        <v>0</v>
      </c>
      <c r="W80" s="76">
        <v>0</v>
      </c>
      <c r="X80" s="76">
        <v>0</v>
      </c>
      <c r="Y80" s="77">
        <v>0</v>
      </c>
      <c r="Z80" s="77">
        <v>0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77">
        <v>0</v>
      </c>
      <c r="AH80" s="77">
        <v>0</v>
      </c>
      <c r="AI80" s="77">
        <v>0</v>
      </c>
      <c r="AJ80" s="76">
        <v>10.638</v>
      </c>
      <c r="AK80" s="77">
        <v>5837.7088800000001</v>
      </c>
    </row>
    <row r="81" spans="1:37" ht="14.25" customHeight="1">
      <c r="A81" s="80" t="s">
        <v>334</v>
      </c>
      <c r="B81" s="81">
        <v>0</v>
      </c>
      <c r="C81" s="81">
        <v>0</v>
      </c>
      <c r="D81" s="82">
        <v>0</v>
      </c>
      <c r="E81" s="81">
        <v>0</v>
      </c>
      <c r="F81" s="81">
        <v>0</v>
      </c>
      <c r="G81" s="82">
        <v>0</v>
      </c>
      <c r="H81" s="83"/>
      <c r="I81" s="83"/>
      <c r="J81" s="84"/>
      <c r="K81" s="81">
        <v>0</v>
      </c>
      <c r="L81" s="81">
        <v>0</v>
      </c>
      <c r="M81" s="82">
        <v>0</v>
      </c>
      <c r="N81" s="82">
        <v>0</v>
      </c>
      <c r="O81" s="81">
        <v>22.951000000000001</v>
      </c>
      <c r="P81" s="81">
        <v>500</v>
      </c>
      <c r="Q81" s="82">
        <v>11475.5</v>
      </c>
      <c r="R81" s="81">
        <v>0</v>
      </c>
      <c r="S81" s="81">
        <v>0</v>
      </c>
      <c r="T81" s="81">
        <v>523.25300000000004</v>
      </c>
      <c r="U81" s="82">
        <v>0</v>
      </c>
      <c r="V81" s="81">
        <v>0</v>
      </c>
      <c r="W81" s="81">
        <v>0</v>
      </c>
      <c r="X81" s="81">
        <v>0</v>
      </c>
      <c r="Y81" s="82">
        <v>0</v>
      </c>
      <c r="Z81" s="82">
        <v>0</v>
      </c>
      <c r="AA81" s="82">
        <v>0</v>
      </c>
      <c r="AB81" s="82">
        <v>0</v>
      </c>
      <c r="AC81" s="82">
        <v>0</v>
      </c>
      <c r="AD81" s="82">
        <v>0</v>
      </c>
      <c r="AE81" s="82">
        <v>0</v>
      </c>
      <c r="AF81" s="82">
        <v>0</v>
      </c>
      <c r="AG81" s="82">
        <v>0</v>
      </c>
      <c r="AH81" s="82">
        <v>0</v>
      </c>
      <c r="AI81" s="82">
        <v>0</v>
      </c>
      <c r="AJ81" s="81">
        <v>22.951000000000001</v>
      </c>
      <c r="AK81" s="82">
        <v>11475.5</v>
      </c>
    </row>
    <row r="82" spans="1:37" ht="14.25" customHeight="1">
      <c r="A82" s="75" t="s">
        <v>335</v>
      </c>
      <c r="B82" s="76">
        <v>0</v>
      </c>
      <c r="C82" s="76">
        <v>0</v>
      </c>
      <c r="D82" s="77">
        <v>0</v>
      </c>
      <c r="E82" s="76">
        <v>0</v>
      </c>
      <c r="F82" s="76">
        <v>0</v>
      </c>
      <c r="G82" s="77">
        <v>0</v>
      </c>
      <c r="H82" s="78"/>
      <c r="I82" s="78"/>
      <c r="J82" s="79"/>
      <c r="K82" s="76">
        <v>0</v>
      </c>
      <c r="L82" s="76">
        <v>0</v>
      </c>
      <c r="M82" s="77">
        <v>0</v>
      </c>
      <c r="N82" s="77">
        <v>0</v>
      </c>
      <c r="O82" s="76">
        <v>22.859000000000002</v>
      </c>
      <c r="P82" s="76">
        <v>362</v>
      </c>
      <c r="Q82" s="77">
        <v>8274.9580000000005</v>
      </c>
      <c r="R82" s="76">
        <v>0</v>
      </c>
      <c r="S82" s="76">
        <v>0</v>
      </c>
      <c r="T82" s="76">
        <v>381.22199999999998</v>
      </c>
      <c r="U82" s="77">
        <v>0</v>
      </c>
      <c r="V82" s="76">
        <v>0</v>
      </c>
      <c r="W82" s="76">
        <v>0</v>
      </c>
      <c r="X82" s="76">
        <v>0</v>
      </c>
      <c r="Y82" s="77">
        <v>0</v>
      </c>
      <c r="Z82" s="77">
        <v>0</v>
      </c>
      <c r="AA82" s="77">
        <v>0</v>
      </c>
      <c r="AB82" s="77">
        <v>0</v>
      </c>
      <c r="AC82" s="77">
        <v>0</v>
      </c>
      <c r="AD82" s="77">
        <v>0</v>
      </c>
      <c r="AE82" s="77">
        <v>0</v>
      </c>
      <c r="AF82" s="77">
        <v>0</v>
      </c>
      <c r="AG82" s="77">
        <v>0</v>
      </c>
      <c r="AH82" s="77">
        <v>0</v>
      </c>
      <c r="AI82" s="77">
        <v>0</v>
      </c>
      <c r="AJ82" s="76">
        <v>22.859000000000002</v>
      </c>
      <c r="AK82" s="77">
        <v>8274.9580000000005</v>
      </c>
    </row>
    <row r="83" spans="1:37" ht="14.25" customHeight="1">
      <c r="A83" s="80" t="s">
        <v>336</v>
      </c>
      <c r="B83" s="81">
        <v>0</v>
      </c>
      <c r="C83" s="81">
        <v>0</v>
      </c>
      <c r="D83" s="82">
        <v>0</v>
      </c>
      <c r="E83" s="81">
        <v>0</v>
      </c>
      <c r="F83" s="81">
        <v>0</v>
      </c>
      <c r="G83" s="82">
        <v>0</v>
      </c>
      <c r="H83" s="83"/>
      <c r="I83" s="83"/>
      <c r="J83" s="84"/>
      <c r="K83" s="81">
        <v>0</v>
      </c>
      <c r="L83" s="81">
        <v>0</v>
      </c>
      <c r="M83" s="82">
        <v>0</v>
      </c>
      <c r="N83" s="82">
        <v>0</v>
      </c>
      <c r="O83" s="81">
        <v>22.859000000000002</v>
      </c>
      <c r="P83" s="81">
        <v>362.27600000000001</v>
      </c>
      <c r="Q83" s="82">
        <v>8281.2670839999992</v>
      </c>
      <c r="R83" s="81">
        <v>0</v>
      </c>
      <c r="S83" s="81">
        <v>0</v>
      </c>
      <c r="T83" s="81">
        <v>381.65699999999998</v>
      </c>
      <c r="U83" s="82">
        <v>0</v>
      </c>
      <c r="V83" s="81">
        <v>0</v>
      </c>
      <c r="W83" s="81">
        <v>0</v>
      </c>
      <c r="X83" s="81">
        <v>0</v>
      </c>
      <c r="Y83" s="82">
        <v>0</v>
      </c>
      <c r="Z83" s="82">
        <v>0</v>
      </c>
      <c r="AA83" s="82">
        <v>0</v>
      </c>
      <c r="AB83" s="82">
        <v>0</v>
      </c>
      <c r="AC83" s="82">
        <v>0</v>
      </c>
      <c r="AD83" s="82">
        <v>0</v>
      </c>
      <c r="AE83" s="82">
        <v>0</v>
      </c>
      <c r="AF83" s="82">
        <v>0</v>
      </c>
      <c r="AG83" s="82">
        <v>0</v>
      </c>
      <c r="AH83" s="82">
        <v>0</v>
      </c>
      <c r="AI83" s="82">
        <v>0</v>
      </c>
      <c r="AJ83" s="81">
        <v>22.859000000000002</v>
      </c>
      <c r="AK83" s="82">
        <v>8281.2670839999992</v>
      </c>
    </row>
    <row r="84" spans="1:37" ht="14.25" customHeight="1">
      <c r="A84" s="75" t="s">
        <v>237</v>
      </c>
      <c r="B84" s="76">
        <v>0</v>
      </c>
      <c r="C84" s="76">
        <v>0</v>
      </c>
      <c r="D84" s="77">
        <v>0</v>
      </c>
      <c r="E84" s="76">
        <v>0</v>
      </c>
      <c r="F84" s="76">
        <v>0</v>
      </c>
      <c r="G84" s="77">
        <v>0</v>
      </c>
      <c r="H84" s="78"/>
      <c r="I84" s="78"/>
      <c r="J84" s="79"/>
      <c r="K84" s="76">
        <v>0</v>
      </c>
      <c r="L84" s="76">
        <v>0</v>
      </c>
      <c r="M84" s="77">
        <v>0</v>
      </c>
      <c r="N84" s="77">
        <v>0</v>
      </c>
      <c r="O84" s="76">
        <v>22.859000000000002</v>
      </c>
      <c r="P84" s="76">
        <v>370.31700000000001</v>
      </c>
      <c r="Q84" s="77">
        <v>8465.0763029999998</v>
      </c>
      <c r="R84" s="76">
        <v>0</v>
      </c>
      <c r="S84" s="76">
        <v>0</v>
      </c>
      <c r="T84" s="76">
        <v>389.85599999999999</v>
      </c>
      <c r="U84" s="77">
        <v>0</v>
      </c>
      <c r="V84" s="76">
        <v>0</v>
      </c>
      <c r="W84" s="76">
        <v>0</v>
      </c>
      <c r="X84" s="76">
        <v>0</v>
      </c>
      <c r="Y84" s="77">
        <v>0</v>
      </c>
      <c r="Z84" s="77">
        <v>0</v>
      </c>
      <c r="AA84" s="77">
        <v>0</v>
      </c>
      <c r="AB84" s="77">
        <v>0</v>
      </c>
      <c r="AC84" s="77">
        <v>0</v>
      </c>
      <c r="AD84" s="77">
        <v>0</v>
      </c>
      <c r="AE84" s="77">
        <v>0</v>
      </c>
      <c r="AF84" s="77">
        <v>0</v>
      </c>
      <c r="AG84" s="77">
        <v>0</v>
      </c>
      <c r="AH84" s="77">
        <v>0</v>
      </c>
      <c r="AI84" s="77">
        <v>0</v>
      </c>
      <c r="AJ84" s="76">
        <v>22.859000000000002</v>
      </c>
      <c r="AK84" s="77">
        <v>8465.0763029999998</v>
      </c>
    </row>
    <row r="85" spans="1:37" ht="14.25" customHeight="1">
      <c r="A85" s="80" t="s">
        <v>337</v>
      </c>
      <c r="B85" s="81">
        <v>0</v>
      </c>
      <c r="C85" s="81">
        <v>0</v>
      </c>
      <c r="D85" s="82">
        <v>0</v>
      </c>
      <c r="E85" s="81">
        <v>0</v>
      </c>
      <c r="F85" s="81">
        <v>0</v>
      </c>
      <c r="G85" s="82">
        <v>0</v>
      </c>
      <c r="H85" s="83"/>
      <c r="I85" s="83"/>
      <c r="J85" s="84"/>
      <c r="K85" s="81">
        <v>0</v>
      </c>
      <c r="L85" s="81">
        <v>0</v>
      </c>
      <c r="M85" s="82">
        <v>0</v>
      </c>
      <c r="N85" s="82">
        <v>0</v>
      </c>
      <c r="O85" s="81">
        <v>22.859000000000002</v>
      </c>
      <c r="P85" s="81">
        <v>360.23399999999998</v>
      </c>
      <c r="Q85" s="82">
        <v>8234.5890060000002</v>
      </c>
      <c r="R85" s="81">
        <v>0</v>
      </c>
      <c r="S85" s="81">
        <v>0</v>
      </c>
      <c r="T85" s="81">
        <v>400.54300000000001</v>
      </c>
      <c r="U85" s="82">
        <v>0</v>
      </c>
      <c r="V85" s="81">
        <v>0</v>
      </c>
      <c r="W85" s="81">
        <v>0</v>
      </c>
      <c r="X85" s="81">
        <v>0</v>
      </c>
      <c r="Y85" s="82">
        <v>0</v>
      </c>
      <c r="Z85" s="82">
        <v>0</v>
      </c>
      <c r="AA85" s="82">
        <v>0</v>
      </c>
      <c r="AB85" s="82">
        <v>0</v>
      </c>
      <c r="AC85" s="82">
        <v>0</v>
      </c>
      <c r="AD85" s="82">
        <v>0</v>
      </c>
      <c r="AE85" s="82">
        <v>0</v>
      </c>
      <c r="AF85" s="82">
        <v>0</v>
      </c>
      <c r="AG85" s="82">
        <v>0</v>
      </c>
      <c r="AH85" s="82">
        <v>0</v>
      </c>
      <c r="AI85" s="82">
        <v>0</v>
      </c>
      <c r="AJ85" s="81">
        <v>22.859000000000002</v>
      </c>
      <c r="AK85" s="82">
        <v>8234.5890060000002</v>
      </c>
    </row>
    <row r="86" spans="1:37" ht="14.25" customHeight="1">
      <c r="A86" s="75" t="s">
        <v>338</v>
      </c>
      <c r="B86" s="76">
        <v>0</v>
      </c>
      <c r="C86" s="76">
        <v>0</v>
      </c>
      <c r="D86" s="77">
        <v>0</v>
      </c>
      <c r="E86" s="76">
        <v>0</v>
      </c>
      <c r="F86" s="76">
        <v>0</v>
      </c>
      <c r="G86" s="77">
        <v>0</v>
      </c>
      <c r="H86" s="78"/>
      <c r="I86" s="78"/>
      <c r="J86" s="79"/>
      <c r="K86" s="76">
        <v>0</v>
      </c>
      <c r="L86" s="76">
        <v>0</v>
      </c>
      <c r="M86" s="77">
        <v>0</v>
      </c>
      <c r="N86" s="77">
        <v>0</v>
      </c>
      <c r="O86" s="76">
        <v>22.859000000000002</v>
      </c>
      <c r="P86" s="76">
        <v>363.822</v>
      </c>
      <c r="Q86" s="77">
        <v>8316.6070980000004</v>
      </c>
      <c r="R86" s="76">
        <v>0</v>
      </c>
      <c r="S86" s="76">
        <v>0</v>
      </c>
      <c r="T86" s="76">
        <v>394.17200000000003</v>
      </c>
      <c r="U86" s="77">
        <v>0</v>
      </c>
      <c r="V86" s="76">
        <v>0</v>
      </c>
      <c r="W86" s="76">
        <v>0</v>
      </c>
      <c r="X86" s="76">
        <v>0</v>
      </c>
      <c r="Y86" s="77">
        <v>0</v>
      </c>
      <c r="Z86" s="77">
        <v>0</v>
      </c>
      <c r="AA86" s="77">
        <v>0</v>
      </c>
      <c r="AB86" s="77">
        <v>0</v>
      </c>
      <c r="AC86" s="77">
        <v>0</v>
      </c>
      <c r="AD86" s="77">
        <v>0</v>
      </c>
      <c r="AE86" s="77">
        <v>0</v>
      </c>
      <c r="AF86" s="77">
        <v>0</v>
      </c>
      <c r="AG86" s="77">
        <v>0</v>
      </c>
      <c r="AH86" s="77">
        <v>0</v>
      </c>
      <c r="AI86" s="77">
        <v>0</v>
      </c>
      <c r="AJ86" s="76">
        <v>22.859000000000002</v>
      </c>
      <c r="AK86" s="77">
        <v>8316.6070980000004</v>
      </c>
    </row>
    <row r="87" spans="1:37" ht="14.25" customHeight="1">
      <c r="A87" s="80" t="s">
        <v>339</v>
      </c>
      <c r="B87" s="81">
        <v>0</v>
      </c>
      <c r="C87" s="81">
        <v>0</v>
      </c>
      <c r="D87" s="82">
        <v>0</v>
      </c>
      <c r="E87" s="81">
        <v>0</v>
      </c>
      <c r="F87" s="81">
        <v>0</v>
      </c>
      <c r="G87" s="82">
        <v>0</v>
      </c>
      <c r="H87" s="83"/>
      <c r="I87" s="83"/>
      <c r="J87" s="84"/>
      <c r="K87" s="81">
        <v>0</v>
      </c>
      <c r="L87" s="81">
        <v>0</v>
      </c>
      <c r="M87" s="82">
        <v>0</v>
      </c>
      <c r="N87" s="82">
        <v>0</v>
      </c>
      <c r="O87" s="81">
        <v>11.693</v>
      </c>
      <c r="P87" s="81">
        <v>362.27600000000001</v>
      </c>
      <c r="Q87" s="82">
        <v>4236.0932679999996</v>
      </c>
      <c r="R87" s="81">
        <v>0</v>
      </c>
      <c r="S87" s="81">
        <v>0</v>
      </c>
      <c r="T87" s="81">
        <v>381.63099999999997</v>
      </c>
      <c r="U87" s="82">
        <v>0</v>
      </c>
      <c r="V87" s="81">
        <v>0</v>
      </c>
      <c r="W87" s="81">
        <v>0</v>
      </c>
      <c r="X87" s="81">
        <v>0</v>
      </c>
      <c r="Y87" s="82">
        <v>0</v>
      </c>
      <c r="Z87" s="82">
        <v>0</v>
      </c>
      <c r="AA87" s="82">
        <v>0</v>
      </c>
      <c r="AB87" s="82">
        <v>0</v>
      </c>
      <c r="AC87" s="82">
        <v>0</v>
      </c>
      <c r="AD87" s="82">
        <v>0</v>
      </c>
      <c r="AE87" s="82">
        <v>0</v>
      </c>
      <c r="AF87" s="82">
        <v>0</v>
      </c>
      <c r="AG87" s="82">
        <v>0</v>
      </c>
      <c r="AH87" s="82">
        <v>0</v>
      </c>
      <c r="AI87" s="82">
        <v>0</v>
      </c>
      <c r="AJ87" s="81">
        <v>11.693</v>
      </c>
      <c r="AK87" s="82">
        <v>4236.0932679999996</v>
      </c>
    </row>
    <row r="88" spans="1:37" ht="14.25" customHeight="1">
      <c r="A88" s="75" t="s">
        <v>238</v>
      </c>
      <c r="B88" s="76">
        <v>0</v>
      </c>
      <c r="C88" s="76">
        <v>0</v>
      </c>
      <c r="D88" s="77">
        <v>0</v>
      </c>
      <c r="E88" s="76">
        <v>0</v>
      </c>
      <c r="F88" s="76">
        <v>0</v>
      </c>
      <c r="G88" s="77">
        <v>0</v>
      </c>
      <c r="H88" s="78"/>
      <c r="I88" s="78"/>
      <c r="J88" s="79"/>
      <c r="K88" s="76">
        <v>0</v>
      </c>
      <c r="L88" s="76">
        <v>0</v>
      </c>
      <c r="M88" s="77">
        <v>0</v>
      </c>
      <c r="N88" s="77">
        <v>0</v>
      </c>
      <c r="O88" s="76">
        <v>0</v>
      </c>
      <c r="P88" s="76">
        <v>490.38</v>
      </c>
      <c r="Q88" s="77">
        <v>0</v>
      </c>
      <c r="R88" s="76">
        <v>0</v>
      </c>
      <c r="S88" s="76">
        <v>0</v>
      </c>
      <c r="T88" s="76">
        <v>491.81400000000002</v>
      </c>
      <c r="U88" s="77">
        <v>0</v>
      </c>
      <c r="V88" s="76">
        <v>0</v>
      </c>
      <c r="W88" s="76">
        <v>0</v>
      </c>
      <c r="X88" s="76">
        <v>0</v>
      </c>
      <c r="Y88" s="77">
        <v>0</v>
      </c>
      <c r="Z88" s="77">
        <v>0</v>
      </c>
      <c r="AA88" s="77">
        <v>0</v>
      </c>
      <c r="AB88" s="77">
        <v>0</v>
      </c>
      <c r="AC88" s="77">
        <v>0</v>
      </c>
      <c r="AD88" s="77">
        <v>0</v>
      </c>
      <c r="AE88" s="77">
        <v>0</v>
      </c>
      <c r="AF88" s="77">
        <v>0</v>
      </c>
      <c r="AG88" s="77">
        <v>0</v>
      </c>
      <c r="AH88" s="77">
        <v>0</v>
      </c>
      <c r="AI88" s="77">
        <v>0</v>
      </c>
      <c r="AJ88" s="76">
        <v>0</v>
      </c>
      <c r="AK88" s="77">
        <v>0</v>
      </c>
    </row>
    <row r="89" spans="1:37" ht="14.25" customHeight="1">
      <c r="A89" s="80" t="s">
        <v>340</v>
      </c>
      <c r="B89" s="81">
        <v>0</v>
      </c>
      <c r="C89" s="81">
        <v>0</v>
      </c>
      <c r="D89" s="82">
        <v>0</v>
      </c>
      <c r="E89" s="81">
        <v>0</v>
      </c>
      <c r="F89" s="81">
        <v>0</v>
      </c>
      <c r="G89" s="82">
        <v>0</v>
      </c>
      <c r="H89" s="83"/>
      <c r="I89" s="83"/>
      <c r="J89" s="84"/>
      <c r="K89" s="81">
        <v>0</v>
      </c>
      <c r="L89" s="81">
        <v>0</v>
      </c>
      <c r="M89" s="82">
        <v>0</v>
      </c>
      <c r="N89" s="82">
        <v>0</v>
      </c>
      <c r="O89" s="81">
        <v>0</v>
      </c>
      <c r="P89" s="81">
        <v>458.4</v>
      </c>
      <c r="Q89" s="82">
        <v>0</v>
      </c>
      <c r="R89" s="81">
        <v>0</v>
      </c>
      <c r="S89" s="81">
        <v>0</v>
      </c>
      <c r="T89" s="81">
        <v>461.88200000000001</v>
      </c>
      <c r="U89" s="82">
        <v>0</v>
      </c>
      <c r="V89" s="81">
        <v>0</v>
      </c>
      <c r="W89" s="81">
        <v>0</v>
      </c>
      <c r="X89" s="81">
        <v>0</v>
      </c>
      <c r="Y89" s="82">
        <v>0</v>
      </c>
      <c r="Z89" s="82">
        <v>0</v>
      </c>
      <c r="AA89" s="82">
        <v>0</v>
      </c>
      <c r="AB89" s="82">
        <v>0</v>
      </c>
      <c r="AC89" s="82">
        <v>0</v>
      </c>
      <c r="AD89" s="82">
        <v>0</v>
      </c>
      <c r="AE89" s="82">
        <v>0</v>
      </c>
      <c r="AF89" s="82">
        <v>0</v>
      </c>
      <c r="AG89" s="82">
        <v>0</v>
      </c>
      <c r="AH89" s="82">
        <v>0</v>
      </c>
      <c r="AI89" s="82">
        <v>0</v>
      </c>
      <c r="AJ89" s="81">
        <v>0</v>
      </c>
      <c r="AK89" s="82">
        <v>0</v>
      </c>
    </row>
    <row r="90" spans="1:37" ht="14.25" customHeight="1">
      <c r="A90" s="75" t="s">
        <v>341</v>
      </c>
      <c r="B90" s="76">
        <v>0</v>
      </c>
      <c r="C90" s="76">
        <v>0</v>
      </c>
      <c r="D90" s="77">
        <v>0</v>
      </c>
      <c r="E90" s="76">
        <v>0</v>
      </c>
      <c r="F90" s="76">
        <v>0</v>
      </c>
      <c r="G90" s="77">
        <v>0</v>
      </c>
      <c r="H90" s="78"/>
      <c r="I90" s="78"/>
      <c r="J90" s="79"/>
      <c r="K90" s="76">
        <v>0</v>
      </c>
      <c r="L90" s="76">
        <v>0</v>
      </c>
      <c r="M90" s="77">
        <v>0</v>
      </c>
      <c r="N90" s="77">
        <v>0</v>
      </c>
      <c r="O90" s="76">
        <v>0</v>
      </c>
      <c r="P90" s="76">
        <v>469.32499999999999</v>
      </c>
      <c r="Q90" s="77">
        <v>0</v>
      </c>
      <c r="R90" s="76">
        <v>0</v>
      </c>
      <c r="S90" s="76">
        <v>0</v>
      </c>
      <c r="T90" s="76">
        <v>471.86599999999999</v>
      </c>
      <c r="U90" s="77">
        <v>0</v>
      </c>
      <c r="V90" s="76">
        <v>0</v>
      </c>
      <c r="W90" s="76">
        <v>0</v>
      </c>
      <c r="X90" s="76">
        <v>0</v>
      </c>
      <c r="Y90" s="77">
        <v>0</v>
      </c>
      <c r="Z90" s="77">
        <v>0</v>
      </c>
      <c r="AA90" s="77">
        <v>0</v>
      </c>
      <c r="AB90" s="77">
        <v>0</v>
      </c>
      <c r="AC90" s="77">
        <v>0</v>
      </c>
      <c r="AD90" s="77">
        <v>0</v>
      </c>
      <c r="AE90" s="77">
        <v>0</v>
      </c>
      <c r="AF90" s="77">
        <v>0</v>
      </c>
      <c r="AG90" s="77">
        <v>0</v>
      </c>
      <c r="AH90" s="77">
        <v>0</v>
      </c>
      <c r="AI90" s="77">
        <v>0</v>
      </c>
      <c r="AJ90" s="76">
        <v>0</v>
      </c>
      <c r="AK90" s="77">
        <v>0</v>
      </c>
    </row>
    <row r="91" spans="1:37" ht="14.25" customHeight="1">
      <c r="A91" s="80" t="s">
        <v>342</v>
      </c>
      <c r="B91" s="81">
        <v>0</v>
      </c>
      <c r="C91" s="81">
        <v>0</v>
      </c>
      <c r="D91" s="82">
        <v>0</v>
      </c>
      <c r="E91" s="81">
        <v>0</v>
      </c>
      <c r="F91" s="81">
        <v>0</v>
      </c>
      <c r="G91" s="82">
        <v>0</v>
      </c>
      <c r="H91" s="83"/>
      <c r="I91" s="83"/>
      <c r="J91" s="84"/>
      <c r="K91" s="81">
        <v>0</v>
      </c>
      <c r="L91" s="81">
        <v>0</v>
      </c>
      <c r="M91" s="82">
        <v>0</v>
      </c>
      <c r="N91" s="82">
        <v>0</v>
      </c>
      <c r="O91" s="81">
        <v>0</v>
      </c>
      <c r="P91" s="81">
        <v>448.47800000000001</v>
      </c>
      <c r="Q91" s="82">
        <v>0</v>
      </c>
      <c r="R91" s="81">
        <v>0</v>
      </c>
      <c r="S91" s="81">
        <v>0</v>
      </c>
      <c r="T91" s="81">
        <v>452.09899999999999</v>
      </c>
      <c r="U91" s="82">
        <v>0</v>
      </c>
      <c r="V91" s="81">
        <v>0</v>
      </c>
      <c r="W91" s="81">
        <v>0</v>
      </c>
      <c r="X91" s="81">
        <v>0</v>
      </c>
      <c r="Y91" s="82">
        <v>0</v>
      </c>
      <c r="Z91" s="82">
        <v>0</v>
      </c>
      <c r="AA91" s="82">
        <v>0</v>
      </c>
      <c r="AB91" s="82">
        <v>0</v>
      </c>
      <c r="AC91" s="82">
        <v>0</v>
      </c>
      <c r="AD91" s="82">
        <v>0</v>
      </c>
      <c r="AE91" s="82">
        <v>0</v>
      </c>
      <c r="AF91" s="82">
        <v>0</v>
      </c>
      <c r="AG91" s="82">
        <v>0</v>
      </c>
      <c r="AH91" s="82">
        <v>0</v>
      </c>
      <c r="AI91" s="82">
        <v>0</v>
      </c>
      <c r="AJ91" s="81">
        <v>0</v>
      </c>
      <c r="AK91" s="82">
        <v>0</v>
      </c>
    </row>
    <row r="92" spans="1:37" ht="14.25" customHeight="1">
      <c r="A92" s="75" t="s">
        <v>239</v>
      </c>
      <c r="B92" s="76">
        <v>0</v>
      </c>
      <c r="C92" s="76">
        <v>0</v>
      </c>
      <c r="D92" s="77">
        <v>0</v>
      </c>
      <c r="E92" s="76">
        <v>0</v>
      </c>
      <c r="F92" s="76">
        <v>0</v>
      </c>
      <c r="G92" s="77">
        <v>0</v>
      </c>
      <c r="H92" s="78"/>
      <c r="I92" s="78"/>
      <c r="J92" s="79"/>
      <c r="K92" s="76">
        <v>0</v>
      </c>
      <c r="L92" s="76">
        <v>0</v>
      </c>
      <c r="M92" s="77">
        <v>0</v>
      </c>
      <c r="N92" s="77">
        <v>0</v>
      </c>
      <c r="O92" s="76">
        <v>0</v>
      </c>
      <c r="P92" s="76">
        <v>413.6</v>
      </c>
      <c r="Q92" s="77">
        <v>0</v>
      </c>
      <c r="R92" s="76">
        <v>0</v>
      </c>
      <c r="S92" s="76">
        <v>0</v>
      </c>
      <c r="T92" s="76">
        <v>425.28699999999998</v>
      </c>
      <c r="U92" s="77">
        <v>0</v>
      </c>
      <c r="V92" s="76">
        <v>0</v>
      </c>
      <c r="W92" s="76">
        <v>0</v>
      </c>
      <c r="X92" s="76">
        <v>0</v>
      </c>
      <c r="Y92" s="77">
        <v>0</v>
      </c>
      <c r="Z92" s="77">
        <v>0</v>
      </c>
      <c r="AA92" s="77">
        <v>0</v>
      </c>
      <c r="AB92" s="77">
        <v>0</v>
      </c>
      <c r="AC92" s="77">
        <v>0</v>
      </c>
      <c r="AD92" s="77">
        <v>0</v>
      </c>
      <c r="AE92" s="77">
        <v>0</v>
      </c>
      <c r="AF92" s="77">
        <v>0</v>
      </c>
      <c r="AG92" s="77">
        <v>0</v>
      </c>
      <c r="AH92" s="77">
        <v>0</v>
      </c>
      <c r="AI92" s="77">
        <v>0</v>
      </c>
      <c r="AJ92" s="76">
        <v>0</v>
      </c>
      <c r="AK92" s="77">
        <v>0</v>
      </c>
    </row>
    <row r="93" spans="1:37" ht="14.25" customHeight="1">
      <c r="A93" s="80" t="s">
        <v>343</v>
      </c>
      <c r="B93" s="81">
        <v>0</v>
      </c>
      <c r="C93" s="81">
        <v>0</v>
      </c>
      <c r="D93" s="82">
        <v>0</v>
      </c>
      <c r="E93" s="81">
        <v>0</v>
      </c>
      <c r="F93" s="81">
        <v>0</v>
      </c>
      <c r="G93" s="82">
        <v>0</v>
      </c>
      <c r="H93" s="83"/>
      <c r="I93" s="83"/>
      <c r="J93" s="84"/>
      <c r="K93" s="81">
        <v>0</v>
      </c>
      <c r="L93" s="81">
        <v>0</v>
      </c>
      <c r="M93" s="82">
        <v>0</v>
      </c>
      <c r="N93" s="82">
        <v>0</v>
      </c>
      <c r="O93" s="81">
        <v>0</v>
      </c>
      <c r="P93" s="81">
        <v>444.39800000000002</v>
      </c>
      <c r="Q93" s="82">
        <v>0</v>
      </c>
      <c r="R93" s="81">
        <v>0</v>
      </c>
      <c r="S93" s="81">
        <v>0</v>
      </c>
      <c r="T93" s="81">
        <v>450.73099999999999</v>
      </c>
      <c r="U93" s="82">
        <v>0</v>
      </c>
      <c r="V93" s="81">
        <v>0</v>
      </c>
      <c r="W93" s="81">
        <v>0</v>
      </c>
      <c r="X93" s="81">
        <v>0</v>
      </c>
      <c r="Y93" s="82">
        <v>0</v>
      </c>
      <c r="Z93" s="82">
        <v>0</v>
      </c>
      <c r="AA93" s="82">
        <v>0</v>
      </c>
      <c r="AB93" s="82">
        <v>0</v>
      </c>
      <c r="AC93" s="82">
        <v>0</v>
      </c>
      <c r="AD93" s="82">
        <v>0</v>
      </c>
      <c r="AE93" s="82">
        <v>0</v>
      </c>
      <c r="AF93" s="82">
        <v>0</v>
      </c>
      <c r="AG93" s="82">
        <v>0</v>
      </c>
      <c r="AH93" s="82">
        <v>0</v>
      </c>
      <c r="AI93" s="82">
        <v>0</v>
      </c>
      <c r="AJ93" s="81">
        <v>0</v>
      </c>
      <c r="AK93" s="82">
        <v>0</v>
      </c>
    </row>
    <row r="94" spans="1:37" ht="14.25" customHeight="1">
      <c r="A94" s="75" t="s">
        <v>344</v>
      </c>
      <c r="B94" s="76">
        <v>0</v>
      </c>
      <c r="C94" s="76">
        <v>0</v>
      </c>
      <c r="D94" s="77">
        <v>0</v>
      </c>
      <c r="E94" s="76">
        <v>0</v>
      </c>
      <c r="F94" s="76">
        <v>0</v>
      </c>
      <c r="G94" s="77">
        <v>0</v>
      </c>
      <c r="H94" s="78"/>
      <c r="I94" s="78"/>
      <c r="J94" s="79"/>
      <c r="K94" s="76">
        <v>0</v>
      </c>
      <c r="L94" s="76">
        <v>0</v>
      </c>
      <c r="M94" s="77">
        <v>0</v>
      </c>
      <c r="N94" s="77">
        <v>0</v>
      </c>
      <c r="O94" s="76">
        <v>1.758</v>
      </c>
      <c r="P94" s="76">
        <v>466.02800000000002</v>
      </c>
      <c r="Q94" s="77">
        <v>819.27722400000005</v>
      </c>
      <c r="R94" s="76">
        <v>0</v>
      </c>
      <c r="S94" s="76">
        <v>0</v>
      </c>
      <c r="T94" s="76">
        <v>471.52800000000002</v>
      </c>
      <c r="U94" s="77">
        <v>0</v>
      </c>
      <c r="V94" s="76">
        <v>0</v>
      </c>
      <c r="W94" s="76">
        <v>0</v>
      </c>
      <c r="X94" s="76">
        <v>0</v>
      </c>
      <c r="Y94" s="77">
        <v>0</v>
      </c>
      <c r="Z94" s="77">
        <v>0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6">
        <v>1.758</v>
      </c>
      <c r="AK94" s="77">
        <v>819.27722400000005</v>
      </c>
    </row>
    <row r="95" spans="1:37" ht="14.25" customHeight="1">
      <c r="A95" s="80" t="s">
        <v>345</v>
      </c>
      <c r="B95" s="81">
        <v>0</v>
      </c>
      <c r="C95" s="81">
        <v>0</v>
      </c>
      <c r="D95" s="82">
        <v>0</v>
      </c>
      <c r="E95" s="81">
        <v>0</v>
      </c>
      <c r="F95" s="81">
        <v>0</v>
      </c>
      <c r="G95" s="82">
        <v>0</v>
      </c>
      <c r="H95" s="83"/>
      <c r="I95" s="83"/>
      <c r="J95" s="84"/>
      <c r="K95" s="81">
        <v>0</v>
      </c>
      <c r="L95" s="81">
        <v>0</v>
      </c>
      <c r="M95" s="82">
        <v>0</v>
      </c>
      <c r="N95" s="82">
        <v>0</v>
      </c>
      <c r="O95" s="81">
        <v>1.9339999999999999</v>
      </c>
      <c r="P95" s="81">
        <v>472.32</v>
      </c>
      <c r="Q95" s="82">
        <v>913.46687999999995</v>
      </c>
      <c r="R95" s="81">
        <v>0</v>
      </c>
      <c r="S95" s="81">
        <v>0</v>
      </c>
      <c r="T95" s="81">
        <v>475.00900000000001</v>
      </c>
      <c r="U95" s="82">
        <v>0</v>
      </c>
      <c r="V95" s="81">
        <v>0</v>
      </c>
      <c r="W95" s="81">
        <v>0</v>
      </c>
      <c r="X95" s="81">
        <v>0</v>
      </c>
      <c r="Y95" s="82">
        <v>0</v>
      </c>
      <c r="Z95" s="82">
        <v>0</v>
      </c>
      <c r="AA95" s="82">
        <v>0</v>
      </c>
      <c r="AB95" s="82">
        <v>0</v>
      </c>
      <c r="AC95" s="82">
        <v>0</v>
      </c>
      <c r="AD95" s="82">
        <v>0</v>
      </c>
      <c r="AE95" s="82">
        <v>0</v>
      </c>
      <c r="AF95" s="82">
        <v>0</v>
      </c>
      <c r="AG95" s="82">
        <v>0</v>
      </c>
      <c r="AH95" s="82">
        <v>0</v>
      </c>
      <c r="AI95" s="82">
        <v>0</v>
      </c>
      <c r="AJ95" s="81">
        <v>1.9339999999999999</v>
      </c>
      <c r="AK95" s="82">
        <v>913.46687999999995</v>
      </c>
    </row>
    <row r="96" spans="1:37" ht="14.25" customHeight="1">
      <c r="A96" s="75" t="s">
        <v>240</v>
      </c>
      <c r="B96" s="76">
        <v>0</v>
      </c>
      <c r="C96" s="76">
        <v>0</v>
      </c>
      <c r="D96" s="77">
        <v>0</v>
      </c>
      <c r="E96" s="76">
        <v>0</v>
      </c>
      <c r="F96" s="76">
        <v>0</v>
      </c>
      <c r="G96" s="77">
        <v>0</v>
      </c>
      <c r="H96" s="78"/>
      <c r="I96" s="78"/>
      <c r="J96" s="79"/>
      <c r="K96" s="76">
        <v>0</v>
      </c>
      <c r="L96" s="76">
        <v>0</v>
      </c>
      <c r="M96" s="77">
        <v>0</v>
      </c>
      <c r="N96" s="77">
        <v>0</v>
      </c>
      <c r="O96" s="76">
        <v>0</v>
      </c>
      <c r="P96" s="76">
        <v>412.94</v>
      </c>
      <c r="Q96" s="77">
        <v>0</v>
      </c>
      <c r="R96" s="76">
        <v>0</v>
      </c>
      <c r="S96" s="76">
        <v>0</v>
      </c>
      <c r="T96" s="76">
        <v>420.43299999999999</v>
      </c>
      <c r="U96" s="77">
        <v>0</v>
      </c>
      <c r="V96" s="76">
        <v>0</v>
      </c>
      <c r="W96" s="76">
        <v>0</v>
      </c>
      <c r="X96" s="76">
        <v>0</v>
      </c>
      <c r="Y96" s="77">
        <v>0</v>
      </c>
      <c r="Z96" s="77">
        <v>0</v>
      </c>
      <c r="AA96" s="77">
        <v>0</v>
      </c>
      <c r="AB96" s="77">
        <v>0</v>
      </c>
      <c r="AC96" s="77">
        <v>0</v>
      </c>
      <c r="AD96" s="77">
        <v>0</v>
      </c>
      <c r="AE96" s="77">
        <v>0</v>
      </c>
      <c r="AF96" s="77">
        <v>0</v>
      </c>
      <c r="AG96" s="77">
        <v>0</v>
      </c>
      <c r="AH96" s="77">
        <v>0</v>
      </c>
      <c r="AI96" s="77">
        <v>0</v>
      </c>
      <c r="AJ96" s="76">
        <v>0</v>
      </c>
      <c r="AK96" s="77">
        <v>0</v>
      </c>
    </row>
    <row r="97" spans="1:37" ht="14.25" customHeight="1">
      <c r="A97" s="80" t="s">
        <v>346</v>
      </c>
      <c r="B97" s="81">
        <v>0</v>
      </c>
      <c r="C97" s="81">
        <v>0</v>
      </c>
      <c r="D97" s="82">
        <v>0</v>
      </c>
      <c r="E97" s="81">
        <v>0</v>
      </c>
      <c r="F97" s="81">
        <v>0</v>
      </c>
      <c r="G97" s="82">
        <v>0</v>
      </c>
      <c r="H97" s="83"/>
      <c r="I97" s="83"/>
      <c r="J97" s="84"/>
      <c r="K97" s="81">
        <v>0</v>
      </c>
      <c r="L97" s="81">
        <v>0</v>
      </c>
      <c r="M97" s="82">
        <v>0</v>
      </c>
      <c r="N97" s="82">
        <v>0</v>
      </c>
      <c r="O97" s="81">
        <v>0</v>
      </c>
      <c r="P97" s="81">
        <v>453.98</v>
      </c>
      <c r="Q97" s="82">
        <v>0</v>
      </c>
      <c r="R97" s="81">
        <v>0</v>
      </c>
      <c r="S97" s="81">
        <v>0</v>
      </c>
      <c r="T97" s="81">
        <v>453.80200000000002</v>
      </c>
      <c r="U97" s="82">
        <v>0</v>
      </c>
      <c r="V97" s="81">
        <v>0</v>
      </c>
      <c r="W97" s="81">
        <v>0</v>
      </c>
      <c r="X97" s="81">
        <v>0</v>
      </c>
      <c r="Y97" s="82">
        <v>0</v>
      </c>
      <c r="Z97" s="82">
        <v>0</v>
      </c>
      <c r="AA97" s="82">
        <v>0</v>
      </c>
      <c r="AB97" s="82">
        <v>0</v>
      </c>
      <c r="AC97" s="82">
        <v>0</v>
      </c>
      <c r="AD97" s="82">
        <v>0</v>
      </c>
      <c r="AE97" s="82">
        <v>0</v>
      </c>
      <c r="AF97" s="82">
        <v>0</v>
      </c>
      <c r="AG97" s="82">
        <v>0</v>
      </c>
      <c r="AH97" s="82">
        <v>0</v>
      </c>
      <c r="AI97" s="82">
        <v>0</v>
      </c>
      <c r="AJ97" s="81">
        <v>0</v>
      </c>
      <c r="AK97" s="82">
        <v>0</v>
      </c>
    </row>
    <row r="98" spans="1:37" ht="14.25" customHeight="1">
      <c r="A98" s="75" t="s">
        <v>347</v>
      </c>
      <c r="B98" s="76">
        <v>0</v>
      </c>
      <c r="C98" s="76">
        <v>0</v>
      </c>
      <c r="D98" s="77">
        <v>0</v>
      </c>
      <c r="E98" s="76">
        <v>0</v>
      </c>
      <c r="F98" s="76">
        <v>0</v>
      </c>
      <c r="G98" s="77">
        <v>0</v>
      </c>
      <c r="H98" s="78"/>
      <c r="I98" s="78"/>
      <c r="J98" s="79"/>
      <c r="K98" s="76">
        <v>0</v>
      </c>
      <c r="L98" s="76">
        <v>0</v>
      </c>
      <c r="M98" s="77">
        <v>0</v>
      </c>
      <c r="N98" s="77">
        <v>0</v>
      </c>
      <c r="O98" s="76">
        <v>0</v>
      </c>
      <c r="P98" s="76">
        <v>446.51499999999999</v>
      </c>
      <c r="Q98" s="77">
        <v>0</v>
      </c>
      <c r="R98" s="76">
        <v>0</v>
      </c>
      <c r="S98" s="76">
        <v>0</v>
      </c>
      <c r="T98" s="76">
        <v>449.61500000000001</v>
      </c>
      <c r="U98" s="77">
        <v>0</v>
      </c>
      <c r="V98" s="76">
        <v>0</v>
      </c>
      <c r="W98" s="76">
        <v>0</v>
      </c>
      <c r="X98" s="76">
        <v>0</v>
      </c>
      <c r="Y98" s="77">
        <v>0</v>
      </c>
      <c r="Z98" s="77">
        <v>0</v>
      </c>
      <c r="AA98" s="77">
        <v>0</v>
      </c>
      <c r="AB98" s="77">
        <v>0</v>
      </c>
      <c r="AC98" s="77">
        <v>0</v>
      </c>
      <c r="AD98" s="77">
        <v>0</v>
      </c>
      <c r="AE98" s="77">
        <v>0</v>
      </c>
      <c r="AF98" s="77">
        <v>0</v>
      </c>
      <c r="AG98" s="77">
        <v>0</v>
      </c>
      <c r="AH98" s="77">
        <v>0</v>
      </c>
      <c r="AI98" s="77">
        <v>0</v>
      </c>
      <c r="AJ98" s="76">
        <v>0</v>
      </c>
      <c r="AK98" s="77">
        <v>0</v>
      </c>
    </row>
    <row r="99" spans="1:37" ht="14.25" customHeight="1">
      <c r="A99" s="80" t="s">
        <v>348</v>
      </c>
      <c r="B99" s="81">
        <v>0</v>
      </c>
      <c r="C99" s="81">
        <v>0</v>
      </c>
      <c r="D99" s="82">
        <v>0</v>
      </c>
      <c r="E99" s="81">
        <v>0</v>
      </c>
      <c r="F99" s="81">
        <v>0</v>
      </c>
      <c r="G99" s="82">
        <v>0</v>
      </c>
      <c r="H99" s="83"/>
      <c r="I99" s="83"/>
      <c r="J99" s="84"/>
      <c r="K99" s="81">
        <v>0</v>
      </c>
      <c r="L99" s="81">
        <v>0</v>
      </c>
      <c r="M99" s="82">
        <v>0</v>
      </c>
      <c r="N99" s="82">
        <v>0</v>
      </c>
      <c r="O99" s="81">
        <v>0</v>
      </c>
      <c r="P99" s="81">
        <v>442.08</v>
      </c>
      <c r="Q99" s="82">
        <v>0</v>
      </c>
      <c r="R99" s="81">
        <v>0</v>
      </c>
      <c r="S99" s="81">
        <v>0</v>
      </c>
      <c r="T99" s="81">
        <v>444.23500000000001</v>
      </c>
      <c r="U99" s="82">
        <v>0</v>
      </c>
      <c r="V99" s="81">
        <v>0</v>
      </c>
      <c r="W99" s="81">
        <v>0</v>
      </c>
      <c r="X99" s="81">
        <v>0</v>
      </c>
      <c r="Y99" s="82">
        <v>0</v>
      </c>
      <c r="Z99" s="82">
        <v>0</v>
      </c>
      <c r="AA99" s="82">
        <v>0</v>
      </c>
      <c r="AB99" s="82">
        <v>0</v>
      </c>
      <c r="AC99" s="82">
        <v>0</v>
      </c>
      <c r="AD99" s="82">
        <v>0</v>
      </c>
      <c r="AE99" s="82">
        <v>0</v>
      </c>
      <c r="AF99" s="82">
        <v>0</v>
      </c>
      <c r="AG99" s="82">
        <v>0</v>
      </c>
      <c r="AH99" s="82">
        <v>0</v>
      </c>
      <c r="AI99" s="82">
        <v>0</v>
      </c>
      <c r="AJ99" s="81">
        <v>0</v>
      </c>
      <c r="AK99" s="82">
        <v>0</v>
      </c>
    </row>
    <row r="100" spans="1:37" ht="14.25" customHeight="1">
      <c r="A100" s="75" t="s">
        <v>241</v>
      </c>
      <c r="B100" s="76">
        <v>0</v>
      </c>
      <c r="C100" s="76">
        <v>0</v>
      </c>
      <c r="D100" s="77">
        <v>0</v>
      </c>
      <c r="E100" s="76">
        <v>0</v>
      </c>
      <c r="F100" s="76">
        <v>0</v>
      </c>
      <c r="G100" s="77">
        <v>0</v>
      </c>
      <c r="H100" s="78"/>
      <c r="I100" s="78"/>
      <c r="J100" s="79"/>
      <c r="K100" s="76">
        <v>0</v>
      </c>
      <c r="L100" s="76">
        <v>0</v>
      </c>
      <c r="M100" s="77">
        <v>0</v>
      </c>
      <c r="N100" s="77">
        <v>0</v>
      </c>
      <c r="O100" s="76">
        <v>0</v>
      </c>
      <c r="P100" s="76">
        <v>443.654</v>
      </c>
      <c r="Q100" s="77">
        <v>0</v>
      </c>
      <c r="R100" s="76">
        <v>0</v>
      </c>
      <c r="S100" s="76">
        <v>0</v>
      </c>
      <c r="T100" s="76">
        <v>444.81</v>
      </c>
      <c r="U100" s="77">
        <v>0</v>
      </c>
      <c r="V100" s="76">
        <v>0</v>
      </c>
      <c r="W100" s="76">
        <v>0</v>
      </c>
      <c r="X100" s="76">
        <v>0</v>
      </c>
      <c r="Y100" s="77">
        <v>0</v>
      </c>
      <c r="Z100" s="77">
        <v>0</v>
      </c>
      <c r="AA100" s="77">
        <v>0</v>
      </c>
      <c r="AB100" s="77">
        <v>0</v>
      </c>
      <c r="AC100" s="77">
        <v>0</v>
      </c>
      <c r="AD100" s="77">
        <v>0</v>
      </c>
      <c r="AE100" s="77">
        <v>0</v>
      </c>
      <c r="AF100" s="77">
        <v>0</v>
      </c>
      <c r="AG100" s="77">
        <v>0</v>
      </c>
      <c r="AH100" s="77">
        <v>0</v>
      </c>
      <c r="AI100" s="77">
        <v>0</v>
      </c>
      <c r="AJ100" s="76">
        <v>0</v>
      </c>
      <c r="AK100" s="77">
        <v>0</v>
      </c>
    </row>
    <row r="101" spans="1:37" ht="14.25" customHeight="1">
      <c r="A101" s="80" t="s">
        <v>242</v>
      </c>
      <c r="B101" s="81">
        <v>0</v>
      </c>
      <c r="C101" s="81">
        <v>0</v>
      </c>
      <c r="D101" s="82">
        <v>0</v>
      </c>
      <c r="E101" s="81">
        <v>0</v>
      </c>
      <c r="F101" s="81">
        <v>0</v>
      </c>
      <c r="G101" s="82">
        <v>0</v>
      </c>
      <c r="H101" s="83"/>
      <c r="I101" s="83"/>
      <c r="J101" s="84"/>
      <c r="K101" s="81">
        <v>0</v>
      </c>
      <c r="L101" s="81">
        <v>0</v>
      </c>
      <c r="M101" s="82">
        <v>0</v>
      </c>
      <c r="N101" s="77">
        <v>0</v>
      </c>
      <c r="O101" s="81">
        <v>163.26900000000001</v>
      </c>
      <c r="P101" s="81">
        <v>397.22509320814117</v>
      </c>
      <c r="Q101" s="82">
        <v>64854.543743000002</v>
      </c>
      <c r="R101" s="81">
        <v>0</v>
      </c>
      <c r="S101" s="81">
        <v>0</v>
      </c>
      <c r="T101" s="81" t="s">
        <v>235</v>
      </c>
      <c r="U101" s="82">
        <v>0</v>
      </c>
      <c r="V101" s="81">
        <v>0</v>
      </c>
      <c r="W101" s="81">
        <v>0</v>
      </c>
      <c r="X101" s="81" t="s">
        <v>235</v>
      </c>
      <c r="Y101" s="82">
        <v>0</v>
      </c>
      <c r="Z101" s="82">
        <v>0</v>
      </c>
      <c r="AA101" s="82">
        <v>0</v>
      </c>
      <c r="AB101" s="82">
        <v>0</v>
      </c>
      <c r="AC101" s="82">
        <v>0</v>
      </c>
      <c r="AD101" s="77">
        <v>0</v>
      </c>
      <c r="AE101" s="77">
        <v>0</v>
      </c>
      <c r="AF101" s="77">
        <v>0</v>
      </c>
      <c r="AG101" s="82">
        <v>0</v>
      </c>
      <c r="AH101" s="82">
        <v>0</v>
      </c>
      <c r="AI101" s="82">
        <v>0</v>
      </c>
      <c r="AJ101" s="76">
        <v>163.26900000000001</v>
      </c>
      <c r="AK101" s="76">
        <v>64854.543743000002</v>
      </c>
    </row>
    <row r="102" spans="1:37" ht="14.2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  <c r="AD102" s="120"/>
      <c r="AE102" s="120"/>
      <c r="AF102" s="120"/>
      <c r="AG102" s="120"/>
      <c r="AH102" s="120"/>
      <c r="AI102" s="120"/>
      <c r="AJ102" s="120"/>
      <c r="AK102" s="120"/>
    </row>
    <row r="103" spans="1:37" ht="14.2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  <c r="AD103" s="120"/>
      <c r="AE103" s="120"/>
      <c r="AF103" s="120"/>
      <c r="AG103" s="120"/>
      <c r="AH103" s="120"/>
      <c r="AI103" s="120"/>
      <c r="AJ103" s="120"/>
      <c r="AK103" s="120"/>
    </row>
    <row r="104" spans="1:37" ht="14.25" customHeight="1"/>
    <row r="105" spans="1:37" ht="14.25" customHeight="1"/>
    <row r="106" spans="1:37" ht="14.25" customHeight="1"/>
    <row r="107" spans="1:37" ht="14.25" customHeight="1"/>
    <row r="108" spans="1:37" ht="14.25" customHeight="1">
      <c r="AK108" s="108"/>
    </row>
  </sheetData>
  <mergeCells count="15">
    <mergeCell ref="A102:AK102"/>
    <mergeCell ref="A103:AK103"/>
    <mergeCell ref="A1:AK1"/>
    <mergeCell ref="A2:J2"/>
    <mergeCell ref="A3:A4"/>
    <mergeCell ref="B3:J3"/>
    <mergeCell ref="K3:M3"/>
    <mergeCell ref="O3:Q3"/>
    <mergeCell ref="R3:U3"/>
    <mergeCell ref="V3:Y3"/>
    <mergeCell ref="Z3:AA3"/>
    <mergeCell ref="AB3:AC3"/>
    <mergeCell ref="AE3:AF3"/>
    <mergeCell ref="AG3:AI3"/>
    <mergeCell ref="AJ3:AK3"/>
  </mergeCells>
  <phoneticPr fontId="9" type="noConversion"/>
  <printOptions horizontalCentered="1"/>
  <pageMargins left="0.75" right="0.75" top="0.26899999380111694" bottom="0.26899999380111694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3488-13E2-44F6-BB94-48CBDDDF9703}">
  <dimension ref="A1:N100"/>
  <sheetViews>
    <sheetView topLeftCell="C1" zoomScale="85" zoomScaleNormal="85" workbookViewId="0">
      <pane ySplit="1" topLeftCell="A8" activePane="bottomLeft" state="frozen"/>
      <selection activeCell="F2" sqref="F2:Q97"/>
      <selection pane="bottomLeft" activeCell="M24" sqref="M24"/>
    </sheetView>
  </sheetViews>
  <sheetFormatPr defaultColWidth="10" defaultRowHeight="15.6"/>
  <cols>
    <col min="1" max="1" width="30.6640625" style="1" customWidth="1"/>
    <col min="2" max="2" width="16.33203125" style="1" customWidth="1"/>
    <col min="3" max="5" width="21.33203125" style="1" customWidth="1"/>
    <col min="6" max="7" width="10" style="1"/>
    <col min="8" max="8" width="18.5546875" style="86" customWidth="1"/>
    <col min="9" max="9" width="21.44140625" style="1" customWidth="1"/>
    <col min="10" max="10" width="19.5546875" style="3" customWidth="1"/>
    <col min="11" max="11" width="19.5546875" style="1" customWidth="1"/>
    <col min="12" max="13" width="24.5546875" style="3" customWidth="1"/>
    <col min="14" max="16384" width="10" style="1"/>
  </cols>
  <sheetData>
    <row r="1" spans="1:14">
      <c r="A1" s="1" t="s">
        <v>36</v>
      </c>
      <c r="G1" s="27" t="s">
        <v>37</v>
      </c>
      <c r="H1" s="86" t="s">
        <v>38</v>
      </c>
      <c r="I1" s="1" t="s">
        <v>39</v>
      </c>
      <c r="J1" s="3" t="s">
        <v>40</v>
      </c>
      <c r="K1" s="27" t="s">
        <v>179</v>
      </c>
      <c r="L1" s="3" t="s">
        <v>41</v>
      </c>
      <c r="M1" s="3" t="s">
        <v>42</v>
      </c>
      <c r="N1" s="1" t="s">
        <v>43</v>
      </c>
    </row>
    <row r="2" spans="1:14">
      <c r="A2" s="1" t="s">
        <v>44</v>
      </c>
      <c r="G2" s="28">
        <v>1</v>
      </c>
      <c r="H2" s="86" t="s">
        <v>45</v>
      </c>
      <c r="I2" s="1" t="str">
        <f>RIGHT(H2,4)</f>
        <v>0015</v>
      </c>
      <c r="J2" s="87">
        <v>415.63</v>
      </c>
      <c r="K2" s="87">
        <v>415.63</v>
      </c>
      <c r="L2" s="3">
        <f>IF(N2&lt;=0, N2, 0)</f>
        <v>0</v>
      </c>
      <c r="M2" s="3">
        <f>IF(N2&gt;=0, N2, 0)</f>
        <v>0</v>
      </c>
      <c r="N2" s="1">
        <v>0</v>
      </c>
    </row>
    <row r="3" spans="1:14">
      <c r="G3" s="28">
        <v>2</v>
      </c>
      <c r="H3" s="86" t="s">
        <v>46</v>
      </c>
      <c r="I3" s="1" t="str">
        <f>RIGHT(H3,4)</f>
        <v>0030</v>
      </c>
      <c r="J3" s="87">
        <v>392.4</v>
      </c>
      <c r="K3" s="87">
        <v>392.4</v>
      </c>
      <c r="L3" s="3">
        <f t="shared" ref="L3:L66" si="0">IF(N3&lt;=0, N3, 0)</f>
        <v>0</v>
      </c>
      <c r="M3" s="3">
        <f t="shared" ref="M3:M66" si="1">IF(N3&gt;=0, N3, 0)</f>
        <v>0</v>
      </c>
      <c r="N3" s="1">
        <v>0</v>
      </c>
    </row>
    <row r="4" spans="1:14" ht="16.2" thickBot="1">
      <c r="G4" s="28">
        <v>3</v>
      </c>
      <c r="H4" s="86" t="s">
        <v>47</v>
      </c>
      <c r="I4" s="1" t="str">
        <f t="shared" ref="I4:I67" si="2">RIGHT(H4,4)</f>
        <v>0045</v>
      </c>
      <c r="J4" s="87">
        <v>384.92</v>
      </c>
      <c r="K4" s="87">
        <v>384.92</v>
      </c>
      <c r="L4" s="3">
        <f t="shared" si="0"/>
        <v>0</v>
      </c>
      <c r="M4" s="3">
        <f t="shared" si="1"/>
        <v>0</v>
      </c>
      <c r="N4" s="1">
        <v>0</v>
      </c>
    </row>
    <row r="5" spans="1:14" ht="16.2" thickTop="1">
      <c r="A5" s="4" t="s">
        <v>48</v>
      </c>
      <c r="B5" s="5" t="s">
        <v>49</v>
      </c>
      <c r="C5" s="5" t="s">
        <v>50</v>
      </c>
      <c r="D5" s="5" t="s">
        <v>51</v>
      </c>
      <c r="E5" s="29" t="s">
        <v>52</v>
      </c>
      <c r="G5" s="28">
        <v>4</v>
      </c>
      <c r="H5" s="86" t="s">
        <v>53</v>
      </c>
      <c r="I5" s="1" t="str">
        <f t="shared" si="2"/>
        <v>0100</v>
      </c>
      <c r="J5" s="87">
        <v>379.67</v>
      </c>
      <c r="K5" s="87">
        <v>379.67</v>
      </c>
      <c r="L5" s="3">
        <f t="shared" si="0"/>
        <v>0</v>
      </c>
      <c r="M5" s="3">
        <f t="shared" si="1"/>
        <v>0</v>
      </c>
      <c r="N5" s="1">
        <v>0</v>
      </c>
    </row>
    <row r="6" spans="1:14">
      <c r="A6" s="6">
        <v>1</v>
      </c>
      <c r="B6" s="3" t="s">
        <v>54</v>
      </c>
      <c r="C6" s="3">
        <v>-100</v>
      </c>
      <c r="D6" s="3">
        <v>-95</v>
      </c>
      <c r="E6" s="45">
        <v>0</v>
      </c>
      <c r="G6" s="28">
        <v>5</v>
      </c>
      <c r="H6" s="86" t="s">
        <v>55</v>
      </c>
      <c r="I6" s="1" t="str">
        <f t="shared" si="2"/>
        <v>0115</v>
      </c>
      <c r="J6" s="87">
        <v>374</v>
      </c>
      <c r="K6" s="87">
        <v>374</v>
      </c>
      <c r="L6" s="3">
        <f t="shared" si="0"/>
        <v>0</v>
      </c>
      <c r="M6" s="3">
        <f t="shared" si="1"/>
        <v>0</v>
      </c>
      <c r="N6" s="1">
        <v>0</v>
      </c>
    </row>
    <row r="7" spans="1:14">
      <c r="A7" s="6">
        <v>2</v>
      </c>
      <c r="B7" s="3" t="s">
        <v>54</v>
      </c>
      <c r="C7" s="3">
        <v>-95</v>
      </c>
      <c r="D7" s="3">
        <v>0</v>
      </c>
      <c r="E7" s="30">
        <v>100</v>
      </c>
      <c r="G7" s="28">
        <v>6</v>
      </c>
      <c r="H7" s="86" t="s">
        <v>56</v>
      </c>
      <c r="I7" s="1" t="str">
        <f t="shared" si="2"/>
        <v>0130</v>
      </c>
      <c r="J7" s="87">
        <v>368.2</v>
      </c>
      <c r="K7" s="87">
        <v>368.2</v>
      </c>
      <c r="L7" s="3">
        <f t="shared" si="0"/>
        <v>0</v>
      </c>
      <c r="M7" s="3">
        <f t="shared" si="1"/>
        <v>0</v>
      </c>
      <c r="N7" s="1">
        <v>0</v>
      </c>
    </row>
    <row r="8" spans="1:14">
      <c r="A8" s="6">
        <v>3</v>
      </c>
      <c r="B8" s="3" t="s">
        <v>54</v>
      </c>
      <c r="C8" s="3"/>
      <c r="D8" s="3"/>
      <c r="E8" s="30"/>
      <c r="G8" s="28">
        <v>7</v>
      </c>
      <c r="H8" s="86" t="s">
        <v>57</v>
      </c>
      <c r="I8" s="1" t="str">
        <f t="shared" si="2"/>
        <v>0145</v>
      </c>
      <c r="J8" s="87">
        <v>362</v>
      </c>
      <c r="K8" s="87">
        <v>362</v>
      </c>
      <c r="L8" s="3">
        <f t="shared" si="0"/>
        <v>0</v>
      </c>
      <c r="M8" s="3">
        <f t="shared" si="1"/>
        <v>0</v>
      </c>
      <c r="N8" s="1">
        <v>0</v>
      </c>
    </row>
    <row r="9" spans="1:14">
      <c r="A9" s="6">
        <v>4</v>
      </c>
      <c r="B9" s="3" t="s">
        <v>54</v>
      </c>
      <c r="C9" s="3"/>
      <c r="D9" s="3"/>
      <c r="E9" s="30"/>
      <c r="G9" s="28">
        <v>8</v>
      </c>
      <c r="H9" s="86" t="s">
        <v>58</v>
      </c>
      <c r="I9" s="1" t="str">
        <f t="shared" si="2"/>
        <v>0200</v>
      </c>
      <c r="J9" s="87">
        <v>358.5</v>
      </c>
      <c r="K9" s="87">
        <v>358.5</v>
      </c>
      <c r="L9" s="3">
        <f t="shared" si="0"/>
        <v>0</v>
      </c>
      <c r="M9" s="3">
        <f t="shared" si="1"/>
        <v>0</v>
      </c>
      <c r="N9" s="1">
        <v>0</v>
      </c>
    </row>
    <row r="10" spans="1:14">
      <c r="A10" s="6">
        <v>5</v>
      </c>
      <c r="B10" s="3" t="s">
        <v>54</v>
      </c>
      <c r="C10" s="3"/>
      <c r="D10" s="3"/>
      <c r="E10" s="30"/>
      <c r="G10" s="28">
        <v>9</v>
      </c>
      <c r="H10" s="86" t="s">
        <v>59</v>
      </c>
      <c r="I10" s="1" t="str">
        <f t="shared" si="2"/>
        <v>0215</v>
      </c>
      <c r="J10" s="87">
        <v>382</v>
      </c>
      <c r="K10" s="87">
        <v>382</v>
      </c>
      <c r="L10" s="3">
        <f t="shared" si="0"/>
        <v>0</v>
      </c>
      <c r="M10" s="3">
        <f t="shared" si="1"/>
        <v>0</v>
      </c>
      <c r="N10" s="1">
        <v>0</v>
      </c>
    </row>
    <row r="11" spans="1:14">
      <c r="A11" s="6">
        <v>6</v>
      </c>
      <c r="B11" s="3" t="s">
        <v>60</v>
      </c>
      <c r="C11" s="3">
        <v>0</v>
      </c>
      <c r="D11" s="3">
        <v>95</v>
      </c>
      <c r="E11" s="30">
        <v>250</v>
      </c>
      <c r="G11" s="28">
        <v>10</v>
      </c>
      <c r="H11" s="86" t="s">
        <v>61</v>
      </c>
      <c r="I11" s="1" t="str">
        <f t="shared" si="2"/>
        <v>0230</v>
      </c>
      <c r="J11" s="87">
        <v>382</v>
      </c>
      <c r="K11" s="87">
        <v>382</v>
      </c>
      <c r="L11" s="3">
        <f t="shared" si="0"/>
        <v>0</v>
      </c>
      <c r="M11" s="3">
        <f t="shared" si="1"/>
        <v>0</v>
      </c>
      <c r="N11" s="1">
        <v>0</v>
      </c>
    </row>
    <row r="12" spans="1:14">
      <c r="A12" s="6">
        <v>7</v>
      </c>
      <c r="B12" s="3" t="s">
        <v>60</v>
      </c>
      <c r="C12" s="3">
        <v>95</v>
      </c>
      <c r="D12" s="3">
        <v>100</v>
      </c>
      <c r="E12" s="45">
        <v>300</v>
      </c>
      <c r="G12" s="28">
        <v>11</v>
      </c>
      <c r="H12" s="86" t="s">
        <v>62</v>
      </c>
      <c r="I12" s="1" t="str">
        <f t="shared" si="2"/>
        <v>0245</v>
      </c>
      <c r="J12" s="87">
        <v>379.56</v>
      </c>
      <c r="K12" s="87">
        <v>379.56</v>
      </c>
      <c r="L12" s="3">
        <f t="shared" si="0"/>
        <v>0</v>
      </c>
      <c r="M12" s="3">
        <f t="shared" si="1"/>
        <v>0</v>
      </c>
      <c r="N12" s="1">
        <v>0</v>
      </c>
    </row>
    <row r="13" spans="1:14">
      <c r="A13" s="6">
        <v>8</v>
      </c>
      <c r="B13" s="3" t="s">
        <v>60</v>
      </c>
      <c r="C13" s="3"/>
      <c r="D13" s="3"/>
      <c r="E13" s="45"/>
      <c r="G13" s="28">
        <v>12</v>
      </c>
      <c r="H13" s="86" t="s">
        <v>63</v>
      </c>
      <c r="I13" s="1" t="str">
        <f t="shared" si="2"/>
        <v>0300</v>
      </c>
      <c r="J13" s="87">
        <v>371.6</v>
      </c>
      <c r="K13" s="87">
        <v>371.6</v>
      </c>
      <c r="L13" s="3">
        <f t="shared" si="0"/>
        <v>0</v>
      </c>
      <c r="M13" s="3">
        <f t="shared" si="1"/>
        <v>0</v>
      </c>
      <c r="N13" s="1">
        <v>0</v>
      </c>
    </row>
    <row r="14" spans="1:14">
      <c r="A14" s="6">
        <v>9</v>
      </c>
      <c r="B14" s="3" t="s">
        <v>60</v>
      </c>
      <c r="C14" s="3"/>
      <c r="D14" s="3"/>
      <c r="E14" s="30"/>
      <c r="G14" s="28">
        <v>13</v>
      </c>
      <c r="H14" s="86" t="s">
        <v>64</v>
      </c>
      <c r="I14" s="1" t="str">
        <f t="shared" si="2"/>
        <v>0315</v>
      </c>
      <c r="J14" s="87">
        <v>365.66</v>
      </c>
      <c r="K14" s="87">
        <v>365.66</v>
      </c>
      <c r="L14" s="3">
        <f t="shared" si="0"/>
        <v>0</v>
      </c>
      <c r="M14" s="3">
        <f t="shared" si="1"/>
        <v>0</v>
      </c>
      <c r="N14" s="1">
        <v>0</v>
      </c>
    </row>
    <row r="15" spans="1:14" ht="16.2" thickBot="1">
      <c r="A15" s="7">
        <v>10</v>
      </c>
      <c r="B15" s="8" t="s">
        <v>60</v>
      </c>
      <c r="C15" s="8"/>
      <c r="D15" s="8"/>
      <c r="E15" s="31"/>
      <c r="G15" s="28">
        <v>14</v>
      </c>
      <c r="H15" s="86" t="s">
        <v>65</v>
      </c>
      <c r="I15" s="1" t="str">
        <f t="shared" si="2"/>
        <v>0330</v>
      </c>
      <c r="J15" s="87">
        <v>362</v>
      </c>
      <c r="K15" s="87">
        <v>362</v>
      </c>
      <c r="L15" s="3">
        <f t="shared" si="0"/>
        <v>0</v>
      </c>
      <c r="M15" s="3">
        <f t="shared" si="1"/>
        <v>0</v>
      </c>
      <c r="N15" s="1">
        <v>0</v>
      </c>
    </row>
    <row r="16" spans="1:14" ht="16.2" thickTop="1">
      <c r="G16" s="28">
        <v>15</v>
      </c>
      <c r="H16" s="86" t="s">
        <v>66</v>
      </c>
      <c r="I16" s="1" t="str">
        <f t="shared" si="2"/>
        <v>0345</v>
      </c>
      <c r="J16" s="87">
        <v>361.6</v>
      </c>
      <c r="K16" s="87">
        <v>361.6</v>
      </c>
      <c r="L16" s="3">
        <f t="shared" si="0"/>
        <v>0</v>
      </c>
      <c r="M16" s="3">
        <f t="shared" si="1"/>
        <v>0</v>
      </c>
      <c r="N16" s="1">
        <v>0</v>
      </c>
    </row>
    <row r="17" spans="1:14" ht="16.2" thickBot="1">
      <c r="G17" s="28">
        <v>16</v>
      </c>
      <c r="H17" s="86" t="s">
        <v>67</v>
      </c>
      <c r="I17" s="1" t="str">
        <f t="shared" si="2"/>
        <v>0400</v>
      </c>
      <c r="J17" s="87">
        <v>358.4</v>
      </c>
      <c r="K17" s="87">
        <v>358.4</v>
      </c>
      <c r="L17" s="3">
        <f t="shared" si="0"/>
        <v>0</v>
      </c>
      <c r="M17" s="3">
        <f t="shared" si="1"/>
        <v>0</v>
      </c>
      <c r="N17" s="1">
        <v>0</v>
      </c>
    </row>
    <row r="18" spans="1:14" ht="16.2" thickTop="1">
      <c r="A18" s="9" t="s">
        <v>68</v>
      </c>
      <c r="B18" s="10">
        <v>0</v>
      </c>
      <c r="G18" s="28">
        <v>17</v>
      </c>
      <c r="H18" s="86" t="s">
        <v>69</v>
      </c>
      <c r="I18" s="1" t="str">
        <f t="shared" si="2"/>
        <v>0415</v>
      </c>
      <c r="J18" s="87">
        <v>361.6</v>
      </c>
      <c r="K18" s="87">
        <v>361.6</v>
      </c>
      <c r="L18" s="3">
        <f t="shared" si="0"/>
        <v>0</v>
      </c>
      <c r="M18" s="3">
        <f t="shared" si="1"/>
        <v>0</v>
      </c>
      <c r="N18" s="1">
        <v>0</v>
      </c>
    </row>
    <row r="19" spans="1:14">
      <c r="A19" s="11" t="s">
        <v>70</v>
      </c>
      <c r="B19" s="12">
        <v>100</v>
      </c>
      <c r="G19" s="28">
        <v>18</v>
      </c>
      <c r="H19" s="86" t="s">
        <v>71</v>
      </c>
      <c r="I19" s="1" t="str">
        <f t="shared" si="2"/>
        <v>0430</v>
      </c>
      <c r="J19" s="87">
        <v>361.6</v>
      </c>
      <c r="K19" s="87">
        <v>361.6</v>
      </c>
      <c r="L19" s="3">
        <f t="shared" si="0"/>
        <v>0</v>
      </c>
      <c r="M19" s="3">
        <f t="shared" si="1"/>
        <v>0</v>
      </c>
      <c r="N19" s="1">
        <v>0</v>
      </c>
    </row>
    <row r="20" spans="1:14">
      <c r="A20" s="11" t="s">
        <v>72</v>
      </c>
      <c r="B20" s="12">
        <v>180</v>
      </c>
      <c r="G20" s="28">
        <v>19</v>
      </c>
      <c r="H20" s="86" t="s">
        <v>73</v>
      </c>
      <c r="I20" s="1" t="str">
        <f t="shared" si="2"/>
        <v>0445</v>
      </c>
      <c r="J20" s="87">
        <v>365.76</v>
      </c>
      <c r="K20" s="87">
        <v>365.76</v>
      </c>
      <c r="L20" s="3">
        <f t="shared" si="0"/>
        <v>0</v>
      </c>
      <c r="M20" s="3">
        <f t="shared" si="1"/>
        <v>0</v>
      </c>
      <c r="N20" s="1">
        <v>0</v>
      </c>
    </row>
    <row r="21" spans="1:14" ht="16.2" thickBot="1">
      <c r="A21" s="13" t="s">
        <v>74</v>
      </c>
      <c r="B21" s="14">
        <v>0.9</v>
      </c>
      <c r="G21" s="28">
        <v>20</v>
      </c>
      <c r="H21" s="86" t="s">
        <v>75</v>
      </c>
      <c r="I21" s="1" t="str">
        <f t="shared" si="2"/>
        <v>0500</v>
      </c>
      <c r="J21" s="87">
        <v>366.94</v>
      </c>
      <c r="K21" s="87">
        <v>366.94</v>
      </c>
      <c r="L21" s="3">
        <f t="shared" si="0"/>
        <v>0</v>
      </c>
      <c r="M21" s="3">
        <f t="shared" si="1"/>
        <v>0</v>
      </c>
      <c r="N21" s="1">
        <v>0</v>
      </c>
    </row>
    <row r="22" spans="1:14" ht="16.2" thickTop="1">
      <c r="G22" s="28">
        <v>21</v>
      </c>
      <c r="H22" s="86" t="s">
        <v>76</v>
      </c>
      <c r="I22" s="1" t="str">
        <f t="shared" si="2"/>
        <v>0515</v>
      </c>
      <c r="J22" s="87">
        <v>369.94</v>
      </c>
      <c r="K22" s="87">
        <v>369.94</v>
      </c>
      <c r="L22" s="3">
        <f t="shared" si="0"/>
        <v>0</v>
      </c>
      <c r="M22" s="3">
        <f t="shared" si="1"/>
        <v>0</v>
      </c>
      <c r="N22" s="1">
        <v>0</v>
      </c>
    </row>
    <row r="23" spans="1:14">
      <c r="G23" s="28">
        <v>22</v>
      </c>
      <c r="H23" s="86" t="s">
        <v>77</v>
      </c>
      <c r="I23" s="1" t="str">
        <f t="shared" si="2"/>
        <v>0530</v>
      </c>
      <c r="J23" s="87">
        <v>356</v>
      </c>
      <c r="K23" s="87">
        <v>356</v>
      </c>
      <c r="L23" s="3">
        <f t="shared" si="0"/>
        <v>0</v>
      </c>
      <c r="M23" s="3">
        <f t="shared" si="1"/>
        <v>0</v>
      </c>
      <c r="N23" s="1">
        <v>0</v>
      </c>
    </row>
    <row r="24" spans="1:14" ht="16.2" thickBot="1">
      <c r="G24" s="28">
        <v>23</v>
      </c>
      <c r="H24" s="86" t="s">
        <v>78</v>
      </c>
      <c r="I24" s="1" t="str">
        <f t="shared" si="2"/>
        <v>0545</v>
      </c>
      <c r="J24" s="87">
        <v>343.98</v>
      </c>
      <c r="K24" s="87">
        <v>343.98</v>
      </c>
      <c r="L24" s="3">
        <f t="shared" si="0"/>
        <v>0</v>
      </c>
      <c r="M24" s="3">
        <f t="shared" si="1"/>
        <v>0</v>
      </c>
      <c r="N24" s="1">
        <v>0</v>
      </c>
    </row>
    <row r="25" spans="1:14" ht="16.2" thickTop="1">
      <c r="A25" s="15" t="s">
        <v>79</v>
      </c>
      <c r="B25" s="16">
        <f>SUM(L:L)/4</f>
        <v>-182.00000000000003</v>
      </c>
      <c r="C25" s="16" t="s">
        <v>80</v>
      </c>
      <c r="D25" s="17">
        <f>SUM(M:M)/4</f>
        <v>172.89000000000001</v>
      </c>
      <c r="G25" s="28">
        <v>24</v>
      </c>
      <c r="H25" s="86" t="s">
        <v>81</v>
      </c>
      <c r="I25" s="1" t="str">
        <f t="shared" si="2"/>
        <v>0600</v>
      </c>
      <c r="J25" s="87">
        <v>332</v>
      </c>
      <c r="K25" s="87">
        <v>332</v>
      </c>
      <c r="L25" s="3">
        <f t="shared" si="0"/>
        <v>0</v>
      </c>
      <c r="M25" s="3">
        <f t="shared" si="1"/>
        <v>0</v>
      </c>
      <c r="N25" s="1">
        <v>0</v>
      </c>
    </row>
    <row r="26" spans="1:14">
      <c r="A26" s="18" t="s">
        <v>82</v>
      </c>
      <c r="B26" s="19">
        <f>B27/B25</f>
        <v>-80.809999999999974</v>
      </c>
      <c r="C26" s="1" t="s">
        <v>83</v>
      </c>
      <c r="D26" s="20">
        <f>D27/D25</f>
        <v>438.76000000000005</v>
      </c>
      <c r="G26" s="28">
        <v>25</v>
      </c>
      <c r="H26" s="86" t="s">
        <v>84</v>
      </c>
      <c r="I26" s="1" t="str">
        <f t="shared" si="2"/>
        <v>0615</v>
      </c>
      <c r="J26" s="87">
        <v>321</v>
      </c>
      <c r="K26" s="87">
        <v>321</v>
      </c>
      <c r="L26" s="3">
        <f t="shared" si="0"/>
        <v>0</v>
      </c>
      <c r="M26" s="3">
        <f t="shared" si="1"/>
        <v>0</v>
      </c>
      <c r="N26" s="1">
        <v>0</v>
      </c>
    </row>
    <row r="27" spans="1:14">
      <c r="A27" s="18" t="s">
        <v>85</v>
      </c>
      <c r="B27" s="21">
        <f>SUMPRODUCT(J:J,L:L)/4</f>
        <v>14707.419999999996</v>
      </c>
      <c r="C27" s="1" t="s">
        <v>86</v>
      </c>
      <c r="D27" s="22">
        <f t="array" ref="D27">SUMPRODUCT(K:K,M:M)/4</f>
        <v>75857.216400000019</v>
      </c>
      <c r="G27" s="28">
        <v>26</v>
      </c>
      <c r="H27" s="86" t="s">
        <v>87</v>
      </c>
      <c r="I27" s="1" t="str">
        <f t="shared" si="2"/>
        <v>0630</v>
      </c>
      <c r="J27" s="87">
        <v>322</v>
      </c>
      <c r="K27" s="87">
        <v>322</v>
      </c>
      <c r="L27" s="3">
        <f t="shared" si="0"/>
        <v>0</v>
      </c>
      <c r="M27" s="3">
        <f t="shared" si="1"/>
        <v>0</v>
      </c>
      <c r="N27" s="1">
        <v>0</v>
      </c>
    </row>
    <row r="28" spans="1:14" ht="16.2" thickBot="1">
      <c r="A28" s="23" t="s">
        <v>88</v>
      </c>
      <c r="B28" s="24">
        <f>D26-B26</f>
        <v>519.57000000000005</v>
      </c>
      <c r="C28" s="25" t="s">
        <v>89</v>
      </c>
      <c r="D28" s="26">
        <f>D27+B27</f>
        <v>90564.636400000018</v>
      </c>
      <c r="G28" s="28">
        <v>27</v>
      </c>
      <c r="H28" s="86" t="s">
        <v>90</v>
      </c>
      <c r="I28" s="1" t="str">
        <f t="shared" si="2"/>
        <v>0645</v>
      </c>
      <c r="J28" s="87">
        <v>325</v>
      </c>
      <c r="K28" s="87">
        <v>325</v>
      </c>
      <c r="L28" s="3">
        <f t="shared" si="0"/>
        <v>0</v>
      </c>
      <c r="M28" s="3">
        <f t="shared" si="1"/>
        <v>0</v>
      </c>
      <c r="N28" s="1">
        <v>0</v>
      </c>
    </row>
    <row r="29" spans="1:14" ht="16.2" thickTop="1">
      <c r="G29" s="28">
        <v>28</v>
      </c>
      <c r="H29" s="86" t="s">
        <v>91</v>
      </c>
      <c r="I29" s="1" t="str">
        <f t="shared" si="2"/>
        <v>0700</v>
      </c>
      <c r="J29" s="87">
        <v>326.67</v>
      </c>
      <c r="K29" s="87">
        <v>326.67</v>
      </c>
      <c r="L29" s="3">
        <f t="shared" si="0"/>
        <v>0</v>
      </c>
      <c r="M29" s="3">
        <f t="shared" si="1"/>
        <v>0</v>
      </c>
      <c r="N29" s="1">
        <v>0</v>
      </c>
    </row>
    <row r="30" spans="1:14">
      <c r="D30" s="47">
        <f>[1]充放测算!O4</f>
        <v>81275.269920000021</v>
      </c>
      <c r="G30" s="28">
        <v>29</v>
      </c>
      <c r="H30" s="86" t="s">
        <v>92</v>
      </c>
      <c r="I30" s="1" t="str">
        <f t="shared" si="2"/>
        <v>0715</v>
      </c>
      <c r="J30" s="87">
        <v>333.56</v>
      </c>
      <c r="K30" s="87">
        <v>333.56</v>
      </c>
      <c r="L30" s="3">
        <f t="shared" si="0"/>
        <v>0</v>
      </c>
      <c r="M30" s="3">
        <f t="shared" si="1"/>
        <v>0</v>
      </c>
      <c r="N30" s="1">
        <v>0</v>
      </c>
    </row>
    <row r="31" spans="1:14">
      <c r="G31" s="28">
        <v>30</v>
      </c>
      <c r="H31" s="86" t="s">
        <v>93</v>
      </c>
      <c r="I31" s="1" t="str">
        <f t="shared" si="2"/>
        <v>0730</v>
      </c>
      <c r="J31" s="87">
        <v>355.64</v>
      </c>
      <c r="K31" s="87">
        <v>355.64</v>
      </c>
      <c r="L31" s="3">
        <f t="shared" si="0"/>
        <v>0</v>
      </c>
      <c r="M31" s="3">
        <f t="shared" si="1"/>
        <v>0</v>
      </c>
      <c r="N31" s="1">
        <v>0</v>
      </c>
    </row>
    <row r="32" spans="1:14">
      <c r="G32" s="28">
        <v>31</v>
      </c>
      <c r="H32" s="86" t="s">
        <v>94</v>
      </c>
      <c r="I32" s="1" t="str">
        <f t="shared" si="2"/>
        <v>0745</v>
      </c>
      <c r="J32" s="87">
        <v>374</v>
      </c>
      <c r="K32" s="87">
        <v>374</v>
      </c>
      <c r="L32" s="3">
        <f t="shared" si="0"/>
        <v>0</v>
      </c>
      <c r="M32" s="3">
        <f t="shared" si="1"/>
        <v>0</v>
      </c>
      <c r="N32" s="1">
        <v>0</v>
      </c>
    </row>
    <row r="33" spans="1:14" ht="16.2" thickBot="1">
      <c r="G33" s="28">
        <v>32</v>
      </c>
      <c r="H33" s="86" t="s">
        <v>95</v>
      </c>
      <c r="I33" s="1" t="str">
        <f t="shared" si="2"/>
        <v>0800</v>
      </c>
      <c r="J33" s="87">
        <v>380</v>
      </c>
      <c r="K33" s="87">
        <v>380</v>
      </c>
      <c r="L33" s="3">
        <f t="shared" si="0"/>
        <v>0</v>
      </c>
      <c r="M33" s="3">
        <f t="shared" si="1"/>
        <v>0</v>
      </c>
      <c r="N33" s="1">
        <v>0</v>
      </c>
    </row>
    <row r="34" spans="1:14">
      <c r="A34" s="88" t="s">
        <v>48</v>
      </c>
      <c r="B34" s="89" t="s">
        <v>49</v>
      </c>
      <c r="C34" s="89" t="s">
        <v>50</v>
      </c>
      <c r="D34" s="89" t="s">
        <v>51</v>
      </c>
      <c r="E34" s="90" t="s">
        <v>180</v>
      </c>
      <c r="G34" s="28">
        <v>33</v>
      </c>
      <c r="H34" s="86" t="s">
        <v>96</v>
      </c>
      <c r="I34" s="1" t="str">
        <f t="shared" si="2"/>
        <v>0815</v>
      </c>
      <c r="J34" s="87">
        <v>370.36</v>
      </c>
      <c r="K34" s="87">
        <v>370.36</v>
      </c>
      <c r="L34" s="3">
        <f t="shared" si="0"/>
        <v>0</v>
      </c>
      <c r="M34" s="3">
        <f t="shared" si="1"/>
        <v>0</v>
      </c>
      <c r="N34" s="1">
        <v>0</v>
      </c>
    </row>
    <row r="35" spans="1:14">
      <c r="A35" s="91"/>
      <c r="B35" s="92"/>
      <c r="C35" s="92"/>
      <c r="D35" s="92"/>
      <c r="E35" s="93"/>
      <c r="G35" s="28">
        <v>34</v>
      </c>
      <c r="H35" s="86" t="s">
        <v>97</v>
      </c>
      <c r="I35" s="1" t="str">
        <f t="shared" si="2"/>
        <v>0830</v>
      </c>
      <c r="J35" s="87">
        <v>359.56</v>
      </c>
      <c r="K35" s="87">
        <v>359.56</v>
      </c>
      <c r="L35" s="3">
        <f t="shared" si="0"/>
        <v>0</v>
      </c>
      <c r="M35" s="3">
        <f t="shared" si="1"/>
        <v>0</v>
      </c>
      <c r="N35" s="1">
        <v>0</v>
      </c>
    </row>
    <row r="36" spans="1:14" ht="16.2" thickBot="1">
      <c r="A36" s="94">
        <v>1</v>
      </c>
      <c r="B36" s="95" t="s">
        <v>54</v>
      </c>
      <c r="C36" s="95">
        <v>-100</v>
      </c>
      <c r="D36" s="95">
        <v>-95</v>
      </c>
      <c r="E36" s="95">
        <v>0</v>
      </c>
      <c r="G36" s="28">
        <v>35</v>
      </c>
      <c r="H36" s="86" t="s">
        <v>98</v>
      </c>
      <c r="I36" s="1" t="str">
        <f t="shared" si="2"/>
        <v>0845</v>
      </c>
      <c r="J36" s="87">
        <v>340</v>
      </c>
      <c r="K36" s="87">
        <v>340</v>
      </c>
      <c r="L36" s="3">
        <f t="shared" si="0"/>
        <v>0</v>
      </c>
      <c r="M36" s="3">
        <f t="shared" si="1"/>
        <v>0</v>
      </c>
      <c r="N36" s="1">
        <v>0</v>
      </c>
    </row>
    <row r="37" spans="1:14" ht="16.2" thickBot="1">
      <c r="A37" s="96">
        <v>2</v>
      </c>
      <c r="B37" s="97" t="s">
        <v>54</v>
      </c>
      <c r="C37" s="97">
        <v>-95</v>
      </c>
      <c r="D37" s="97">
        <v>0</v>
      </c>
      <c r="E37" s="97">
        <v>150</v>
      </c>
      <c r="G37" s="28">
        <v>36</v>
      </c>
      <c r="H37" s="86" t="s">
        <v>99</v>
      </c>
      <c r="I37" s="1" t="str">
        <f t="shared" si="2"/>
        <v>0900</v>
      </c>
      <c r="J37" s="87">
        <v>325</v>
      </c>
      <c r="K37" s="87">
        <v>325</v>
      </c>
      <c r="L37" s="3">
        <f t="shared" si="0"/>
        <v>0</v>
      </c>
      <c r="M37" s="3">
        <f t="shared" si="1"/>
        <v>0</v>
      </c>
      <c r="N37" s="1">
        <v>0</v>
      </c>
    </row>
    <row r="38" spans="1:14" ht="16.2" thickBot="1">
      <c r="A38" s="98">
        <v>3</v>
      </c>
      <c r="B38" s="99" t="s">
        <v>60</v>
      </c>
      <c r="C38" s="99">
        <v>0</v>
      </c>
      <c r="D38" s="99">
        <v>95</v>
      </c>
      <c r="E38" s="99">
        <v>280</v>
      </c>
      <c r="G38" s="28">
        <v>37</v>
      </c>
      <c r="H38" s="86" t="s">
        <v>100</v>
      </c>
      <c r="I38" s="1" t="str">
        <f t="shared" si="2"/>
        <v>0915</v>
      </c>
      <c r="J38" s="87">
        <v>324.04000000000002</v>
      </c>
      <c r="K38" s="87">
        <v>324.04000000000002</v>
      </c>
      <c r="L38" s="3">
        <f t="shared" si="0"/>
        <v>0</v>
      </c>
      <c r="M38" s="3">
        <f t="shared" si="1"/>
        <v>0</v>
      </c>
      <c r="N38" s="1">
        <v>0</v>
      </c>
    </row>
    <row r="39" spans="1:14" ht="16.2" thickBot="1">
      <c r="A39" s="100">
        <v>4</v>
      </c>
      <c r="B39" s="101" t="s">
        <v>60</v>
      </c>
      <c r="C39" s="101">
        <v>95</v>
      </c>
      <c r="D39" s="101">
        <v>100</v>
      </c>
      <c r="E39" s="101">
        <v>350</v>
      </c>
      <c r="G39" s="28">
        <v>38</v>
      </c>
      <c r="H39" s="86" t="s">
        <v>101</v>
      </c>
      <c r="I39" s="1" t="str">
        <f t="shared" si="2"/>
        <v>0930</v>
      </c>
      <c r="J39" s="87">
        <v>290</v>
      </c>
      <c r="K39" s="87">
        <v>290</v>
      </c>
      <c r="L39" s="3">
        <f t="shared" si="0"/>
        <v>0</v>
      </c>
      <c r="M39" s="3">
        <f t="shared" si="1"/>
        <v>0</v>
      </c>
      <c r="N39" s="1">
        <v>0</v>
      </c>
    </row>
    <row r="40" spans="1:14">
      <c r="G40" s="28">
        <v>39</v>
      </c>
      <c r="H40" s="86" t="s">
        <v>102</v>
      </c>
      <c r="I40" s="1" t="str">
        <f t="shared" si="2"/>
        <v>0945</v>
      </c>
      <c r="J40" s="87">
        <v>213.18</v>
      </c>
      <c r="K40" s="87">
        <v>213.18</v>
      </c>
      <c r="L40" s="3">
        <f t="shared" si="0"/>
        <v>0</v>
      </c>
      <c r="M40" s="3">
        <f t="shared" si="1"/>
        <v>0</v>
      </c>
      <c r="N40" s="1">
        <v>0</v>
      </c>
    </row>
    <row r="41" spans="1:14">
      <c r="G41" s="28">
        <v>40</v>
      </c>
      <c r="H41" s="86" t="s">
        <v>103</v>
      </c>
      <c r="I41" s="1" t="str">
        <f t="shared" si="2"/>
        <v>1000</v>
      </c>
      <c r="J41" s="87">
        <v>0</v>
      </c>
      <c r="K41" s="87">
        <v>0</v>
      </c>
      <c r="L41" s="3">
        <f t="shared" si="0"/>
        <v>0</v>
      </c>
      <c r="M41" s="3">
        <f t="shared" si="1"/>
        <v>0</v>
      </c>
      <c r="N41" s="1">
        <v>0</v>
      </c>
    </row>
    <row r="42" spans="1:14">
      <c r="G42" s="28">
        <v>41</v>
      </c>
      <c r="H42" s="86" t="s">
        <v>104</v>
      </c>
      <c r="I42" s="1" t="str">
        <f t="shared" si="2"/>
        <v>1015</v>
      </c>
      <c r="J42" s="87">
        <v>0</v>
      </c>
      <c r="K42" s="87">
        <v>0</v>
      </c>
      <c r="L42" s="3">
        <f t="shared" si="0"/>
        <v>0</v>
      </c>
      <c r="M42" s="3">
        <f t="shared" si="1"/>
        <v>0</v>
      </c>
      <c r="N42" s="1">
        <v>0</v>
      </c>
    </row>
    <row r="43" spans="1:14">
      <c r="G43" s="28">
        <v>42</v>
      </c>
      <c r="H43" s="86" t="s">
        <v>105</v>
      </c>
      <c r="I43" s="1" t="str">
        <f t="shared" si="2"/>
        <v>1030</v>
      </c>
      <c r="J43" s="87">
        <v>-26.8</v>
      </c>
      <c r="K43" s="87">
        <v>-26.8</v>
      </c>
      <c r="L43" s="3">
        <f t="shared" si="0"/>
        <v>0</v>
      </c>
      <c r="M43" s="3">
        <f t="shared" si="1"/>
        <v>0</v>
      </c>
      <c r="N43" s="1">
        <v>0</v>
      </c>
    </row>
    <row r="44" spans="1:14">
      <c r="G44" s="28">
        <v>43</v>
      </c>
      <c r="H44" s="86" t="s">
        <v>106</v>
      </c>
      <c r="I44" s="1" t="str">
        <f t="shared" si="2"/>
        <v>1045</v>
      </c>
      <c r="J44" s="87">
        <v>-80</v>
      </c>
      <c r="K44" s="87">
        <v>-80</v>
      </c>
      <c r="L44" s="3">
        <f t="shared" si="0"/>
        <v>0</v>
      </c>
      <c r="M44" s="3">
        <f t="shared" si="1"/>
        <v>0</v>
      </c>
      <c r="N44" s="1">
        <v>0</v>
      </c>
    </row>
    <row r="45" spans="1:14">
      <c r="G45" s="28">
        <v>44</v>
      </c>
      <c r="H45" s="86" t="s">
        <v>107</v>
      </c>
      <c r="I45" s="1" t="str">
        <f t="shared" si="2"/>
        <v>1100</v>
      </c>
      <c r="J45" s="87">
        <v>-80</v>
      </c>
      <c r="K45" s="87">
        <v>-80</v>
      </c>
      <c r="L45" s="3">
        <f t="shared" si="0"/>
        <v>0</v>
      </c>
      <c r="M45" s="3">
        <f t="shared" si="1"/>
        <v>0</v>
      </c>
      <c r="N45" s="1">
        <v>0</v>
      </c>
    </row>
    <row r="46" spans="1:14">
      <c r="G46" s="28">
        <v>45</v>
      </c>
      <c r="H46" s="86" t="s">
        <v>108</v>
      </c>
      <c r="I46" s="1" t="str">
        <f t="shared" si="2"/>
        <v>1115</v>
      </c>
      <c r="J46" s="87">
        <v>-80.81</v>
      </c>
      <c r="K46" s="87">
        <v>-80.81</v>
      </c>
      <c r="L46" s="3">
        <f t="shared" si="0"/>
        <v>0</v>
      </c>
      <c r="M46" s="3">
        <f t="shared" si="1"/>
        <v>0</v>
      </c>
      <c r="N46" s="1">
        <v>0</v>
      </c>
    </row>
    <row r="47" spans="1:14">
      <c r="G47" s="28">
        <v>46</v>
      </c>
      <c r="H47" s="86" t="s">
        <v>109</v>
      </c>
      <c r="I47" s="1" t="str">
        <f t="shared" si="2"/>
        <v>1130</v>
      </c>
      <c r="J47" s="87">
        <v>-80.81</v>
      </c>
      <c r="K47" s="87">
        <v>-80.81</v>
      </c>
      <c r="L47" s="3">
        <f t="shared" si="0"/>
        <v>-95</v>
      </c>
      <c r="M47" s="3">
        <f t="shared" si="1"/>
        <v>0</v>
      </c>
      <c r="N47" s="1">
        <v>-95</v>
      </c>
    </row>
    <row r="48" spans="1:14">
      <c r="G48" s="28">
        <v>47</v>
      </c>
      <c r="H48" s="86" t="s">
        <v>110</v>
      </c>
      <c r="I48" s="1" t="str">
        <f t="shared" si="2"/>
        <v>1145</v>
      </c>
      <c r="J48" s="87">
        <v>-80.81</v>
      </c>
      <c r="K48" s="87">
        <v>-80.81</v>
      </c>
      <c r="L48" s="3">
        <f t="shared" si="0"/>
        <v>-95</v>
      </c>
      <c r="M48" s="3">
        <f t="shared" si="1"/>
        <v>0</v>
      </c>
      <c r="N48" s="1">
        <v>-95</v>
      </c>
    </row>
    <row r="49" spans="7:14">
      <c r="G49" s="28">
        <v>48</v>
      </c>
      <c r="H49" s="86" t="s">
        <v>111</v>
      </c>
      <c r="I49" s="1" t="str">
        <f t="shared" si="2"/>
        <v>1200</v>
      </c>
      <c r="J49" s="87">
        <v>-80.81</v>
      </c>
      <c r="K49" s="87">
        <v>-80.81</v>
      </c>
      <c r="L49" s="3">
        <f t="shared" si="0"/>
        <v>-95</v>
      </c>
      <c r="M49" s="3">
        <f t="shared" si="1"/>
        <v>0</v>
      </c>
      <c r="N49" s="1">
        <v>-95</v>
      </c>
    </row>
    <row r="50" spans="7:14">
      <c r="G50" s="28">
        <v>49</v>
      </c>
      <c r="H50" s="86" t="s">
        <v>112</v>
      </c>
      <c r="I50" s="1" t="str">
        <f t="shared" si="2"/>
        <v>1215</v>
      </c>
      <c r="J50" s="87">
        <v>-80.81</v>
      </c>
      <c r="K50" s="87">
        <v>-80.81</v>
      </c>
      <c r="L50" s="3">
        <f t="shared" si="0"/>
        <v>-95</v>
      </c>
      <c r="M50" s="3">
        <f t="shared" si="1"/>
        <v>0</v>
      </c>
      <c r="N50" s="1">
        <v>-95</v>
      </c>
    </row>
    <row r="51" spans="7:14">
      <c r="G51" s="28">
        <v>50</v>
      </c>
      <c r="H51" s="86" t="s">
        <v>113</v>
      </c>
      <c r="I51" s="1" t="str">
        <f t="shared" si="2"/>
        <v>1230</v>
      </c>
      <c r="J51" s="87">
        <v>-80.81</v>
      </c>
      <c r="K51" s="87">
        <v>-80.81</v>
      </c>
      <c r="L51" s="3">
        <f t="shared" si="0"/>
        <v>-95</v>
      </c>
      <c r="M51" s="3">
        <f t="shared" si="1"/>
        <v>0</v>
      </c>
      <c r="N51" s="1">
        <v>-95</v>
      </c>
    </row>
    <row r="52" spans="7:14">
      <c r="G52" s="28">
        <v>51</v>
      </c>
      <c r="H52" s="86" t="s">
        <v>114</v>
      </c>
      <c r="I52" s="1" t="str">
        <f t="shared" si="2"/>
        <v>1245</v>
      </c>
      <c r="J52" s="87">
        <v>-80.81</v>
      </c>
      <c r="K52" s="87">
        <v>-80.81</v>
      </c>
      <c r="L52" s="3">
        <f t="shared" si="0"/>
        <v>-95</v>
      </c>
      <c r="M52" s="3">
        <f t="shared" si="1"/>
        <v>0</v>
      </c>
      <c r="N52" s="1">
        <v>-95</v>
      </c>
    </row>
    <row r="53" spans="7:14">
      <c r="G53" s="28">
        <v>52</v>
      </c>
      <c r="H53" s="86" t="s">
        <v>115</v>
      </c>
      <c r="I53" s="1" t="str">
        <f t="shared" si="2"/>
        <v>1300</v>
      </c>
      <c r="J53" s="87">
        <v>-80.81</v>
      </c>
      <c r="K53" s="87">
        <v>-80.81</v>
      </c>
      <c r="L53" s="3">
        <f t="shared" si="0"/>
        <v>-95</v>
      </c>
      <c r="M53" s="3">
        <f t="shared" si="1"/>
        <v>0</v>
      </c>
      <c r="N53" s="1">
        <v>-95</v>
      </c>
    </row>
    <row r="54" spans="7:14">
      <c r="G54" s="28">
        <v>53</v>
      </c>
      <c r="H54" s="86" t="s">
        <v>116</v>
      </c>
      <c r="I54" s="1" t="str">
        <f t="shared" si="2"/>
        <v>1315</v>
      </c>
      <c r="J54" s="87">
        <v>-80.81</v>
      </c>
      <c r="K54" s="87">
        <v>-80.81</v>
      </c>
      <c r="L54" s="3">
        <f t="shared" si="0"/>
        <v>-12.6</v>
      </c>
      <c r="M54" s="3">
        <f t="shared" si="1"/>
        <v>0</v>
      </c>
      <c r="N54" s="1">
        <v>-12.6</v>
      </c>
    </row>
    <row r="55" spans="7:14">
      <c r="G55" s="28">
        <v>54</v>
      </c>
      <c r="H55" s="86" t="s">
        <v>117</v>
      </c>
      <c r="I55" s="1" t="str">
        <f t="shared" si="2"/>
        <v>1330</v>
      </c>
      <c r="J55" s="87">
        <v>-80.81</v>
      </c>
      <c r="K55" s="87">
        <v>-80.81</v>
      </c>
      <c r="L55" s="3">
        <f t="shared" si="0"/>
        <v>-12.6</v>
      </c>
      <c r="M55" s="3">
        <f t="shared" si="1"/>
        <v>0</v>
      </c>
      <c r="N55" s="1">
        <v>-12.6</v>
      </c>
    </row>
    <row r="56" spans="7:14">
      <c r="G56" s="28">
        <v>55</v>
      </c>
      <c r="H56" s="86" t="s">
        <v>118</v>
      </c>
      <c r="I56" s="1" t="str">
        <f t="shared" si="2"/>
        <v>1345</v>
      </c>
      <c r="J56" s="87">
        <v>-80.81</v>
      </c>
      <c r="K56" s="87">
        <v>-80.81</v>
      </c>
      <c r="L56" s="3">
        <f t="shared" si="0"/>
        <v>-12.6</v>
      </c>
      <c r="M56" s="3">
        <f t="shared" si="1"/>
        <v>0</v>
      </c>
      <c r="N56" s="1">
        <v>-12.6</v>
      </c>
    </row>
    <row r="57" spans="7:14">
      <c r="G57" s="28">
        <v>56</v>
      </c>
      <c r="H57" s="86" t="s">
        <v>119</v>
      </c>
      <c r="I57" s="1" t="str">
        <f t="shared" si="2"/>
        <v>1400</v>
      </c>
      <c r="J57" s="87">
        <v>-80.81</v>
      </c>
      <c r="K57" s="87">
        <v>-80.81</v>
      </c>
      <c r="L57" s="3">
        <f t="shared" si="0"/>
        <v>-12.6</v>
      </c>
      <c r="M57" s="3">
        <f t="shared" si="1"/>
        <v>0</v>
      </c>
      <c r="N57" s="1">
        <v>-12.6</v>
      </c>
    </row>
    <row r="58" spans="7:14">
      <c r="G58" s="28">
        <v>57</v>
      </c>
      <c r="H58" s="86" t="s">
        <v>120</v>
      </c>
      <c r="I58" s="1" t="str">
        <f t="shared" si="2"/>
        <v>1415</v>
      </c>
      <c r="J58" s="87">
        <v>-80.81</v>
      </c>
      <c r="K58" s="87">
        <v>-80.81</v>
      </c>
      <c r="L58" s="3">
        <f t="shared" si="0"/>
        <v>-12.6</v>
      </c>
      <c r="M58" s="3">
        <f t="shared" si="1"/>
        <v>0</v>
      </c>
      <c r="N58" s="1">
        <v>-12.6</v>
      </c>
    </row>
    <row r="59" spans="7:14">
      <c r="G59" s="28">
        <v>58</v>
      </c>
      <c r="H59" s="86" t="s">
        <v>121</v>
      </c>
      <c r="I59" s="1" t="str">
        <f t="shared" si="2"/>
        <v>1430</v>
      </c>
      <c r="J59" s="87">
        <v>-80</v>
      </c>
      <c r="K59" s="87">
        <v>-80</v>
      </c>
      <c r="L59" s="3">
        <f t="shared" si="0"/>
        <v>0</v>
      </c>
      <c r="M59" s="3">
        <f t="shared" si="1"/>
        <v>0</v>
      </c>
      <c r="N59" s="1">
        <v>0</v>
      </c>
    </row>
    <row r="60" spans="7:14">
      <c r="G60" s="28">
        <v>59</v>
      </c>
      <c r="H60" s="86" t="s">
        <v>122</v>
      </c>
      <c r="I60" s="1" t="str">
        <f t="shared" si="2"/>
        <v>1445</v>
      </c>
      <c r="J60" s="87">
        <v>-80</v>
      </c>
      <c r="K60" s="87">
        <v>-80</v>
      </c>
      <c r="L60" s="3">
        <f t="shared" si="0"/>
        <v>0</v>
      </c>
      <c r="M60" s="3">
        <f t="shared" si="1"/>
        <v>0</v>
      </c>
      <c r="N60" s="1">
        <v>0</v>
      </c>
    </row>
    <row r="61" spans="7:14">
      <c r="G61" s="28">
        <v>60</v>
      </c>
      <c r="H61" s="86" t="s">
        <v>123</v>
      </c>
      <c r="I61" s="1" t="str">
        <f t="shared" si="2"/>
        <v>1500</v>
      </c>
      <c r="J61" s="87">
        <v>-80</v>
      </c>
      <c r="K61" s="87">
        <v>-80</v>
      </c>
      <c r="L61" s="3">
        <f t="shared" si="0"/>
        <v>0</v>
      </c>
      <c r="M61" s="3">
        <f t="shared" si="1"/>
        <v>0</v>
      </c>
      <c r="N61" s="1">
        <v>0</v>
      </c>
    </row>
    <row r="62" spans="7:14">
      <c r="G62" s="28">
        <v>61</v>
      </c>
      <c r="H62" s="86" t="s">
        <v>124</v>
      </c>
      <c r="I62" s="1" t="str">
        <f t="shared" si="2"/>
        <v>1515</v>
      </c>
      <c r="J62" s="87">
        <v>17.2</v>
      </c>
      <c r="K62" s="87">
        <v>17.2</v>
      </c>
      <c r="L62" s="3">
        <f t="shared" si="0"/>
        <v>0</v>
      </c>
      <c r="M62" s="3">
        <f t="shared" si="1"/>
        <v>0</v>
      </c>
      <c r="N62" s="1">
        <v>0</v>
      </c>
    </row>
    <row r="63" spans="7:14">
      <c r="G63" s="28">
        <v>62</v>
      </c>
      <c r="H63" s="86" t="s">
        <v>125</v>
      </c>
      <c r="I63" s="1" t="str">
        <f t="shared" si="2"/>
        <v>1530</v>
      </c>
      <c r="J63" s="87">
        <v>218</v>
      </c>
      <c r="K63" s="87">
        <v>218</v>
      </c>
      <c r="L63" s="3">
        <f t="shared" si="0"/>
        <v>0</v>
      </c>
      <c r="M63" s="3">
        <f t="shared" si="1"/>
        <v>0</v>
      </c>
      <c r="N63" s="1">
        <v>0</v>
      </c>
    </row>
    <row r="64" spans="7:14">
      <c r="G64" s="28">
        <v>63</v>
      </c>
      <c r="H64" s="86" t="s">
        <v>126</v>
      </c>
      <c r="I64" s="1" t="str">
        <f t="shared" si="2"/>
        <v>1545</v>
      </c>
      <c r="J64" s="87">
        <v>302</v>
      </c>
      <c r="K64" s="87">
        <v>302</v>
      </c>
      <c r="L64" s="3">
        <f t="shared" si="0"/>
        <v>0</v>
      </c>
      <c r="M64" s="3">
        <f t="shared" si="1"/>
        <v>0</v>
      </c>
      <c r="N64" s="1">
        <v>0</v>
      </c>
    </row>
    <row r="65" spans="7:14">
      <c r="G65" s="28">
        <v>64</v>
      </c>
      <c r="H65" s="86" t="s">
        <v>127</v>
      </c>
      <c r="I65" s="1" t="str">
        <f t="shared" si="2"/>
        <v>1600</v>
      </c>
      <c r="J65" s="87">
        <v>320.27999999999997</v>
      </c>
      <c r="K65" s="87">
        <v>320.27999999999997</v>
      </c>
      <c r="L65" s="3">
        <f t="shared" si="0"/>
        <v>0</v>
      </c>
      <c r="M65" s="3">
        <f t="shared" si="1"/>
        <v>0</v>
      </c>
      <c r="N65" s="1">
        <v>0</v>
      </c>
    </row>
    <row r="66" spans="7:14">
      <c r="G66" s="28">
        <v>65</v>
      </c>
      <c r="H66" s="86" t="s">
        <v>128</v>
      </c>
      <c r="I66" s="1" t="str">
        <f t="shared" si="2"/>
        <v>1615</v>
      </c>
      <c r="J66" s="87">
        <v>328.96</v>
      </c>
      <c r="K66" s="87">
        <v>328.96</v>
      </c>
      <c r="L66" s="3">
        <f t="shared" si="0"/>
        <v>0</v>
      </c>
      <c r="M66" s="3">
        <f t="shared" si="1"/>
        <v>0</v>
      </c>
      <c r="N66" s="1">
        <v>0</v>
      </c>
    </row>
    <row r="67" spans="7:14">
      <c r="G67" s="28">
        <v>66</v>
      </c>
      <c r="H67" s="86" t="s">
        <v>129</v>
      </c>
      <c r="I67" s="1" t="str">
        <f t="shared" si="2"/>
        <v>1630</v>
      </c>
      <c r="J67" s="87">
        <v>369.14</v>
      </c>
      <c r="K67" s="87">
        <v>369.14</v>
      </c>
      <c r="L67" s="3">
        <f t="shared" ref="L67:L97" si="3">IF(N67&lt;=0, N67, 0)</f>
        <v>0</v>
      </c>
      <c r="M67" s="3">
        <f t="shared" ref="M67:M97" si="4">IF(N67&gt;=0, N67, 0)</f>
        <v>0</v>
      </c>
      <c r="N67" s="1">
        <v>0</v>
      </c>
    </row>
    <row r="68" spans="7:14">
      <c r="G68" s="28">
        <v>67</v>
      </c>
      <c r="H68" s="86" t="s">
        <v>130</v>
      </c>
      <c r="I68" s="1" t="str">
        <f t="shared" ref="I68:I97" si="5">RIGHT(H68,4)</f>
        <v>1645</v>
      </c>
      <c r="J68" s="87">
        <v>427</v>
      </c>
      <c r="K68" s="87">
        <v>427</v>
      </c>
      <c r="L68" s="3">
        <f t="shared" si="3"/>
        <v>0</v>
      </c>
      <c r="M68" s="3">
        <f t="shared" si="4"/>
        <v>0</v>
      </c>
      <c r="N68" s="1">
        <v>0</v>
      </c>
    </row>
    <row r="69" spans="7:14">
      <c r="G69" s="28">
        <v>68</v>
      </c>
      <c r="H69" s="86" t="s">
        <v>131</v>
      </c>
      <c r="I69" s="1" t="str">
        <f t="shared" si="5"/>
        <v>1700</v>
      </c>
      <c r="J69" s="87">
        <v>438</v>
      </c>
      <c r="K69" s="87">
        <v>438</v>
      </c>
      <c r="L69" s="3">
        <f t="shared" si="3"/>
        <v>0</v>
      </c>
      <c r="M69" s="3">
        <f t="shared" si="4"/>
        <v>0</v>
      </c>
      <c r="N69" s="1">
        <v>0</v>
      </c>
    </row>
    <row r="70" spans="7:14">
      <c r="G70" s="28">
        <v>69</v>
      </c>
      <c r="H70" s="86" t="s">
        <v>132</v>
      </c>
      <c r="I70" s="1" t="str">
        <f t="shared" si="5"/>
        <v>1715</v>
      </c>
      <c r="J70" s="87">
        <v>438</v>
      </c>
      <c r="K70" s="87">
        <v>438</v>
      </c>
      <c r="L70" s="3">
        <f t="shared" si="3"/>
        <v>0</v>
      </c>
      <c r="M70" s="3">
        <f t="shared" si="4"/>
        <v>0</v>
      </c>
      <c r="N70" s="1">
        <v>0</v>
      </c>
    </row>
    <row r="71" spans="7:14">
      <c r="G71" s="28">
        <v>70</v>
      </c>
      <c r="H71" s="86" t="s">
        <v>133</v>
      </c>
      <c r="I71" s="1" t="str">
        <f t="shared" si="5"/>
        <v>1730</v>
      </c>
      <c r="J71" s="87">
        <v>440.12</v>
      </c>
      <c r="K71" s="87">
        <v>440.12</v>
      </c>
      <c r="L71" s="3">
        <f t="shared" si="3"/>
        <v>0</v>
      </c>
      <c r="M71" s="3">
        <f t="shared" si="4"/>
        <v>0</v>
      </c>
      <c r="N71" s="1">
        <v>0</v>
      </c>
    </row>
    <row r="72" spans="7:14">
      <c r="G72" s="28">
        <v>71</v>
      </c>
      <c r="H72" s="86" t="s">
        <v>134</v>
      </c>
      <c r="I72" s="1" t="str">
        <f t="shared" si="5"/>
        <v>1745</v>
      </c>
      <c r="J72" s="87">
        <v>438.92</v>
      </c>
      <c r="K72" s="87">
        <v>438.92</v>
      </c>
      <c r="L72" s="3">
        <f t="shared" si="3"/>
        <v>0</v>
      </c>
      <c r="M72" s="3">
        <f t="shared" si="4"/>
        <v>0</v>
      </c>
      <c r="N72" s="1">
        <v>0</v>
      </c>
    </row>
    <row r="73" spans="7:14">
      <c r="G73" s="28">
        <v>72</v>
      </c>
      <c r="H73" s="86" t="s">
        <v>135</v>
      </c>
      <c r="I73" s="1" t="str">
        <f t="shared" si="5"/>
        <v>1800</v>
      </c>
      <c r="J73" s="87">
        <v>438.76</v>
      </c>
      <c r="K73" s="87">
        <v>438.76</v>
      </c>
      <c r="L73" s="3">
        <f t="shared" si="3"/>
        <v>0</v>
      </c>
      <c r="M73" s="3">
        <f t="shared" si="4"/>
        <v>0</v>
      </c>
      <c r="N73" s="1">
        <v>0</v>
      </c>
    </row>
    <row r="74" spans="7:14">
      <c r="G74" s="28">
        <v>73</v>
      </c>
      <c r="H74" s="86" t="s">
        <v>136</v>
      </c>
      <c r="I74" s="1" t="str">
        <f t="shared" si="5"/>
        <v>1815</v>
      </c>
      <c r="J74" s="87">
        <v>438.76</v>
      </c>
      <c r="K74" s="87">
        <v>438.76</v>
      </c>
      <c r="L74" s="3">
        <f t="shared" si="3"/>
        <v>0</v>
      </c>
      <c r="M74" s="3">
        <f t="shared" si="4"/>
        <v>0</v>
      </c>
      <c r="N74" s="1">
        <v>0</v>
      </c>
    </row>
    <row r="75" spans="7:14">
      <c r="G75" s="28">
        <v>74</v>
      </c>
      <c r="H75" s="86" t="s">
        <v>137</v>
      </c>
      <c r="I75" s="1" t="str">
        <f t="shared" si="5"/>
        <v>1830</v>
      </c>
      <c r="J75" s="87">
        <v>438.76</v>
      </c>
      <c r="K75" s="87">
        <v>438.76</v>
      </c>
      <c r="L75" s="3">
        <f t="shared" si="3"/>
        <v>0</v>
      </c>
      <c r="M75" s="3">
        <f t="shared" si="4"/>
        <v>0</v>
      </c>
      <c r="N75" s="1">
        <v>0</v>
      </c>
    </row>
    <row r="76" spans="7:14">
      <c r="G76" s="28">
        <v>75</v>
      </c>
      <c r="H76" s="86" t="s">
        <v>138</v>
      </c>
      <c r="I76" s="1" t="str">
        <f t="shared" si="5"/>
        <v>1845</v>
      </c>
      <c r="J76" s="87">
        <v>438.76</v>
      </c>
      <c r="K76" s="87">
        <v>438.76</v>
      </c>
      <c r="L76" s="3">
        <f t="shared" si="3"/>
        <v>0</v>
      </c>
      <c r="M76" s="3">
        <f t="shared" si="4"/>
        <v>0</v>
      </c>
      <c r="N76" s="1">
        <v>0</v>
      </c>
    </row>
    <row r="77" spans="7:14">
      <c r="G77" s="28">
        <v>76</v>
      </c>
      <c r="H77" s="86" t="s">
        <v>139</v>
      </c>
      <c r="I77" s="1" t="str">
        <f t="shared" si="5"/>
        <v>1900</v>
      </c>
      <c r="J77" s="87">
        <v>438.76</v>
      </c>
      <c r="K77" s="87">
        <v>438.76</v>
      </c>
      <c r="L77" s="3">
        <f t="shared" si="3"/>
        <v>0</v>
      </c>
      <c r="M77" s="3">
        <f t="shared" si="4"/>
        <v>0</v>
      </c>
      <c r="N77" s="1">
        <v>0</v>
      </c>
    </row>
    <row r="78" spans="7:14">
      <c r="G78" s="28">
        <v>77</v>
      </c>
      <c r="H78" s="86" t="s">
        <v>140</v>
      </c>
      <c r="I78" s="1" t="str">
        <f t="shared" si="5"/>
        <v>1915</v>
      </c>
      <c r="J78" s="87">
        <v>438.76</v>
      </c>
      <c r="K78" s="87">
        <v>438.76</v>
      </c>
      <c r="L78" s="3">
        <f t="shared" si="3"/>
        <v>0</v>
      </c>
      <c r="M78" s="3">
        <f t="shared" si="4"/>
        <v>0</v>
      </c>
      <c r="N78" s="1">
        <v>0</v>
      </c>
    </row>
    <row r="79" spans="7:14">
      <c r="G79" s="28">
        <v>78</v>
      </c>
      <c r="H79" s="86" t="s">
        <v>141</v>
      </c>
      <c r="I79" s="1" t="str">
        <f t="shared" si="5"/>
        <v>1930</v>
      </c>
      <c r="J79" s="87">
        <v>438.76</v>
      </c>
      <c r="K79" s="87">
        <v>438.76</v>
      </c>
      <c r="L79" s="3">
        <f t="shared" si="3"/>
        <v>0</v>
      </c>
      <c r="M79" s="3">
        <f t="shared" si="4"/>
        <v>0</v>
      </c>
      <c r="N79" s="1">
        <v>0</v>
      </c>
    </row>
    <row r="80" spans="7:14">
      <c r="G80" s="28">
        <v>79</v>
      </c>
      <c r="H80" s="86" t="s">
        <v>142</v>
      </c>
      <c r="I80" s="1" t="str">
        <f t="shared" si="5"/>
        <v>1945</v>
      </c>
      <c r="J80" s="87">
        <v>438.76</v>
      </c>
      <c r="K80" s="87">
        <v>438.76</v>
      </c>
      <c r="L80" s="3">
        <f t="shared" si="3"/>
        <v>0</v>
      </c>
      <c r="M80" s="3">
        <f t="shared" si="4"/>
        <v>12.33</v>
      </c>
      <c r="N80" s="1">
        <v>12.33</v>
      </c>
    </row>
    <row r="81" spans="7:14">
      <c r="G81" s="28">
        <v>80</v>
      </c>
      <c r="H81" s="86" t="s">
        <v>143</v>
      </c>
      <c r="I81" s="1" t="str">
        <f t="shared" si="5"/>
        <v>2000</v>
      </c>
      <c r="J81" s="87">
        <v>438.76</v>
      </c>
      <c r="K81" s="87">
        <v>438.76</v>
      </c>
      <c r="L81" s="3">
        <f t="shared" si="3"/>
        <v>0</v>
      </c>
      <c r="M81" s="3">
        <f t="shared" si="4"/>
        <v>75.47</v>
      </c>
      <c r="N81" s="1">
        <v>75.47</v>
      </c>
    </row>
    <row r="82" spans="7:14">
      <c r="G82" s="28">
        <v>81</v>
      </c>
      <c r="H82" s="86" t="s">
        <v>144</v>
      </c>
      <c r="I82" s="1" t="str">
        <f t="shared" si="5"/>
        <v>2015</v>
      </c>
      <c r="J82" s="87">
        <v>438.76</v>
      </c>
      <c r="K82" s="87">
        <v>438.76</v>
      </c>
      <c r="L82" s="3">
        <f t="shared" si="3"/>
        <v>0</v>
      </c>
      <c r="M82" s="3">
        <f t="shared" si="4"/>
        <v>75.47</v>
      </c>
      <c r="N82" s="1">
        <v>75.47</v>
      </c>
    </row>
    <row r="83" spans="7:14">
      <c r="G83" s="28">
        <v>82</v>
      </c>
      <c r="H83" s="86" t="s">
        <v>145</v>
      </c>
      <c r="I83" s="1" t="str">
        <f t="shared" si="5"/>
        <v>2030</v>
      </c>
      <c r="J83" s="87">
        <v>438.76</v>
      </c>
      <c r="K83" s="87">
        <v>438.76</v>
      </c>
      <c r="L83" s="3">
        <f t="shared" si="3"/>
        <v>0</v>
      </c>
      <c r="M83" s="3">
        <f t="shared" si="4"/>
        <v>75.47</v>
      </c>
      <c r="N83" s="1">
        <v>75.47</v>
      </c>
    </row>
    <row r="84" spans="7:14">
      <c r="G84" s="28">
        <v>83</v>
      </c>
      <c r="H84" s="86" t="s">
        <v>146</v>
      </c>
      <c r="I84" s="1" t="str">
        <f t="shared" si="5"/>
        <v>2045</v>
      </c>
      <c r="J84" s="87">
        <v>438.76</v>
      </c>
      <c r="K84" s="87">
        <v>438.76</v>
      </c>
      <c r="L84" s="3">
        <f t="shared" si="3"/>
        <v>0</v>
      </c>
      <c r="M84" s="3">
        <f t="shared" si="4"/>
        <v>75.47</v>
      </c>
      <c r="N84" s="1">
        <v>75.47</v>
      </c>
    </row>
    <row r="85" spans="7:14">
      <c r="G85" s="28">
        <v>84</v>
      </c>
      <c r="H85" s="86" t="s">
        <v>147</v>
      </c>
      <c r="I85" s="1" t="str">
        <f t="shared" si="5"/>
        <v>2100</v>
      </c>
      <c r="J85" s="87">
        <v>438.76</v>
      </c>
      <c r="K85" s="87">
        <v>438.76</v>
      </c>
      <c r="L85" s="3">
        <f t="shared" si="3"/>
        <v>0</v>
      </c>
      <c r="M85" s="3">
        <f t="shared" si="4"/>
        <v>75.47</v>
      </c>
      <c r="N85" s="1">
        <v>75.47</v>
      </c>
    </row>
    <row r="86" spans="7:14">
      <c r="G86" s="28">
        <v>85</v>
      </c>
      <c r="H86" s="86" t="s">
        <v>148</v>
      </c>
      <c r="I86" s="1" t="str">
        <f t="shared" si="5"/>
        <v>2115</v>
      </c>
      <c r="J86" s="87">
        <v>438.76</v>
      </c>
      <c r="K86" s="87">
        <v>438.76</v>
      </c>
      <c r="L86" s="3">
        <f t="shared" si="3"/>
        <v>0</v>
      </c>
      <c r="M86" s="3">
        <f t="shared" si="4"/>
        <v>75.47</v>
      </c>
      <c r="N86" s="1">
        <v>75.47</v>
      </c>
    </row>
    <row r="87" spans="7:14">
      <c r="G87" s="28">
        <v>86</v>
      </c>
      <c r="H87" s="86" t="s">
        <v>149</v>
      </c>
      <c r="I87" s="1" t="str">
        <f t="shared" si="5"/>
        <v>2130</v>
      </c>
      <c r="J87" s="87">
        <v>438.76</v>
      </c>
      <c r="K87" s="87">
        <v>438.76</v>
      </c>
      <c r="L87" s="3">
        <f t="shared" si="3"/>
        <v>0</v>
      </c>
      <c r="M87" s="3">
        <f t="shared" si="4"/>
        <v>75.47</v>
      </c>
      <c r="N87" s="1">
        <v>75.47</v>
      </c>
    </row>
    <row r="88" spans="7:14">
      <c r="G88" s="28">
        <v>87</v>
      </c>
      <c r="H88" s="86" t="s">
        <v>150</v>
      </c>
      <c r="I88" s="1" t="str">
        <f t="shared" si="5"/>
        <v>2145</v>
      </c>
      <c r="J88" s="87">
        <v>438.76</v>
      </c>
      <c r="K88" s="87">
        <v>438.76</v>
      </c>
      <c r="L88" s="3">
        <f t="shared" si="3"/>
        <v>0</v>
      </c>
      <c r="M88" s="3">
        <f t="shared" si="4"/>
        <v>75.47</v>
      </c>
      <c r="N88" s="1">
        <v>75.47</v>
      </c>
    </row>
    <row r="89" spans="7:14">
      <c r="G89" s="28">
        <v>88</v>
      </c>
      <c r="H89" s="86" t="s">
        <v>151</v>
      </c>
      <c r="I89" s="1" t="str">
        <f t="shared" si="5"/>
        <v>2200</v>
      </c>
      <c r="J89" s="87">
        <v>438.76</v>
      </c>
      <c r="K89" s="87">
        <v>438.76</v>
      </c>
      <c r="L89" s="3">
        <f t="shared" si="3"/>
        <v>0</v>
      </c>
      <c r="M89" s="3">
        <f t="shared" si="4"/>
        <v>75.47</v>
      </c>
      <c r="N89" s="1">
        <v>75.47</v>
      </c>
    </row>
    <row r="90" spans="7:14">
      <c r="G90" s="28">
        <v>89</v>
      </c>
      <c r="H90" s="86" t="s">
        <v>152</v>
      </c>
      <c r="I90" s="1" t="str">
        <f t="shared" si="5"/>
        <v>2215</v>
      </c>
      <c r="J90" s="87">
        <v>438.76</v>
      </c>
      <c r="K90" s="87">
        <v>438.76</v>
      </c>
      <c r="L90" s="3">
        <f t="shared" si="3"/>
        <v>0</v>
      </c>
      <c r="M90" s="3">
        <f t="shared" si="4"/>
        <v>0</v>
      </c>
      <c r="N90" s="1">
        <v>0</v>
      </c>
    </row>
    <row r="91" spans="7:14">
      <c r="G91" s="28">
        <v>90</v>
      </c>
      <c r="H91" s="86" t="s">
        <v>153</v>
      </c>
      <c r="I91" s="1" t="str">
        <f t="shared" si="5"/>
        <v>2230</v>
      </c>
      <c r="J91" s="87">
        <v>436</v>
      </c>
      <c r="K91" s="87">
        <v>436</v>
      </c>
      <c r="L91" s="3">
        <f t="shared" si="3"/>
        <v>0</v>
      </c>
      <c r="M91" s="3">
        <f t="shared" si="4"/>
        <v>0</v>
      </c>
      <c r="N91" s="1">
        <v>0</v>
      </c>
    </row>
    <row r="92" spans="7:14">
      <c r="G92" s="28">
        <v>91</v>
      </c>
      <c r="H92" s="86" t="s">
        <v>154</v>
      </c>
      <c r="I92" s="1" t="str">
        <f t="shared" si="5"/>
        <v>2245</v>
      </c>
      <c r="J92" s="87">
        <v>432</v>
      </c>
      <c r="K92" s="87">
        <v>432</v>
      </c>
      <c r="L92" s="3">
        <f t="shared" si="3"/>
        <v>0</v>
      </c>
      <c r="M92" s="3">
        <f t="shared" si="4"/>
        <v>0</v>
      </c>
      <c r="N92" s="1">
        <v>0</v>
      </c>
    </row>
    <row r="93" spans="7:14">
      <c r="G93" s="28">
        <v>92</v>
      </c>
      <c r="H93" s="86" t="s">
        <v>155</v>
      </c>
      <c r="I93" s="1" t="str">
        <f t="shared" si="5"/>
        <v>2300</v>
      </c>
      <c r="J93" s="87">
        <v>424</v>
      </c>
      <c r="K93" s="87">
        <v>424</v>
      </c>
      <c r="L93" s="3">
        <f t="shared" si="3"/>
        <v>0</v>
      </c>
      <c r="M93" s="3">
        <f t="shared" si="4"/>
        <v>0</v>
      </c>
      <c r="N93" s="1">
        <v>0</v>
      </c>
    </row>
    <row r="94" spans="7:14">
      <c r="G94" s="28">
        <v>93</v>
      </c>
      <c r="H94" s="86" t="s">
        <v>156</v>
      </c>
      <c r="I94" s="1" t="str">
        <f t="shared" si="5"/>
        <v>2315</v>
      </c>
      <c r="J94" s="87">
        <v>427</v>
      </c>
      <c r="K94" s="87">
        <v>427</v>
      </c>
      <c r="L94" s="3">
        <f t="shared" si="3"/>
        <v>0</v>
      </c>
      <c r="M94" s="3">
        <f t="shared" si="4"/>
        <v>0</v>
      </c>
      <c r="N94" s="1">
        <v>0</v>
      </c>
    </row>
    <row r="95" spans="7:14">
      <c r="G95" s="28">
        <v>94</v>
      </c>
      <c r="H95" s="86" t="s">
        <v>157</v>
      </c>
      <c r="I95" s="1" t="str">
        <f t="shared" si="5"/>
        <v>2330</v>
      </c>
      <c r="J95" s="87">
        <v>411.38</v>
      </c>
      <c r="K95" s="87">
        <v>411.38</v>
      </c>
      <c r="L95" s="3">
        <f t="shared" si="3"/>
        <v>0</v>
      </c>
      <c r="M95" s="3">
        <f t="shared" si="4"/>
        <v>0</v>
      </c>
      <c r="N95" s="1">
        <v>0</v>
      </c>
    </row>
    <row r="96" spans="7:14">
      <c r="G96" s="28">
        <v>95</v>
      </c>
      <c r="H96" s="86" t="s">
        <v>158</v>
      </c>
      <c r="I96" s="1" t="str">
        <f t="shared" si="5"/>
        <v>2345</v>
      </c>
      <c r="J96" s="87">
        <v>392.38</v>
      </c>
      <c r="K96" s="87">
        <v>392.38</v>
      </c>
      <c r="L96" s="3">
        <f t="shared" si="3"/>
        <v>0</v>
      </c>
      <c r="M96" s="3">
        <f t="shared" si="4"/>
        <v>0</v>
      </c>
      <c r="N96" s="1">
        <v>0</v>
      </c>
    </row>
    <row r="97" spans="7:14">
      <c r="G97" s="28">
        <v>96</v>
      </c>
      <c r="H97" s="86" t="s">
        <v>159</v>
      </c>
      <c r="I97" s="1" t="str">
        <f t="shared" si="5"/>
        <v>2400</v>
      </c>
      <c r="J97" s="87">
        <v>374</v>
      </c>
      <c r="K97" s="87">
        <v>374</v>
      </c>
      <c r="L97" s="3">
        <f t="shared" si="3"/>
        <v>0</v>
      </c>
      <c r="M97" s="3">
        <f t="shared" si="4"/>
        <v>0</v>
      </c>
      <c r="N97" s="1">
        <v>0</v>
      </c>
    </row>
    <row r="98" spans="7:14">
      <c r="J98" s="87"/>
      <c r="K98" s="87"/>
      <c r="N98" s="1">
        <v>0</v>
      </c>
    </row>
    <row r="99" spans="7:14">
      <c r="N99" s="1">
        <v>0</v>
      </c>
    </row>
    <row r="100" spans="7:14">
      <c r="N100" s="1">
        <v>0</v>
      </c>
    </row>
  </sheetData>
  <phoneticPr fontId="9" type="noConversion"/>
  <pageMargins left="0.75" right="0.75" top="1" bottom="1" header="0.5" footer="0.5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E6CC4-CC8F-4839-B39A-A9E044BD3365}">
  <dimension ref="A1:Q103"/>
  <sheetViews>
    <sheetView zoomScale="130" zoomScaleNormal="130" workbookViewId="0">
      <selection activeCell="D8" sqref="D8"/>
    </sheetView>
  </sheetViews>
  <sheetFormatPr defaultColWidth="10.6640625" defaultRowHeight="15" customHeight="1"/>
  <cols>
    <col min="1" max="1" width="15.21875" style="55" customWidth="1"/>
    <col min="2" max="5" width="15.21875" style="54" customWidth="1"/>
    <col min="6" max="17" width="7.44140625" style="54" customWidth="1"/>
    <col min="18" max="18" width="10.6640625" style="54" customWidth="1"/>
    <col min="19" max="16384" width="10.6640625" style="54"/>
  </cols>
  <sheetData>
    <row r="1" spans="1:17" ht="15" customHeight="1" thickTop="1" thickBot="1">
      <c r="A1" s="51" t="s">
        <v>160</v>
      </c>
      <c r="B1" s="52"/>
      <c r="C1" s="53">
        <v>70.5</v>
      </c>
    </row>
    <row r="2" spans="1:17" ht="15" customHeight="1" thickTop="1" thickBot="1">
      <c r="A2" s="54"/>
      <c r="J2" s="55"/>
      <c r="K2" s="55"/>
      <c r="L2" s="55"/>
    </row>
    <row r="3" spans="1:17" ht="15" customHeight="1" thickTop="1" thickBot="1">
      <c r="A3" s="56" t="s">
        <v>161</v>
      </c>
      <c r="B3" s="57"/>
      <c r="C3" s="58">
        <f t="array" aca="1" ref="C3" ca="1">SUMPRODUCT(C8:C103,D8:D103)/SUM(C8:C103)</f>
        <v>0.11666666666666665</v>
      </c>
      <c r="E3" s="56" t="s">
        <v>162</v>
      </c>
      <c r="F3" s="57"/>
      <c r="G3" s="58">
        <f t="array" aca="1" ref="G3" ca="1">SUMPRODUCT(D8:D103,E8:E103)/SUM(E8:E103)</f>
        <v>0.10346153846153848</v>
      </c>
      <c r="H3" s="55"/>
      <c r="J3" s="55"/>
      <c r="K3" s="55"/>
      <c r="L3" s="55"/>
    </row>
    <row r="4" spans="1:17" ht="15" customHeight="1" thickTop="1">
      <c r="A4" s="54"/>
      <c r="F4" s="59"/>
      <c r="G4" s="59"/>
      <c r="H4" s="55"/>
      <c r="J4" s="55"/>
      <c r="K4" s="55"/>
      <c r="L4" s="55"/>
    </row>
    <row r="5" spans="1:17" ht="15" customHeight="1" thickBot="1">
      <c r="A5" s="54"/>
      <c r="F5" s="59"/>
      <c r="G5" s="59"/>
      <c r="H5" s="55"/>
      <c r="J5" s="55"/>
      <c r="K5" s="55"/>
      <c r="L5" s="55"/>
    </row>
    <row r="6" spans="1:17" ht="15" customHeight="1" thickTop="1">
      <c r="A6" s="127" t="s">
        <v>39</v>
      </c>
      <c r="B6" s="127" t="s">
        <v>163</v>
      </c>
      <c r="C6" s="127" t="s">
        <v>164</v>
      </c>
      <c r="D6" s="60" t="s">
        <v>165</v>
      </c>
      <c r="E6" s="127" t="s">
        <v>166</v>
      </c>
      <c r="F6" s="123" t="s">
        <v>181</v>
      </c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5"/>
    </row>
    <row r="7" spans="1:17" ht="15" customHeight="1" thickBot="1">
      <c r="A7" s="128"/>
      <c r="B7" s="128"/>
      <c r="C7" s="128"/>
      <c r="D7" s="61" t="s">
        <v>349</v>
      </c>
      <c r="E7" s="128"/>
      <c r="F7" s="62" t="s">
        <v>168</v>
      </c>
      <c r="G7" s="63" t="s">
        <v>169</v>
      </c>
      <c r="H7" s="63" t="s">
        <v>170</v>
      </c>
      <c r="I7" s="63" t="s">
        <v>171</v>
      </c>
      <c r="J7" s="63" t="s">
        <v>172</v>
      </c>
      <c r="K7" s="63" t="s">
        <v>173</v>
      </c>
      <c r="L7" s="63" t="s">
        <v>167</v>
      </c>
      <c r="M7" s="63" t="s">
        <v>174</v>
      </c>
      <c r="N7" s="63" t="s">
        <v>175</v>
      </c>
      <c r="O7" s="63" t="s">
        <v>176</v>
      </c>
      <c r="P7" s="63" t="s">
        <v>177</v>
      </c>
      <c r="Q7" s="64" t="s">
        <v>178</v>
      </c>
    </row>
    <row r="8" spans="1:17" ht="15" customHeight="1" thickTop="1">
      <c r="A8" s="126">
        <v>1</v>
      </c>
      <c r="B8" s="63">
        <v>1</v>
      </c>
      <c r="C8" s="102">
        <f>IF(E8&lt;0,1,0)</f>
        <v>0</v>
      </c>
      <c r="D8" s="65">
        <f t="array" aca="1" ref="D8" ca="1">INDIRECT(ADDRESS(B8+ROW($D$7),MATCH($D$7,$F$7:$Q$7,0)+5))</f>
        <v>1</v>
      </c>
      <c r="E8" s="66">
        <f>报价及预中标!L2</f>
        <v>0</v>
      </c>
      <c r="F8" s="62">
        <v>1</v>
      </c>
      <c r="G8" s="62">
        <v>1</v>
      </c>
      <c r="H8" s="63">
        <v>1</v>
      </c>
      <c r="I8" s="63">
        <v>1</v>
      </c>
      <c r="J8" s="63">
        <v>1</v>
      </c>
      <c r="K8" s="63">
        <v>1</v>
      </c>
      <c r="L8" s="63">
        <v>0.3</v>
      </c>
      <c r="M8" s="63">
        <v>0.3</v>
      </c>
      <c r="N8" s="63">
        <v>1</v>
      </c>
      <c r="O8" s="63">
        <v>1</v>
      </c>
      <c r="P8" s="63">
        <v>1</v>
      </c>
      <c r="Q8" s="62">
        <v>1</v>
      </c>
    </row>
    <row r="9" spans="1:17" ht="15" customHeight="1">
      <c r="A9" s="126"/>
      <c r="B9" s="63">
        <v>2</v>
      </c>
      <c r="C9" s="102">
        <f t="shared" ref="C9:C72" si="0">IF(E9&lt;0,1,0)</f>
        <v>0</v>
      </c>
      <c r="D9" s="63">
        <f t="array" aca="1" ref="D9" ca="1">INDIRECT(ADDRESS(B9+ROW($D$7),MATCH($D$7,$F$7:$Q$7,0)+5))</f>
        <v>1</v>
      </c>
      <c r="E9" s="66">
        <f>报价及预中标!L3</f>
        <v>0</v>
      </c>
      <c r="F9" s="62">
        <v>1</v>
      </c>
      <c r="G9" s="62">
        <v>1</v>
      </c>
      <c r="H9" s="63">
        <v>1</v>
      </c>
      <c r="I9" s="63">
        <v>1</v>
      </c>
      <c r="J9" s="63">
        <v>1</v>
      </c>
      <c r="K9" s="63">
        <v>1</v>
      </c>
      <c r="L9" s="63">
        <v>0.3</v>
      </c>
      <c r="M9" s="63">
        <v>0.3</v>
      </c>
      <c r="N9" s="63">
        <v>1</v>
      </c>
      <c r="O9" s="63">
        <v>1</v>
      </c>
      <c r="P9" s="63">
        <v>1</v>
      </c>
      <c r="Q9" s="62">
        <v>1</v>
      </c>
    </row>
    <row r="10" spans="1:17" ht="15" customHeight="1">
      <c r="A10" s="126"/>
      <c r="B10" s="63">
        <v>3</v>
      </c>
      <c r="C10" s="102">
        <f t="shared" si="0"/>
        <v>0</v>
      </c>
      <c r="D10" s="63">
        <f t="array" aca="1" ref="D10" ca="1">INDIRECT(ADDRESS(B10+ROW($D$7),MATCH($D$7,$F$7:$Q$7,0)+5))</f>
        <v>1</v>
      </c>
      <c r="E10" s="66">
        <f>报价及预中标!L4</f>
        <v>0</v>
      </c>
      <c r="F10" s="62">
        <v>1</v>
      </c>
      <c r="G10" s="62">
        <v>1</v>
      </c>
      <c r="H10" s="63">
        <v>1</v>
      </c>
      <c r="I10" s="63">
        <v>1</v>
      </c>
      <c r="J10" s="63">
        <v>1</v>
      </c>
      <c r="K10" s="63">
        <v>1</v>
      </c>
      <c r="L10" s="63">
        <v>0.3</v>
      </c>
      <c r="M10" s="63">
        <v>0.3</v>
      </c>
      <c r="N10" s="63">
        <v>1</v>
      </c>
      <c r="O10" s="63">
        <v>1</v>
      </c>
      <c r="P10" s="63">
        <v>1</v>
      </c>
      <c r="Q10" s="62">
        <v>1</v>
      </c>
    </row>
    <row r="11" spans="1:17" ht="15" customHeight="1">
      <c r="A11" s="126"/>
      <c r="B11" s="63">
        <v>4</v>
      </c>
      <c r="C11" s="102">
        <f t="shared" si="0"/>
        <v>0</v>
      </c>
      <c r="D11" s="63">
        <f t="array" aca="1" ref="D11" ca="1">INDIRECT(ADDRESS(B11+ROW($D$7),MATCH($D$7,$F$7:$Q$7,0)+5))</f>
        <v>1</v>
      </c>
      <c r="E11" s="66">
        <f>报价及预中标!L5</f>
        <v>0</v>
      </c>
      <c r="F11" s="62">
        <v>1</v>
      </c>
      <c r="G11" s="62">
        <v>1</v>
      </c>
      <c r="H11" s="63">
        <v>1</v>
      </c>
      <c r="I11" s="63">
        <v>1</v>
      </c>
      <c r="J11" s="63">
        <v>1</v>
      </c>
      <c r="K11" s="63">
        <v>1</v>
      </c>
      <c r="L11" s="63">
        <v>0.3</v>
      </c>
      <c r="M11" s="63">
        <v>0.3</v>
      </c>
      <c r="N11" s="63">
        <v>1</v>
      </c>
      <c r="O11" s="63">
        <v>1</v>
      </c>
      <c r="P11" s="63">
        <v>1</v>
      </c>
      <c r="Q11" s="62">
        <v>1</v>
      </c>
    </row>
    <row r="12" spans="1:17" ht="15" customHeight="1">
      <c r="A12" s="126">
        <v>2</v>
      </c>
      <c r="B12" s="63">
        <v>5</v>
      </c>
      <c r="C12" s="102">
        <f t="shared" si="0"/>
        <v>0</v>
      </c>
      <c r="D12" s="63">
        <f t="array" aca="1" ref="D12" ca="1">INDIRECT(ADDRESS(B12+ROW($D$7),MATCH($D$7,$F$7:$Q$7,0)+5))</f>
        <v>1</v>
      </c>
      <c r="E12" s="66">
        <f>报价及预中标!L6</f>
        <v>0</v>
      </c>
      <c r="F12" s="62">
        <v>0.3</v>
      </c>
      <c r="G12" s="62">
        <v>0.3</v>
      </c>
      <c r="H12" s="63">
        <v>1</v>
      </c>
      <c r="I12" s="63">
        <v>1</v>
      </c>
      <c r="J12" s="63">
        <v>1</v>
      </c>
      <c r="K12" s="63">
        <v>1</v>
      </c>
      <c r="L12" s="63">
        <v>0.3</v>
      </c>
      <c r="M12" s="63">
        <v>0.3</v>
      </c>
      <c r="N12" s="63">
        <v>1</v>
      </c>
      <c r="O12" s="63">
        <v>1</v>
      </c>
      <c r="P12" s="63">
        <v>1</v>
      </c>
      <c r="Q12" s="62">
        <v>0.3</v>
      </c>
    </row>
    <row r="13" spans="1:17" ht="15" customHeight="1">
      <c r="A13" s="126"/>
      <c r="B13" s="63">
        <v>6</v>
      </c>
      <c r="C13" s="102">
        <f t="shared" si="0"/>
        <v>0</v>
      </c>
      <c r="D13" s="63">
        <f t="array" aca="1" ref="D13" ca="1">INDIRECT(ADDRESS(B13+ROW($D$7),MATCH($D$7,$F$7:$Q$7,0)+5))</f>
        <v>1</v>
      </c>
      <c r="E13" s="66">
        <f>报价及预中标!L7</f>
        <v>0</v>
      </c>
      <c r="F13" s="62">
        <v>0.3</v>
      </c>
      <c r="G13" s="62">
        <v>0.3</v>
      </c>
      <c r="H13" s="63">
        <v>1</v>
      </c>
      <c r="I13" s="63">
        <v>1</v>
      </c>
      <c r="J13" s="63">
        <v>1</v>
      </c>
      <c r="K13" s="63">
        <v>1</v>
      </c>
      <c r="L13" s="63">
        <v>0.3</v>
      </c>
      <c r="M13" s="63">
        <v>0.3</v>
      </c>
      <c r="N13" s="63">
        <v>1</v>
      </c>
      <c r="O13" s="63">
        <v>1</v>
      </c>
      <c r="P13" s="63">
        <v>1</v>
      </c>
      <c r="Q13" s="62">
        <v>0.3</v>
      </c>
    </row>
    <row r="14" spans="1:17" ht="15" customHeight="1">
      <c r="A14" s="126"/>
      <c r="B14" s="63">
        <v>7</v>
      </c>
      <c r="C14" s="102">
        <f t="shared" si="0"/>
        <v>0</v>
      </c>
      <c r="D14" s="63">
        <f t="array" aca="1" ref="D14" ca="1">INDIRECT(ADDRESS(B14+ROW($D$7),MATCH($D$7,$F$7:$Q$7,0)+5))</f>
        <v>1</v>
      </c>
      <c r="E14" s="66">
        <f>报价及预中标!L8</f>
        <v>0</v>
      </c>
      <c r="F14" s="62">
        <v>0.3</v>
      </c>
      <c r="G14" s="62">
        <v>0.3</v>
      </c>
      <c r="H14" s="63">
        <v>1</v>
      </c>
      <c r="I14" s="63">
        <v>1</v>
      </c>
      <c r="J14" s="63">
        <v>1</v>
      </c>
      <c r="K14" s="63">
        <v>1</v>
      </c>
      <c r="L14" s="63">
        <v>0.3</v>
      </c>
      <c r="M14" s="63">
        <v>0.3</v>
      </c>
      <c r="N14" s="63">
        <v>1</v>
      </c>
      <c r="O14" s="63">
        <v>1</v>
      </c>
      <c r="P14" s="63">
        <v>1</v>
      </c>
      <c r="Q14" s="62">
        <v>0.3</v>
      </c>
    </row>
    <row r="15" spans="1:17" ht="15" customHeight="1">
      <c r="A15" s="126"/>
      <c r="B15" s="63">
        <v>8</v>
      </c>
      <c r="C15" s="102">
        <f t="shared" si="0"/>
        <v>0</v>
      </c>
      <c r="D15" s="63">
        <f t="array" aca="1" ref="D15" ca="1">INDIRECT(ADDRESS(B15+ROW($D$7),MATCH($D$7,$F$7:$Q$7,0)+5))</f>
        <v>1</v>
      </c>
      <c r="E15" s="66">
        <f>报价及预中标!L9</f>
        <v>0</v>
      </c>
      <c r="F15" s="62">
        <v>0.3</v>
      </c>
      <c r="G15" s="62">
        <v>0.3</v>
      </c>
      <c r="H15" s="63">
        <v>1</v>
      </c>
      <c r="I15" s="63">
        <v>1</v>
      </c>
      <c r="J15" s="63">
        <v>1</v>
      </c>
      <c r="K15" s="63">
        <v>1</v>
      </c>
      <c r="L15" s="63">
        <v>0.3</v>
      </c>
      <c r="M15" s="63">
        <v>0.3</v>
      </c>
      <c r="N15" s="63">
        <v>1</v>
      </c>
      <c r="O15" s="63">
        <v>1</v>
      </c>
      <c r="P15" s="63">
        <v>1</v>
      </c>
      <c r="Q15" s="62">
        <v>0.3</v>
      </c>
    </row>
    <row r="16" spans="1:17" ht="15" customHeight="1">
      <c r="A16" s="126">
        <v>3</v>
      </c>
      <c r="B16" s="63">
        <v>9</v>
      </c>
      <c r="C16" s="102">
        <f t="shared" si="0"/>
        <v>0</v>
      </c>
      <c r="D16" s="63">
        <f t="array" aca="1" ref="D16" ca="1">INDIRECT(ADDRESS(B16+ROW($D$7),MATCH($D$7,$F$7:$Q$7,0)+5))</f>
        <v>1</v>
      </c>
      <c r="E16" s="66">
        <f>报价及预中标!L10</f>
        <v>0</v>
      </c>
      <c r="F16" s="62">
        <v>0.3</v>
      </c>
      <c r="G16" s="62">
        <v>0.3</v>
      </c>
      <c r="H16" s="63">
        <v>1</v>
      </c>
      <c r="I16" s="63">
        <v>1</v>
      </c>
      <c r="J16" s="63">
        <v>1</v>
      </c>
      <c r="K16" s="63">
        <v>1</v>
      </c>
      <c r="L16" s="63">
        <v>0.3</v>
      </c>
      <c r="M16" s="63">
        <v>0.3</v>
      </c>
      <c r="N16" s="63">
        <v>1</v>
      </c>
      <c r="O16" s="63">
        <v>1</v>
      </c>
      <c r="P16" s="63">
        <v>1</v>
      </c>
      <c r="Q16" s="62">
        <v>0.3</v>
      </c>
    </row>
    <row r="17" spans="1:17" ht="15" customHeight="1">
      <c r="A17" s="126"/>
      <c r="B17" s="63">
        <v>10</v>
      </c>
      <c r="C17" s="102">
        <f t="shared" si="0"/>
        <v>0</v>
      </c>
      <c r="D17" s="63">
        <f t="array" aca="1" ref="D17" ca="1">INDIRECT(ADDRESS(B17+ROW($D$7),MATCH($D$7,$F$7:$Q$7,0)+5))</f>
        <v>1</v>
      </c>
      <c r="E17" s="66">
        <f>报价及预中标!L11</f>
        <v>0</v>
      </c>
      <c r="F17" s="62">
        <v>0.3</v>
      </c>
      <c r="G17" s="62">
        <v>0.3</v>
      </c>
      <c r="H17" s="63">
        <v>1</v>
      </c>
      <c r="I17" s="63">
        <v>1</v>
      </c>
      <c r="J17" s="63">
        <v>1</v>
      </c>
      <c r="K17" s="63">
        <v>1</v>
      </c>
      <c r="L17" s="63">
        <v>0.3</v>
      </c>
      <c r="M17" s="63">
        <v>0.3</v>
      </c>
      <c r="N17" s="63">
        <v>1</v>
      </c>
      <c r="O17" s="63">
        <v>1</v>
      </c>
      <c r="P17" s="63">
        <v>1</v>
      </c>
      <c r="Q17" s="62">
        <v>0.3</v>
      </c>
    </row>
    <row r="18" spans="1:17" ht="15" customHeight="1">
      <c r="A18" s="126"/>
      <c r="B18" s="63">
        <v>11</v>
      </c>
      <c r="C18" s="102">
        <f t="shared" si="0"/>
        <v>0</v>
      </c>
      <c r="D18" s="63">
        <f t="array" aca="1" ref="D18" ca="1">INDIRECT(ADDRESS(B18+ROW($D$7),MATCH($D$7,$F$7:$Q$7,0)+5))</f>
        <v>1</v>
      </c>
      <c r="E18" s="66">
        <f>报价及预中标!L12</f>
        <v>0</v>
      </c>
      <c r="F18" s="62">
        <v>0.3</v>
      </c>
      <c r="G18" s="62">
        <v>0.3</v>
      </c>
      <c r="H18" s="63">
        <v>1</v>
      </c>
      <c r="I18" s="63">
        <v>1</v>
      </c>
      <c r="J18" s="63">
        <v>1</v>
      </c>
      <c r="K18" s="63">
        <v>1</v>
      </c>
      <c r="L18" s="63">
        <v>0.3</v>
      </c>
      <c r="M18" s="63">
        <v>0.3</v>
      </c>
      <c r="N18" s="63">
        <v>1</v>
      </c>
      <c r="O18" s="63">
        <v>1</v>
      </c>
      <c r="P18" s="63">
        <v>1</v>
      </c>
      <c r="Q18" s="62">
        <v>0.3</v>
      </c>
    </row>
    <row r="19" spans="1:17" ht="15" customHeight="1">
      <c r="A19" s="126"/>
      <c r="B19" s="63">
        <v>12</v>
      </c>
      <c r="C19" s="102">
        <f t="shared" si="0"/>
        <v>0</v>
      </c>
      <c r="D19" s="63">
        <f t="array" aca="1" ref="D19" ca="1">INDIRECT(ADDRESS(B19+ROW($D$7),MATCH($D$7,$F$7:$Q$7,0)+5))</f>
        <v>1</v>
      </c>
      <c r="E19" s="66">
        <f>报价及预中标!L13</f>
        <v>0</v>
      </c>
      <c r="F19" s="62">
        <v>0.3</v>
      </c>
      <c r="G19" s="62">
        <v>0.3</v>
      </c>
      <c r="H19" s="63">
        <v>1</v>
      </c>
      <c r="I19" s="63">
        <v>1</v>
      </c>
      <c r="J19" s="63">
        <v>1</v>
      </c>
      <c r="K19" s="63">
        <v>1</v>
      </c>
      <c r="L19" s="63">
        <v>0.3</v>
      </c>
      <c r="M19" s="63">
        <v>0.3</v>
      </c>
      <c r="N19" s="63">
        <v>1</v>
      </c>
      <c r="O19" s="63">
        <v>1</v>
      </c>
      <c r="P19" s="63">
        <v>1</v>
      </c>
      <c r="Q19" s="62">
        <v>0.3</v>
      </c>
    </row>
    <row r="20" spans="1:17" ht="15" customHeight="1">
      <c r="A20" s="126">
        <v>4</v>
      </c>
      <c r="B20" s="63">
        <v>13</v>
      </c>
      <c r="C20" s="102">
        <f t="shared" si="0"/>
        <v>0</v>
      </c>
      <c r="D20" s="63">
        <f t="array" aca="1" ref="D20" ca="1">INDIRECT(ADDRESS(B20+ROW($D$7),MATCH($D$7,$F$7:$Q$7,0)+5))</f>
        <v>1</v>
      </c>
      <c r="E20" s="66">
        <f>报价及预中标!L14</f>
        <v>0</v>
      </c>
      <c r="F20" s="62">
        <v>0.3</v>
      </c>
      <c r="G20" s="62">
        <v>0.3</v>
      </c>
      <c r="H20" s="63">
        <v>1</v>
      </c>
      <c r="I20" s="63">
        <v>1</v>
      </c>
      <c r="J20" s="63">
        <v>1</v>
      </c>
      <c r="K20" s="63">
        <v>1</v>
      </c>
      <c r="L20" s="63">
        <v>0.3</v>
      </c>
      <c r="M20" s="63">
        <v>0.3</v>
      </c>
      <c r="N20" s="63">
        <v>1</v>
      </c>
      <c r="O20" s="63">
        <v>1</v>
      </c>
      <c r="P20" s="63">
        <v>1</v>
      </c>
      <c r="Q20" s="62">
        <v>0.3</v>
      </c>
    </row>
    <row r="21" spans="1:17" ht="15" customHeight="1">
      <c r="A21" s="126"/>
      <c r="B21" s="63">
        <v>14</v>
      </c>
      <c r="C21" s="102">
        <f t="shared" si="0"/>
        <v>0</v>
      </c>
      <c r="D21" s="63">
        <f t="array" aca="1" ref="D21" ca="1">INDIRECT(ADDRESS(B21+ROW($D$7),MATCH($D$7,$F$7:$Q$7,0)+5))</f>
        <v>1</v>
      </c>
      <c r="E21" s="66">
        <f>报价及预中标!L15</f>
        <v>0</v>
      </c>
      <c r="F21" s="62">
        <v>0.3</v>
      </c>
      <c r="G21" s="62">
        <v>0.3</v>
      </c>
      <c r="H21" s="63">
        <v>1</v>
      </c>
      <c r="I21" s="63">
        <v>1</v>
      </c>
      <c r="J21" s="63">
        <v>1</v>
      </c>
      <c r="K21" s="63">
        <v>1</v>
      </c>
      <c r="L21" s="63">
        <v>0.3</v>
      </c>
      <c r="M21" s="63">
        <v>0.3</v>
      </c>
      <c r="N21" s="63">
        <v>1</v>
      </c>
      <c r="O21" s="63">
        <v>1</v>
      </c>
      <c r="P21" s="63">
        <v>1</v>
      </c>
      <c r="Q21" s="62">
        <v>0.3</v>
      </c>
    </row>
    <row r="22" spans="1:17" ht="15" customHeight="1">
      <c r="A22" s="126"/>
      <c r="B22" s="63">
        <v>15</v>
      </c>
      <c r="C22" s="102">
        <f t="shared" si="0"/>
        <v>0</v>
      </c>
      <c r="D22" s="63">
        <f t="array" aca="1" ref="D22" ca="1">INDIRECT(ADDRESS(B22+ROW($D$7),MATCH($D$7,$F$7:$Q$7,0)+5))</f>
        <v>1</v>
      </c>
      <c r="E22" s="66">
        <f>报价及预中标!L16</f>
        <v>0</v>
      </c>
      <c r="F22" s="62">
        <v>0.3</v>
      </c>
      <c r="G22" s="62">
        <v>0.3</v>
      </c>
      <c r="H22" s="63">
        <v>1</v>
      </c>
      <c r="I22" s="63">
        <v>1</v>
      </c>
      <c r="J22" s="63">
        <v>1</v>
      </c>
      <c r="K22" s="63">
        <v>1</v>
      </c>
      <c r="L22" s="63">
        <v>0.3</v>
      </c>
      <c r="M22" s="63">
        <v>0.3</v>
      </c>
      <c r="N22" s="63">
        <v>1</v>
      </c>
      <c r="O22" s="63">
        <v>1</v>
      </c>
      <c r="P22" s="63">
        <v>1</v>
      </c>
      <c r="Q22" s="62">
        <v>0.3</v>
      </c>
    </row>
    <row r="23" spans="1:17" ht="15" customHeight="1">
      <c r="A23" s="126"/>
      <c r="B23" s="63">
        <v>16</v>
      </c>
      <c r="C23" s="102">
        <f t="shared" si="0"/>
        <v>0</v>
      </c>
      <c r="D23" s="63">
        <f t="array" aca="1" ref="D23" ca="1">INDIRECT(ADDRESS(B23+ROW($D$7),MATCH($D$7,$F$7:$Q$7,0)+5))</f>
        <v>1</v>
      </c>
      <c r="E23" s="66">
        <f>报价及预中标!L17</f>
        <v>0</v>
      </c>
      <c r="F23" s="62">
        <v>0.3</v>
      </c>
      <c r="G23" s="62">
        <v>0.3</v>
      </c>
      <c r="H23" s="63">
        <v>1</v>
      </c>
      <c r="I23" s="63">
        <v>1</v>
      </c>
      <c r="J23" s="63">
        <v>1</v>
      </c>
      <c r="K23" s="63">
        <v>1</v>
      </c>
      <c r="L23" s="63">
        <v>0.3</v>
      </c>
      <c r="M23" s="63">
        <v>0.3</v>
      </c>
      <c r="N23" s="63">
        <v>1</v>
      </c>
      <c r="O23" s="63">
        <v>1</v>
      </c>
      <c r="P23" s="63">
        <v>1</v>
      </c>
      <c r="Q23" s="62">
        <v>0.3</v>
      </c>
    </row>
    <row r="24" spans="1:17" ht="15" customHeight="1">
      <c r="A24" s="126">
        <v>5</v>
      </c>
      <c r="B24" s="63">
        <v>17</v>
      </c>
      <c r="C24" s="102">
        <f t="shared" si="0"/>
        <v>0</v>
      </c>
      <c r="D24" s="63">
        <f t="array" aca="1" ref="D24" ca="1">INDIRECT(ADDRESS(B24+ROW($D$7),MATCH($D$7,$F$7:$Q$7,0)+5))</f>
        <v>1</v>
      </c>
      <c r="E24" s="66">
        <f>报价及预中标!L18</f>
        <v>0</v>
      </c>
      <c r="F24" s="62">
        <v>0.3</v>
      </c>
      <c r="G24" s="62">
        <v>0.3</v>
      </c>
      <c r="H24" s="63">
        <v>1</v>
      </c>
      <c r="I24" s="63">
        <v>1</v>
      </c>
      <c r="J24" s="63">
        <v>1</v>
      </c>
      <c r="K24" s="63">
        <v>1</v>
      </c>
      <c r="L24" s="63">
        <v>0.3</v>
      </c>
      <c r="M24" s="63">
        <v>0.3</v>
      </c>
      <c r="N24" s="63">
        <v>1</v>
      </c>
      <c r="O24" s="63">
        <v>1</v>
      </c>
      <c r="P24" s="63">
        <v>1</v>
      </c>
      <c r="Q24" s="62">
        <v>0.3</v>
      </c>
    </row>
    <row r="25" spans="1:17" ht="15" customHeight="1">
      <c r="A25" s="126"/>
      <c r="B25" s="63">
        <v>18</v>
      </c>
      <c r="C25" s="102">
        <f t="shared" si="0"/>
        <v>0</v>
      </c>
      <c r="D25" s="63">
        <f t="array" aca="1" ref="D25" ca="1">INDIRECT(ADDRESS(B25+ROW($D$7),MATCH($D$7,$F$7:$Q$7,0)+5))</f>
        <v>1</v>
      </c>
      <c r="E25" s="66">
        <f>报价及预中标!L19</f>
        <v>0</v>
      </c>
      <c r="F25" s="62">
        <v>0.3</v>
      </c>
      <c r="G25" s="62">
        <v>0.3</v>
      </c>
      <c r="H25" s="63">
        <v>1</v>
      </c>
      <c r="I25" s="63">
        <v>1</v>
      </c>
      <c r="J25" s="63">
        <v>1</v>
      </c>
      <c r="K25" s="63">
        <v>1</v>
      </c>
      <c r="L25" s="63">
        <v>0.3</v>
      </c>
      <c r="M25" s="63">
        <v>0.3</v>
      </c>
      <c r="N25" s="63">
        <v>1</v>
      </c>
      <c r="O25" s="63">
        <v>1</v>
      </c>
      <c r="P25" s="63">
        <v>1</v>
      </c>
      <c r="Q25" s="62">
        <v>0.3</v>
      </c>
    </row>
    <row r="26" spans="1:17" ht="15" customHeight="1">
      <c r="A26" s="126"/>
      <c r="B26" s="63">
        <v>19</v>
      </c>
      <c r="C26" s="102">
        <f t="shared" si="0"/>
        <v>0</v>
      </c>
      <c r="D26" s="63">
        <f t="array" aca="1" ref="D26" ca="1">INDIRECT(ADDRESS(B26+ROW($D$7),MATCH($D$7,$F$7:$Q$7,0)+5))</f>
        <v>1</v>
      </c>
      <c r="E26" s="66">
        <f>报价及预中标!L20</f>
        <v>0</v>
      </c>
      <c r="F26" s="62">
        <v>0.3</v>
      </c>
      <c r="G26" s="62">
        <v>0.3</v>
      </c>
      <c r="H26" s="63">
        <v>1</v>
      </c>
      <c r="I26" s="63">
        <v>1</v>
      </c>
      <c r="J26" s="63">
        <v>1</v>
      </c>
      <c r="K26" s="63">
        <v>1</v>
      </c>
      <c r="L26" s="63">
        <v>0.3</v>
      </c>
      <c r="M26" s="63">
        <v>0.3</v>
      </c>
      <c r="N26" s="63">
        <v>1</v>
      </c>
      <c r="O26" s="63">
        <v>1</v>
      </c>
      <c r="P26" s="63">
        <v>1</v>
      </c>
      <c r="Q26" s="62">
        <v>0.3</v>
      </c>
    </row>
    <row r="27" spans="1:17" ht="15" customHeight="1">
      <c r="A27" s="126"/>
      <c r="B27" s="63">
        <v>20</v>
      </c>
      <c r="C27" s="102">
        <f t="shared" si="0"/>
        <v>0</v>
      </c>
      <c r="D27" s="63">
        <f t="array" aca="1" ref="D27" ca="1">INDIRECT(ADDRESS(B27+ROW($D$7),MATCH($D$7,$F$7:$Q$7,0)+5))</f>
        <v>1</v>
      </c>
      <c r="E27" s="66">
        <f>报价及预中标!L21</f>
        <v>0</v>
      </c>
      <c r="F27" s="62">
        <v>0.3</v>
      </c>
      <c r="G27" s="62">
        <v>0.3</v>
      </c>
      <c r="H27" s="63">
        <v>1</v>
      </c>
      <c r="I27" s="63">
        <v>1</v>
      </c>
      <c r="J27" s="63">
        <v>1</v>
      </c>
      <c r="K27" s="63">
        <v>1</v>
      </c>
      <c r="L27" s="63">
        <v>0.3</v>
      </c>
      <c r="M27" s="63">
        <v>0.3</v>
      </c>
      <c r="N27" s="63">
        <v>1</v>
      </c>
      <c r="O27" s="63">
        <v>1</v>
      </c>
      <c r="P27" s="63">
        <v>1</v>
      </c>
      <c r="Q27" s="62">
        <v>0.3</v>
      </c>
    </row>
    <row r="28" spans="1:17" ht="15" customHeight="1">
      <c r="A28" s="126">
        <v>6</v>
      </c>
      <c r="B28" s="63">
        <v>21</v>
      </c>
      <c r="C28" s="102">
        <f t="shared" si="0"/>
        <v>0</v>
      </c>
      <c r="D28" s="63">
        <f t="array" aca="1" ref="D28" ca="1">INDIRECT(ADDRESS(B28+ROW($D$7),MATCH($D$7,$F$7:$Q$7,0)+5))</f>
        <v>1</v>
      </c>
      <c r="E28" s="66">
        <f>报价及预中标!L22</f>
        <v>0</v>
      </c>
      <c r="F28" s="62">
        <v>0.3</v>
      </c>
      <c r="G28" s="62">
        <v>0.3</v>
      </c>
      <c r="H28" s="63">
        <v>1</v>
      </c>
      <c r="I28" s="63">
        <v>1</v>
      </c>
      <c r="J28" s="63">
        <v>1</v>
      </c>
      <c r="K28" s="63">
        <v>1</v>
      </c>
      <c r="L28" s="63">
        <v>0.3</v>
      </c>
      <c r="M28" s="63">
        <v>0.3</v>
      </c>
      <c r="N28" s="63">
        <v>1</v>
      </c>
      <c r="O28" s="63">
        <v>1</v>
      </c>
      <c r="P28" s="63">
        <v>1</v>
      </c>
      <c r="Q28" s="62">
        <v>0.3</v>
      </c>
    </row>
    <row r="29" spans="1:17" ht="15" customHeight="1">
      <c r="A29" s="126"/>
      <c r="B29" s="63">
        <v>22</v>
      </c>
      <c r="C29" s="102">
        <f t="shared" si="0"/>
        <v>0</v>
      </c>
      <c r="D29" s="63">
        <f t="array" aca="1" ref="D29" ca="1">INDIRECT(ADDRESS(B29+ROW($D$7),MATCH($D$7,$F$7:$Q$7,0)+5))</f>
        <v>1</v>
      </c>
      <c r="E29" s="66">
        <f>报价及预中标!L23</f>
        <v>0</v>
      </c>
      <c r="F29" s="62">
        <v>0.3</v>
      </c>
      <c r="G29" s="62">
        <v>0.3</v>
      </c>
      <c r="H29" s="63">
        <v>1</v>
      </c>
      <c r="I29" s="63">
        <v>1</v>
      </c>
      <c r="J29" s="63">
        <v>1</v>
      </c>
      <c r="K29" s="63">
        <v>1</v>
      </c>
      <c r="L29" s="63">
        <v>0.3</v>
      </c>
      <c r="M29" s="63">
        <v>0.3</v>
      </c>
      <c r="N29" s="63">
        <v>1</v>
      </c>
      <c r="O29" s="63">
        <v>1</v>
      </c>
      <c r="P29" s="63">
        <v>1</v>
      </c>
      <c r="Q29" s="62">
        <v>0.3</v>
      </c>
    </row>
    <row r="30" spans="1:17" ht="15" customHeight="1">
      <c r="A30" s="126"/>
      <c r="B30" s="63">
        <v>23</v>
      </c>
      <c r="C30" s="102">
        <f t="shared" si="0"/>
        <v>0</v>
      </c>
      <c r="D30" s="63">
        <f t="array" aca="1" ref="D30" ca="1">INDIRECT(ADDRESS(B30+ROW($D$7),MATCH($D$7,$F$7:$Q$7,0)+5))</f>
        <v>1</v>
      </c>
      <c r="E30" s="66">
        <f>报价及预中标!L24</f>
        <v>0</v>
      </c>
      <c r="F30" s="62">
        <v>0.3</v>
      </c>
      <c r="G30" s="62">
        <v>0.3</v>
      </c>
      <c r="H30" s="63">
        <v>1</v>
      </c>
      <c r="I30" s="63">
        <v>1</v>
      </c>
      <c r="J30" s="63">
        <v>1</v>
      </c>
      <c r="K30" s="63">
        <v>1</v>
      </c>
      <c r="L30" s="63">
        <v>0.3</v>
      </c>
      <c r="M30" s="63">
        <v>0.3</v>
      </c>
      <c r="N30" s="63">
        <v>1</v>
      </c>
      <c r="O30" s="63">
        <v>1</v>
      </c>
      <c r="P30" s="63">
        <v>1</v>
      </c>
      <c r="Q30" s="62">
        <v>0.3</v>
      </c>
    </row>
    <row r="31" spans="1:17" ht="15" customHeight="1">
      <c r="A31" s="126"/>
      <c r="B31" s="63">
        <v>24</v>
      </c>
      <c r="C31" s="102">
        <f t="shared" si="0"/>
        <v>0</v>
      </c>
      <c r="D31" s="63">
        <f t="array" aca="1" ref="D31" ca="1">INDIRECT(ADDRESS(B31+ROW($D$7),MATCH($D$7,$F$7:$Q$7,0)+5))</f>
        <v>1</v>
      </c>
      <c r="E31" s="66">
        <f>报价及预中标!L25</f>
        <v>0</v>
      </c>
      <c r="F31" s="62">
        <v>0.3</v>
      </c>
      <c r="G31" s="62">
        <v>0.3</v>
      </c>
      <c r="H31" s="63">
        <v>1</v>
      </c>
      <c r="I31" s="63">
        <v>1</v>
      </c>
      <c r="J31" s="63">
        <v>1</v>
      </c>
      <c r="K31" s="63">
        <v>1</v>
      </c>
      <c r="L31" s="63">
        <v>0.3</v>
      </c>
      <c r="M31" s="63">
        <v>0.3</v>
      </c>
      <c r="N31" s="63">
        <v>1</v>
      </c>
      <c r="O31" s="63">
        <v>1</v>
      </c>
      <c r="P31" s="63">
        <v>1</v>
      </c>
      <c r="Q31" s="62">
        <v>0.3</v>
      </c>
    </row>
    <row r="32" spans="1:17" ht="15" customHeight="1">
      <c r="A32" s="126">
        <v>7</v>
      </c>
      <c r="B32" s="63">
        <v>25</v>
      </c>
      <c r="C32" s="102">
        <f t="shared" si="0"/>
        <v>0</v>
      </c>
      <c r="D32" s="63">
        <f t="array" aca="1" ref="D32" ca="1">INDIRECT(ADDRESS(B32+ROW($D$7),MATCH($D$7,$F$7:$Q$7,0)+5))</f>
        <v>1</v>
      </c>
      <c r="E32" s="66">
        <f>报价及预中标!L26</f>
        <v>0</v>
      </c>
      <c r="F32" s="62">
        <v>1.7</v>
      </c>
      <c r="G32" s="62">
        <v>1.7</v>
      </c>
      <c r="H32" s="63">
        <v>1</v>
      </c>
      <c r="I32" s="63">
        <v>1</v>
      </c>
      <c r="J32" s="63">
        <v>1</v>
      </c>
      <c r="K32" s="63">
        <v>0.3</v>
      </c>
      <c r="L32" s="63">
        <v>1</v>
      </c>
      <c r="M32" s="63">
        <v>1</v>
      </c>
      <c r="N32" s="63">
        <v>1</v>
      </c>
      <c r="O32" s="63">
        <v>1</v>
      </c>
      <c r="P32" s="63">
        <v>1</v>
      </c>
      <c r="Q32" s="62">
        <v>1.7</v>
      </c>
    </row>
    <row r="33" spans="1:17" ht="15" customHeight="1">
      <c r="A33" s="126"/>
      <c r="B33" s="63">
        <v>26</v>
      </c>
      <c r="C33" s="102">
        <f t="shared" si="0"/>
        <v>0</v>
      </c>
      <c r="D33" s="63">
        <f t="array" aca="1" ref="D33" ca="1">INDIRECT(ADDRESS(B33+ROW($D$7),MATCH($D$7,$F$7:$Q$7,0)+5))</f>
        <v>1</v>
      </c>
      <c r="E33" s="66">
        <f>报价及预中标!L27</f>
        <v>0</v>
      </c>
      <c r="F33" s="62">
        <v>1.7</v>
      </c>
      <c r="G33" s="62">
        <v>1.7</v>
      </c>
      <c r="H33" s="63">
        <v>1</v>
      </c>
      <c r="I33" s="63">
        <v>1</v>
      </c>
      <c r="J33" s="63">
        <v>1</v>
      </c>
      <c r="K33" s="63">
        <v>0.3</v>
      </c>
      <c r="L33" s="63">
        <v>1</v>
      </c>
      <c r="M33" s="63">
        <v>1</v>
      </c>
      <c r="N33" s="63">
        <v>1</v>
      </c>
      <c r="O33" s="63">
        <v>1</v>
      </c>
      <c r="P33" s="63">
        <v>1</v>
      </c>
      <c r="Q33" s="62">
        <v>1.7</v>
      </c>
    </row>
    <row r="34" spans="1:17" ht="15" customHeight="1">
      <c r="A34" s="126"/>
      <c r="B34" s="63">
        <v>27</v>
      </c>
      <c r="C34" s="102">
        <f t="shared" si="0"/>
        <v>0</v>
      </c>
      <c r="D34" s="63">
        <f t="array" aca="1" ref="D34" ca="1">INDIRECT(ADDRESS(B34+ROW($D$7),MATCH($D$7,$F$7:$Q$7,0)+5))</f>
        <v>1</v>
      </c>
      <c r="E34" s="66">
        <f>报价及预中标!L28</f>
        <v>0</v>
      </c>
      <c r="F34" s="62">
        <v>1.7</v>
      </c>
      <c r="G34" s="62">
        <v>1.7</v>
      </c>
      <c r="H34" s="63">
        <v>1</v>
      </c>
      <c r="I34" s="63">
        <v>1</v>
      </c>
      <c r="J34" s="63">
        <v>1</v>
      </c>
      <c r="K34" s="63">
        <v>0.3</v>
      </c>
      <c r="L34" s="63">
        <v>1</v>
      </c>
      <c r="M34" s="63">
        <v>1</v>
      </c>
      <c r="N34" s="63">
        <v>1</v>
      </c>
      <c r="O34" s="63">
        <v>1</v>
      </c>
      <c r="P34" s="63">
        <v>1</v>
      </c>
      <c r="Q34" s="62">
        <v>1.7</v>
      </c>
    </row>
    <row r="35" spans="1:17" ht="15" customHeight="1">
      <c r="A35" s="126"/>
      <c r="B35" s="63">
        <v>28</v>
      </c>
      <c r="C35" s="102">
        <f t="shared" si="0"/>
        <v>0</v>
      </c>
      <c r="D35" s="63">
        <f t="array" aca="1" ref="D35" ca="1">INDIRECT(ADDRESS(B35+ROW($D$7),MATCH($D$7,$F$7:$Q$7,0)+5))</f>
        <v>1</v>
      </c>
      <c r="E35" s="66">
        <f>报价及预中标!L29</f>
        <v>0</v>
      </c>
      <c r="F35" s="62">
        <v>1.7</v>
      </c>
      <c r="G35" s="62">
        <v>1.7</v>
      </c>
      <c r="H35" s="63">
        <v>1</v>
      </c>
      <c r="I35" s="63">
        <v>1</v>
      </c>
      <c r="J35" s="63">
        <v>1</v>
      </c>
      <c r="K35" s="63">
        <v>0.3</v>
      </c>
      <c r="L35" s="63">
        <v>1</v>
      </c>
      <c r="M35" s="63">
        <v>1</v>
      </c>
      <c r="N35" s="63">
        <v>1</v>
      </c>
      <c r="O35" s="63">
        <v>1</v>
      </c>
      <c r="P35" s="63">
        <v>1</v>
      </c>
      <c r="Q35" s="62">
        <v>1.7</v>
      </c>
    </row>
    <row r="36" spans="1:17" ht="15" customHeight="1">
      <c r="A36" s="126">
        <v>8</v>
      </c>
      <c r="B36" s="63">
        <v>29</v>
      </c>
      <c r="C36" s="102">
        <f t="shared" si="0"/>
        <v>0</v>
      </c>
      <c r="D36" s="63">
        <f t="array" aca="1" ref="D36" ca="1">INDIRECT(ADDRESS(B36+ROW($D$7),MATCH($D$7,$F$7:$Q$7,0)+5))</f>
        <v>1</v>
      </c>
      <c r="E36" s="66">
        <f>报价及预中标!L30</f>
        <v>0</v>
      </c>
      <c r="F36" s="62">
        <v>1.7</v>
      </c>
      <c r="G36" s="62">
        <v>1.7</v>
      </c>
      <c r="H36" s="63">
        <v>1</v>
      </c>
      <c r="I36" s="63">
        <v>1</v>
      </c>
      <c r="J36" s="63">
        <v>1</v>
      </c>
      <c r="K36" s="63">
        <v>0.3</v>
      </c>
      <c r="L36" s="63">
        <v>1</v>
      </c>
      <c r="M36" s="63">
        <v>1</v>
      </c>
      <c r="N36" s="63">
        <v>1</v>
      </c>
      <c r="O36" s="63">
        <v>1</v>
      </c>
      <c r="P36" s="63">
        <v>1</v>
      </c>
      <c r="Q36" s="62">
        <v>1.7</v>
      </c>
    </row>
    <row r="37" spans="1:17" ht="15" customHeight="1">
      <c r="A37" s="126"/>
      <c r="B37" s="63">
        <v>30</v>
      </c>
      <c r="C37" s="102">
        <f t="shared" si="0"/>
        <v>0</v>
      </c>
      <c r="D37" s="63">
        <f t="array" aca="1" ref="D37" ca="1">INDIRECT(ADDRESS(B37+ROW($D$7),MATCH($D$7,$F$7:$Q$7,0)+5))</f>
        <v>1</v>
      </c>
      <c r="E37" s="66">
        <f>报价及预中标!L31</f>
        <v>0</v>
      </c>
      <c r="F37" s="62">
        <v>1.7</v>
      </c>
      <c r="G37" s="62">
        <v>1.7</v>
      </c>
      <c r="H37" s="63">
        <v>1</v>
      </c>
      <c r="I37" s="63">
        <v>1</v>
      </c>
      <c r="J37" s="63">
        <v>1</v>
      </c>
      <c r="K37" s="63">
        <v>0.3</v>
      </c>
      <c r="L37" s="63">
        <v>1</v>
      </c>
      <c r="M37" s="63">
        <v>1</v>
      </c>
      <c r="N37" s="63">
        <v>1</v>
      </c>
      <c r="O37" s="63">
        <v>1</v>
      </c>
      <c r="P37" s="63">
        <v>1</v>
      </c>
      <c r="Q37" s="62">
        <v>1.7</v>
      </c>
    </row>
    <row r="38" spans="1:17" ht="15" customHeight="1">
      <c r="A38" s="126"/>
      <c r="B38" s="63">
        <v>31</v>
      </c>
      <c r="C38" s="102">
        <f t="shared" si="0"/>
        <v>0</v>
      </c>
      <c r="D38" s="63">
        <f t="array" aca="1" ref="D38" ca="1">INDIRECT(ADDRESS(B38+ROW($D$7),MATCH($D$7,$F$7:$Q$7,0)+5))</f>
        <v>1</v>
      </c>
      <c r="E38" s="66">
        <f>报价及预中标!L32</f>
        <v>0</v>
      </c>
      <c r="F38" s="62">
        <v>1.7</v>
      </c>
      <c r="G38" s="62">
        <v>1.7</v>
      </c>
      <c r="H38" s="63">
        <v>1</v>
      </c>
      <c r="I38" s="63">
        <v>1</v>
      </c>
      <c r="J38" s="63">
        <v>1</v>
      </c>
      <c r="K38" s="63">
        <v>0.3</v>
      </c>
      <c r="L38" s="63">
        <v>1</v>
      </c>
      <c r="M38" s="63">
        <v>1</v>
      </c>
      <c r="N38" s="63">
        <v>1</v>
      </c>
      <c r="O38" s="63">
        <v>1</v>
      </c>
      <c r="P38" s="63">
        <v>1</v>
      </c>
      <c r="Q38" s="62">
        <v>1.7</v>
      </c>
    </row>
    <row r="39" spans="1:17" ht="15" customHeight="1">
      <c r="A39" s="126"/>
      <c r="B39" s="63">
        <v>32</v>
      </c>
      <c r="C39" s="102">
        <f t="shared" si="0"/>
        <v>0</v>
      </c>
      <c r="D39" s="63">
        <f t="array" aca="1" ref="D39" ca="1">INDIRECT(ADDRESS(B39+ROW($D$7),MATCH($D$7,$F$7:$Q$7,0)+5))</f>
        <v>1</v>
      </c>
      <c r="E39" s="66">
        <f>报价及预中标!L33</f>
        <v>0</v>
      </c>
      <c r="F39" s="62">
        <v>1.7</v>
      </c>
      <c r="G39" s="62">
        <v>1.7</v>
      </c>
      <c r="H39" s="63">
        <v>1</v>
      </c>
      <c r="I39" s="63">
        <v>1</v>
      </c>
      <c r="J39" s="63">
        <v>1</v>
      </c>
      <c r="K39" s="63">
        <v>0.3</v>
      </c>
      <c r="L39" s="63">
        <v>1</v>
      </c>
      <c r="M39" s="63">
        <v>1</v>
      </c>
      <c r="N39" s="63">
        <v>1</v>
      </c>
      <c r="O39" s="63">
        <v>1</v>
      </c>
      <c r="P39" s="63">
        <v>1</v>
      </c>
      <c r="Q39" s="62">
        <v>1.7</v>
      </c>
    </row>
    <row r="40" spans="1:17" ht="15" customHeight="1">
      <c r="A40" s="126">
        <v>9</v>
      </c>
      <c r="B40" s="63">
        <v>33</v>
      </c>
      <c r="C40" s="102">
        <f t="shared" si="0"/>
        <v>0</v>
      </c>
      <c r="D40" s="63">
        <f t="array" aca="1" ref="D40" ca="1">INDIRECT(ADDRESS(B40+ROW($D$7),MATCH($D$7,$F$7:$Q$7,0)+5))</f>
        <v>1</v>
      </c>
      <c r="E40" s="66">
        <f>报价及预中标!L34</f>
        <v>0</v>
      </c>
      <c r="F40" s="62">
        <v>1.7</v>
      </c>
      <c r="G40" s="62">
        <v>1.7</v>
      </c>
      <c r="H40" s="63">
        <v>1</v>
      </c>
      <c r="I40" s="63">
        <v>1</v>
      </c>
      <c r="J40" s="63">
        <v>1</v>
      </c>
      <c r="K40" s="63">
        <v>0.3</v>
      </c>
      <c r="L40" s="63">
        <v>1</v>
      </c>
      <c r="M40" s="63">
        <v>1</v>
      </c>
      <c r="N40" s="63">
        <v>1</v>
      </c>
      <c r="O40" s="63">
        <v>1</v>
      </c>
      <c r="P40" s="63">
        <v>1</v>
      </c>
      <c r="Q40" s="62">
        <v>1.7</v>
      </c>
    </row>
    <row r="41" spans="1:17" ht="15" customHeight="1">
      <c r="A41" s="126"/>
      <c r="B41" s="63">
        <v>34</v>
      </c>
      <c r="C41" s="102">
        <f t="shared" si="0"/>
        <v>0</v>
      </c>
      <c r="D41" s="63">
        <f t="array" aca="1" ref="D41" ca="1">INDIRECT(ADDRESS(B41+ROW($D$7),MATCH($D$7,$F$7:$Q$7,0)+5))</f>
        <v>1</v>
      </c>
      <c r="E41" s="66">
        <f>报价及预中标!L35</f>
        <v>0</v>
      </c>
      <c r="F41" s="62">
        <v>1.7</v>
      </c>
      <c r="G41" s="62">
        <v>1.7</v>
      </c>
      <c r="H41" s="63">
        <v>1</v>
      </c>
      <c r="I41" s="63">
        <v>1</v>
      </c>
      <c r="J41" s="63">
        <v>1</v>
      </c>
      <c r="K41" s="63">
        <v>0.3</v>
      </c>
      <c r="L41" s="63">
        <v>1</v>
      </c>
      <c r="M41" s="63">
        <v>1</v>
      </c>
      <c r="N41" s="63">
        <v>1</v>
      </c>
      <c r="O41" s="63">
        <v>1</v>
      </c>
      <c r="P41" s="63">
        <v>1</v>
      </c>
      <c r="Q41" s="62">
        <v>1.7</v>
      </c>
    </row>
    <row r="42" spans="1:17" ht="15" customHeight="1">
      <c r="A42" s="126"/>
      <c r="B42" s="63">
        <v>35</v>
      </c>
      <c r="C42" s="102">
        <f t="shared" si="0"/>
        <v>0</v>
      </c>
      <c r="D42" s="63">
        <f t="array" aca="1" ref="D42" ca="1">INDIRECT(ADDRESS(B42+ROW($D$7),MATCH($D$7,$F$7:$Q$7,0)+5))</f>
        <v>1</v>
      </c>
      <c r="E42" s="66">
        <f>报价及预中标!L36</f>
        <v>0</v>
      </c>
      <c r="F42" s="62">
        <v>1.7</v>
      </c>
      <c r="G42" s="62">
        <v>1.7</v>
      </c>
      <c r="H42" s="63">
        <v>1</v>
      </c>
      <c r="I42" s="63">
        <v>1</v>
      </c>
      <c r="J42" s="63">
        <v>1</v>
      </c>
      <c r="K42" s="63">
        <v>0.3</v>
      </c>
      <c r="L42" s="63">
        <v>1</v>
      </c>
      <c r="M42" s="63">
        <v>1</v>
      </c>
      <c r="N42" s="63">
        <v>1</v>
      </c>
      <c r="O42" s="63">
        <v>1</v>
      </c>
      <c r="P42" s="63">
        <v>1</v>
      </c>
      <c r="Q42" s="62">
        <v>1.7</v>
      </c>
    </row>
    <row r="43" spans="1:17" ht="15" customHeight="1">
      <c r="A43" s="126"/>
      <c r="B43" s="63">
        <v>36</v>
      </c>
      <c r="C43" s="102">
        <f t="shared" si="0"/>
        <v>0</v>
      </c>
      <c r="D43" s="63">
        <f t="array" aca="1" ref="D43" ca="1">INDIRECT(ADDRESS(B43+ROW($D$7),MATCH($D$7,$F$7:$Q$7,0)+5))</f>
        <v>1</v>
      </c>
      <c r="E43" s="66">
        <f>报价及预中标!L37</f>
        <v>0</v>
      </c>
      <c r="F43" s="62">
        <v>1.7</v>
      </c>
      <c r="G43" s="62">
        <v>1.7</v>
      </c>
      <c r="H43" s="63">
        <v>1</v>
      </c>
      <c r="I43" s="63">
        <v>1</v>
      </c>
      <c r="J43" s="63">
        <v>1</v>
      </c>
      <c r="K43" s="63">
        <v>0.3</v>
      </c>
      <c r="L43" s="63">
        <v>1</v>
      </c>
      <c r="M43" s="63">
        <v>1</v>
      </c>
      <c r="N43" s="63">
        <v>1</v>
      </c>
      <c r="O43" s="63">
        <v>1</v>
      </c>
      <c r="P43" s="63">
        <v>1</v>
      </c>
      <c r="Q43" s="62">
        <v>1.7</v>
      </c>
    </row>
    <row r="44" spans="1:17" ht="15" customHeight="1">
      <c r="A44" s="126">
        <v>10</v>
      </c>
      <c r="B44" s="63">
        <v>37</v>
      </c>
      <c r="C44" s="102">
        <f t="shared" si="0"/>
        <v>0</v>
      </c>
      <c r="D44" s="63">
        <f t="array" aca="1" ref="D44" ca="1">INDIRECT(ADDRESS(B44+ROW($D$7),MATCH($D$7,$F$7:$Q$7,0)+5))</f>
        <v>0.3</v>
      </c>
      <c r="E44" s="66">
        <f>报价及预中标!L38</f>
        <v>0</v>
      </c>
      <c r="F44" s="62">
        <v>0.3</v>
      </c>
      <c r="G44" s="62">
        <v>0.3</v>
      </c>
      <c r="H44" s="63">
        <v>0.3</v>
      </c>
      <c r="I44" s="63">
        <v>0.3</v>
      </c>
      <c r="J44" s="63">
        <v>0.3</v>
      </c>
      <c r="K44" s="63">
        <v>0.3</v>
      </c>
      <c r="L44" s="63">
        <v>1</v>
      </c>
      <c r="M44" s="63">
        <v>1</v>
      </c>
      <c r="N44" s="63">
        <v>0.3</v>
      </c>
      <c r="O44" s="63">
        <v>0.3</v>
      </c>
      <c r="P44" s="63">
        <v>0.3</v>
      </c>
      <c r="Q44" s="62">
        <v>0.3</v>
      </c>
    </row>
    <row r="45" spans="1:17" ht="15" customHeight="1">
      <c r="A45" s="126"/>
      <c r="B45" s="63">
        <v>38</v>
      </c>
      <c r="C45" s="102">
        <f t="shared" si="0"/>
        <v>0</v>
      </c>
      <c r="D45" s="63">
        <f t="array" aca="1" ref="D45" ca="1">INDIRECT(ADDRESS(B45+ROW($D$7),MATCH($D$7,$F$7:$Q$7,0)+5))</f>
        <v>0.3</v>
      </c>
      <c r="E45" s="66">
        <f>报价及预中标!L39</f>
        <v>0</v>
      </c>
      <c r="F45" s="62">
        <v>0.3</v>
      </c>
      <c r="G45" s="62">
        <v>0.3</v>
      </c>
      <c r="H45" s="63">
        <v>0.3</v>
      </c>
      <c r="I45" s="63">
        <v>0.3</v>
      </c>
      <c r="J45" s="63">
        <v>0.3</v>
      </c>
      <c r="K45" s="63">
        <v>0.3</v>
      </c>
      <c r="L45" s="63">
        <v>1</v>
      </c>
      <c r="M45" s="63">
        <v>1</v>
      </c>
      <c r="N45" s="63">
        <v>0.3</v>
      </c>
      <c r="O45" s="63">
        <v>0.3</v>
      </c>
      <c r="P45" s="63">
        <v>0.3</v>
      </c>
      <c r="Q45" s="62">
        <v>0.3</v>
      </c>
    </row>
    <row r="46" spans="1:17" ht="15" customHeight="1">
      <c r="A46" s="126"/>
      <c r="B46" s="63">
        <v>39</v>
      </c>
      <c r="C46" s="102">
        <f t="shared" si="0"/>
        <v>0</v>
      </c>
      <c r="D46" s="63">
        <f t="array" aca="1" ref="D46" ca="1">INDIRECT(ADDRESS(B46+ROW($D$7),MATCH($D$7,$F$7:$Q$7,0)+5))</f>
        <v>0.3</v>
      </c>
      <c r="E46" s="66">
        <f>报价及预中标!L40</f>
        <v>0</v>
      </c>
      <c r="F46" s="62">
        <v>0.3</v>
      </c>
      <c r="G46" s="62">
        <v>0.3</v>
      </c>
      <c r="H46" s="63">
        <v>0.3</v>
      </c>
      <c r="I46" s="63">
        <v>0.3</v>
      </c>
      <c r="J46" s="63">
        <v>0.3</v>
      </c>
      <c r="K46" s="63">
        <v>0.3</v>
      </c>
      <c r="L46" s="63">
        <v>1</v>
      </c>
      <c r="M46" s="63">
        <v>1</v>
      </c>
      <c r="N46" s="63">
        <v>0.3</v>
      </c>
      <c r="O46" s="63">
        <v>0.3</v>
      </c>
      <c r="P46" s="63">
        <v>0.3</v>
      </c>
      <c r="Q46" s="62">
        <v>0.3</v>
      </c>
    </row>
    <row r="47" spans="1:17" ht="15" customHeight="1">
      <c r="A47" s="126"/>
      <c r="B47" s="63">
        <v>40</v>
      </c>
      <c r="C47" s="102">
        <f t="shared" si="0"/>
        <v>0</v>
      </c>
      <c r="D47" s="63">
        <f t="array" aca="1" ref="D47" ca="1">INDIRECT(ADDRESS(B47+ROW($D$7),MATCH($D$7,$F$7:$Q$7,0)+5))</f>
        <v>0.3</v>
      </c>
      <c r="E47" s="66">
        <f>报价及预中标!L41</f>
        <v>0</v>
      </c>
      <c r="F47" s="62">
        <v>0.3</v>
      </c>
      <c r="G47" s="62">
        <v>0.3</v>
      </c>
      <c r="H47" s="63">
        <v>0.3</v>
      </c>
      <c r="I47" s="63">
        <v>0.3</v>
      </c>
      <c r="J47" s="63">
        <v>0.3</v>
      </c>
      <c r="K47" s="63">
        <v>0.3</v>
      </c>
      <c r="L47" s="63">
        <v>1</v>
      </c>
      <c r="M47" s="63">
        <v>1</v>
      </c>
      <c r="N47" s="63">
        <v>0.3</v>
      </c>
      <c r="O47" s="63">
        <v>0.3</v>
      </c>
      <c r="P47" s="63">
        <v>0.3</v>
      </c>
      <c r="Q47" s="62">
        <v>0.3</v>
      </c>
    </row>
    <row r="48" spans="1:17" ht="15" customHeight="1">
      <c r="A48" s="126">
        <v>11</v>
      </c>
      <c r="B48" s="63">
        <v>41</v>
      </c>
      <c r="C48" s="102">
        <f t="shared" si="0"/>
        <v>0</v>
      </c>
      <c r="D48" s="63">
        <f t="array" aca="1" ref="D48" ca="1">INDIRECT(ADDRESS(B48+ROW($D$7),MATCH($D$7,$F$7:$Q$7,0)+5))</f>
        <v>0.1</v>
      </c>
      <c r="E48" s="66">
        <f>报价及预中标!L42</f>
        <v>0</v>
      </c>
      <c r="F48" s="62">
        <v>0.1</v>
      </c>
      <c r="G48" s="62">
        <v>0.1</v>
      </c>
      <c r="H48" s="63">
        <v>0.1</v>
      </c>
      <c r="I48" s="63">
        <v>0.1</v>
      </c>
      <c r="J48" s="63">
        <v>0.1</v>
      </c>
      <c r="K48" s="63">
        <v>0.3</v>
      </c>
      <c r="L48" s="63">
        <v>1</v>
      </c>
      <c r="M48" s="63">
        <v>1</v>
      </c>
      <c r="N48" s="63">
        <v>0.1</v>
      </c>
      <c r="O48" s="63">
        <v>0.1</v>
      </c>
      <c r="P48" s="63">
        <v>0.1</v>
      </c>
      <c r="Q48" s="62">
        <v>0.1</v>
      </c>
    </row>
    <row r="49" spans="1:17" ht="15" customHeight="1">
      <c r="A49" s="126"/>
      <c r="B49" s="63">
        <v>42</v>
      </c>
      <c r="C49" s="102">
        <f t="shared" si="0"/>
        <v>0</v>
      </c>
      <c r="D49" s="63">
        <f t="array" aca="1" ref="D49" ca="1">INDIRECT(ADDRESS(B49+ROW($D$7),MATCH($D$7,$F$7:$Q$7,0)+5))</f>
        <v>0.1</v>
      </c>
      <c r="E49" s="66">
        <f>报价及预中标!L43</f>
        <v>0</v>
      </c>
      <c r="F49" s="62">
        <v>0.1</v>
      </c>
      <c r="G49" s="62">
        <v>0.1</v>
      </c>
      <c r="H49" s="63">
        <v>0.1</v>
      </c>
      <c r="I49" s="63">
        <v>0.1</v>
      </c>
      <c r="J49" s="63">
        <v>0.1</v>
      </c>
      <c r="K49" s="63">
        <v>0.3</v>
      </c>
      <c r="L49" s="63">
        <v>1</v>
      </c>
      <c r="M49" s="63">
        <v>1</v>
      </c>
      <c r="N49" s="63">
        <v>0.1</v>
      </c>
      <c r="O49" s="63">
        <v>0.1</v>
      </c>
      <c r="P49" s="63">
        <v>0.1</v>
      </c>
      <c r="Q49" s="62">
        <v>0.1</v>
      </c>
    </row>
    <row r="50" spans="1:17" ht="15" customHeight="1">
      <c r="A50" s="126"/>
      <c r="B50" s="63">
        <v>43</v>
      </c>
      <c r="C50" s="102">
        <f t="shared" si="0"/>
        <v>0</v>
      </c>
      <c r="D50" s="63">
        <f t="array" aca="1" ref="D50" ca="1">INDIRECT(ADDRESS(B50+ROW($D$7),MATCH($D$7,$F$7:$Q$7,0)+5))</f>
        <v>0.1</v>
      </c>
      <c r="E50" s="66">
        <f>报价及预中标!L44</f>
        <v>0</v>
      </c>
      <c r="F50" s="62">
        <v>0.1</v>
      </c>
      <c r="G50" s="62">
        <v>0.1</v>
      </c>
      <c r="H50" s="63">
        <v>0.1</v>
      </c>
      <c r="I50" s="63">
        <v>0.1</v>
      </c>
      <c r="J50" s="63">
        <v>0.1</v>
      </c>
      <c r="K50" s="63">
        <v>0.3</v>
      </c>
      <c r="L50" s="63">
        <v>1</v>
      </c>
      <c r="M50" s="63">
        <v>1</v>
      </c>
      <c r="N50" s="63">
        <v>0.1</v>
      </c>
      <c r="O50" s="63">
        <v>0.1</v>
      </c>
      <c r="P50" s="63">
        <v>0.1</v>
      </c>
      <c r="Q50" s="62">
        <v>0.1</v>
      </c>
    </row>
    <row r="51" spans="1:17" ht="15" customHeight="1">
      <c r="A51" s="126"/>
      <c r="B51" s="63">
        <v>44</v>
      </c>
      <c r="C51" s="102">
        <f t="shared" si="0"/>
        <v>0</v>
      </c>
      <c r="D51" s="63">
        <f t="array" aca="1" ref="D51" ca="1">INDIRECT(ADDRESS(B51+ROW($D$7),MATCH($D$7,$F$7:$Q$7,0)+5))</f>
        <v>0.1</v>
      </c>
      <c r="E51" s="66">
        <f>报价及预中标!L45</f>
        <v>0</v>
      </c>
      <c r="F51" s="62">
        <v>0.1</v>
      </c>
      <c r="G51" s="62">
        <v>0.1</v>
      </c>
      <c r="H51" s="63">
        <v>0.1</v>
      </c>
      <c r="I51" s="63">
        <v>0.1</v>
      </c>
      <c r="J51" s="63">
        <v>0.1</v>
      </c>
      <c r="K51" s="63">
        <v>0.3</v>
      </c>
      <c r="L51" s="63">
        <v>1</v>
      </c>
      <c r="M51" s="63">
        <v>1</v>
      </c>
      <c r="N51" s="63">
        <v>0.1</v>
      </c>
      <c r="O51" s="63">
        <v>0.1</v>
      </c>
      <c r="P51" s="63">
        <v>0.1</v>
      </c>
      <c r="Q51" s="62">
        <v>0.1</v>
      </c>
    </row>
    <row r="52" spans="1:17" ht="15" customHeight="1">
      <c r="A52" s="126">
        <v>12</v>
      </c>
      <c r="B52" s="63">
        <v>45</v>
      </c>
      <c r="C52" s="102">
        <f t="shared" si="0"/>
        <v>0</v>
      </c>
      <c r="D52" s="63">
        <f t="array" aca="1" ref="D52" ca="1">INDIRECT(ADDRESS(B52+ROW($D$7),MATCH($D$7,$F$7:$Q$7,0)+5))</f>
        <v>0.1</v>
      </c>
      <c r="E52" s="66">
        <f>报价及预中标!L46</f>
        <v>0</v>
      </c>
      <c r="F52" s="62">
        <v>0.1</v>
      </c>
      <c r="G52" s="62">
        <v>0.1</v>
      </c>
      <c r="H52" s="63">
        <v>0.1</v>
      </c>
      <c r="I52" s="63">
        <v>0.1</v>
      </c>
      <c r="J52" s="63">
        <v>0.1</v>
      </c>
      <c r="K52" s="63">
        <v>0.3</v>
      </c>
      <c r="L52" s="63">
        <v>1</v>
      </c>
      <c r="M52" s="63">
        <v>1</v>
      </c>
      <c r="N52" s="63">
        <v>0.1</v>
      </c>
      <c r="O52" s="63">
        <v>0.1</v>
      </c>
      <c r="P52" s="63">
        <v>0.1</v>
      </c>
      <c r="Q52" s="62">
        <v>0.1</v>
      </c>
    </row>
    <row r="53" spans="1:17" ht="15" customHeight="1">
      <c r="A53" s="126"/>
      <c r="B53" s="63">
        <v>46</v>
      </c>
      <c r="C53" s="102">
        <f t="shared" si="0"/>
        <v>1</v>
      </c>
      <c r="D53" s="63">
        <f t="array" aca="1" ref="D53" ca="1">INDIRECT(ADDRESS(B53+ROW($D$7),MATCH($D$7,$F$7:$Q$7,0)+5))</f>
        <v>0.1</v>
      </c>
      <c r="E53" s="66">
        <f>报价及预中标!L47</f>
        <v>-95</v>
      </c>
      <c r="F53" s="62">
        <v>0.1</v>
      </c>
      <c r="G53" s="62">
        <v>0.1</v>
      </c>
      <c r="H53" s="63">
        <v>0.1</v>
      </c>
      <c r="I53" s="63">
        <v>0.1</v>
      </c>
      <c r="J53" s="63">
        <v>0.1</v>
      </c>
      <c r="K53" s="63">
        <v>0.3</v>
      </c>
      <c r="L53" s="63">
        <v>1</v>
      </c>
      <c r="M53" s="63">
        <v>1</v>
      </c>
      <c r="N53" s="63">
        <v>0.1</v>
      </c>
      <c r="O53" s="63">
        <v>0.1</v>
      </c>
      <c r="P53" s="63">
        <v>0.1</v>
      </c>
      <c r="Q53" s="62">
        <v>0.1</v>
      </c>
    </row>
    <row r="54" spans="1:17" ht="15" customHeight="1">
      <c r="A54" s="126"/>
      <c r="B54" s="63">
        <v>47</v>
      </c>
      <c r="C54" s="102">
        <f t="shared" si="0"/>
        <v>1</v>
      </c>
      <c r="D54" s="63">
        <f t="array" aca="1" ref="D54" ca="1">INDIRECT(ADDRESS(B54+ROW($D$7),MATCH($D$7,$F$7:$Q$7,0)+5))</f>
        <v>0.1</v>
      </c>
      <c r="E54" s="66">
        <f>报价及预中标!L48</f>
        <v>-95</v>
      </c>
      <c r="F54" s="62">
        <v>0.1</v>
      </c>
      <c r="G54" s="62">
        <v>0.1</v>
      </c>
      <c r="H54" s="63">
        <v>0.1</v>
      </c>
      <c r="I54" s="63">
        <v>0.1</v>
      </c>
      <c r="J54" s="63">
        <v>0.1</v>
      </c>
      <c r="K54" s="63">
        <v>0.3</v>
      </c>
      <c r="L54" s="63">
        <v>1</v>
      </c>
      <c r="M54" s="63">
        <v>1</v>
      </c>
      <c r="N54" s="63">
        <v>0.1</v>
      </c>
      <c r="O54" s="63">
        <v>0.1</v>
      </c>
      <c r="P54" s="63">
        <v>0.1</v>
      </c>
      <c r="Q54" s="62">
        <v>0.1</v>
      </c>
    </row>
    <row r="55" spans="1:17" ht="15" customHeight="1">
      <c r="A55" s="126"/>
      <c r="B55" s="63">
        <v>48</v>
      </c>
      <c r="C55" s="102">
        <f t="shared" si="0"/>
        <v>1</v>
      </c>
      <c r="D55" s="63">
        <f t="array" aca="1" ref="D55" ca="1">INDIRECT(ADDRESS(B55+ROW($D$7),MATCH($D$7,$F$7:$Q$7,0)+5))</f>
        <v>0.1</v>
      </c>
      <c r="E55" s="66">
        <f>报价及预中标!L49</f>
        <v>-95</v>
      </c>
      <c r="F55" s="62">
        <v>0.1</v>
      </c>
      <c r="G55" s="62">
        <v>0.1</v>
      </c>
      <c r="H55" s="63">
        <v>0.1</v>
      </c>
      <c r="I55" s="63">
        <v>0.1</v>
      </c>
      <c r="J55" s="63">
        <v>0.1</v>
      </c>
      <c r="K55" s="63">
        <v>0.3</v>
      </c>
      <c r="L55" s="63">
        <v>1</v>
      </c>
      <c r="M55" s="63">
        <v>1</v>
      </c>
      <c r="N55" s="63">
        <v>0.1</v>
      </c>
      <c r="O55" s="63">
        <v>0.1</v>
      </c>
      <c r="P55" s="63">
        <v>0.1</v>
      </c>
      <c r="Q55" s="62">
        <v>0.1</v>
      </c>
    </row>
    <row r="56" spans="1:17" ht="15" customHeight="1">
      <c r="A56" s="126">
        <v>13</v>
      </c>
      <c r="B56" s="63">
        <v>49</v>
      </c>
      <c r="C56" s="102">
        <f t="shared" si="0"/>
        <v>1</v>
      </c>
      <c r="D56" s="63">
        <f t="array" aca="1" ref="D56" ca="1">INDIRECT(ADDRESS(B56+ROW($D$7),MATCH($D$7,$F$7:$Q$7,0)+5))</f>
        <v>0.1</v>
      </c>
      <c r="E56" s="66">
        <f>报价及预中标!L50</f>
        <v>-95</v>
      </c>
      <c r="F56" s="62">
        <v>0.1</v>
      </c>
      <c r="G56" s="62">
        <v>0.1</v>
      </c>
      <c r="H56" s="63">
        <v>0.1</v>
      </c>
      <c r="I56" s="63">
        <v>0.1</v>
      </c>
      <c r="J56" s="63">
        <v>0.1</v>
      </c>
      <c r="K56" s="63">
        <v>1</v>
      </c>
      <c r="L56" s="63">
        <v>1</v>
      </c>
      <c r="M56" s="63">
        <v>1</v>
      </c>
      <c r="N56" s="63">
        <v>0.1</v>
      </c>
      <c r="O56" s="63">
        <v>0.1</v>
      </c>
      <c r="P56" s="63">
        <v>0.1</v>
      </c>
      <c r="Q56" s="62">
        <v>0.1</v>
      </c>
    </row>
    <row r="57" spans="1:17" ht="15" customHeight="1">
      <c r="A57" s="126"/>
      <c r="B57" s="63">
        <v>50</v>
      </c>
      <c r="C57" s="102">
        <f t="shared" si="0"/>
        <v>1</v>
      </c>
      <c r="D57" s="63">
        <f t="array" aca="1" ref="D57" ca="1">INDIRECT(ADDRESS(B57+ROW($D$7),MATCH($D$7,$F$7:$Q$7,0)+5))</f>
        <v>0.1</v>
      </c>
      <c r="E57" s="66">
        <f>报价及预中标!L51</f>
        <v>-95</v>
      </c>
      <c r="F57" s="62">
        <v>0.1</v>
      </c>
      <c r="G57" s="62">
        <v>0.1</v>
      </c>
      <c r="H57" s="63">
        <v>0.1</v>
      </c>
      <c r="I57" s="63">
        <v>0.1</v>
      </c>
      <c r="J57" s="63">
        <v>0.1</v>
      </c>
      <c r="K57" s="63">
        <v>1</v>
      </c>
      <c r="L57" s="63">
        <v>1</v>
      </c>
      <c r="M57" s="63">
        <v>1</v>
      </c>
      <c r="N57" s="63">
        <v>0.1</v>
      </c>
      <c r="O57" s="63">
        <v>0.1</v>
      </c>
      <c r="P57" s="63">
        <v>0.1</v>
      </c>
      <c r="Q57" s="62">
        <v>0.1</v>
      </c>
    </row>
    <row r="58" spans="1:17" ht="15" customHeight="1">
      <c r="A58" s="126"/>
      <c r="B58" s="63">
        <v>51</v>
      </c>
      <c r="C58" s="102">
        <f t="shared" si="0"/>
        <v>1</v>
      </c>
      <c r="D58" s="63">
        <f t="array" aca="1" ref="D58" ca="1">INDIRECT(ADDRESS(B58+ROW($D$7),MATCH($D$7,$F$7:$Q$7,0)+5))</f>
        <v>0.1</v>
      </c>
      <c r="E58" s="66">
        <f>报价及预中标!L52</f>
        <v>-95</v>
      </c>
      <c r="F58" s="62">
        <v>0.1</v>
      </c>
      <c r="G58" s="62">
        <v>0.1</v>
      </c>
      <c r="H58" s="63">
        <v>0.1</v>
      </c>
      <c r="I58" s="63">
        <v>0.1</v>
      </c>
      <c r="J58" s="63">
        <v>0.1</v>
      </c>
      <c r="K58" s="63">
        <v>1</v>
      </c>
      <c r="L58" s="63">
        <v>1</v>
      </c>
      <c r="M58" s="63">
        <v>1</v>
      </c>
      <c r="N58" s="63">
        <v>0.1</v>
      </c>
      <c r="O58" s="63">
        <v>0.1</v>
      </c>
      <c r="P58" s="63">
        <v>0.1</v>
      </c>
      <c r="Q58" s="62">
        <v>0.1</v>
      </c>
    </row>
    <row r="59" spans="1:17" ht="15" customHeight="1">
      <c r="A59" s="126"/>
      <c r="B59" s="63">
        <v>52</v>
      </c>
      <c r="C59" s="102">
        <f t="shared" si="0"/>
        <v>1</v>
      </c>
      <c r="D59" s="63">
        <f t="array" aca="1" ref="D59" ca="1">INDIRECT(ADDRESS(B59+ROW($D$7),MATCH($D$7,$F$7:$Q$7,0)+5))</f>
        <v>0.1</v>
      </c>
      <c r="E59" s="66">
        <f>报价及预中标!L53</f>
        <v>-95</v>
      </c>
      <c r="F59" s="62">
        <v>0.1</v>
      </c>
      <c r="G59" s="62">
        <v>0.1</v>
      </c>
      <c r="H59" s="63">
        <v>0.1</v>
      </c>
      <c r="I59" s="63">
        <v>0.1</v>
      </c>
      <c r="J59" s="63">
        <v>0.1</v>
      </c>
      <c r="K59" s="63">
        <v>1</v>
      </c>
      <c r="L59" s="63">
        <v>1</v>
      </c>
      <c r="M59" s="63">
        <v>1</v>
      </c>
      <c r="N59" s="63">
        <v>0.1</v>
      </c>
      <c r="O59" s="63">
        <v>0.1</v>
      </c>
      <c r="P59" s="63">
        <v>0.1</v>
      </c>
      <c r="Q59" s="62">
        <v>0.1</v>
      </c>
    </row>
    <row r="60" spans="1:17" ht="15" customHeight="1">
      <c r="A60" s="126">
        <v>14</v>
      </c>
      <c r="B60" s="63">
        <v>53</v>
      </c>
      <c r="C60" s="102">
        <f t="shared" si="0"/>
        <v>1</v>
      </c>
      <c r="D60" s="63">
        <f t="array" aca="1" ref="D60" ca="1">INDIRECT(ADDRESS(B60+ROW($D$7),MATCH($D$7,$F$7:$Q$7,0)+5))</f>
        <v>0.1</v>
      </c>
      <c r="E60" s="66">
        <f>报价及预中标!L54</f>
        <v>-12.6</v>
      </c>
      <c r="F60" s="62">
        <v>0.1</v>
      </c>
      <c r="G60" s="62">
        <v>0.1</v>
      </c>
      <c r="H60" s="63">
        <v>0.1</v>
      </c>
      <c r="I60" s="63">
        <v>0.1</v>
      </c>
      <c r="J60" s="63">
        <v>0.1</v>
      </c>
      <c r="K60" s="63">
        <v>1</v>
      </c>
      <c r="L60" s="63">
        <v>1</v>
      </c>
      <c r="M60" s="63">
        <v>1</v>
      </c>
      <c r="N60" s="63">
        <v>0.1</v>
      </c>
      <c r="O60" s="63">
        <v>0.1</v>
      </c>
      <c r="P60" s="63">
        <v>0.1</v>
      </c>
      <c r="Q60" s="62">
        <v>0.1</v>
      </c>
    </row>
    <row r="61" spans="1:17" ht="15" customHeight="1">
      <c r="A61" s="126"/>
      <c r="B61" s="63">
        <v>54</v>
      </c>
      <c r="C61" s="102">
        <f t="shared" si="0"/>
        <v>1</v>
      </c>
      <c r="D61" s="63">
        <f t="array" aca="1" ref="D61" ca="1">INDIRECT(ADDRESS(B61+ROW($D$7),MATCH($D$7,$F$7:$Q$7,0)+5))</f>
        <v>0.1</v>
      </c>
      <c r="E61" s="66">
        <f>报价及预中标!L55</f>
        <v>-12.6</v>
      </c>
      <c r="F61" s="62">
        <v>0.1</v>
      </c>
      <c r="G61" s="62">
        <v>0.1</v>
      </c>
      <c r="H61" s="63">
        <v>0.1</v>
      </c>
      <c r="I61" s="63">
        <v>0.1</v>
      </c>
      <c r="J61" s="63">
        <v>0.1</v>
      </c>
      <c r="K61" s="63">
        <v>1</v>
      </c>
      <c r="L61" s="63">
        <v>1</v>
      </c>
      <c r="M61" s="63">
        <v>1</v>
      </c>
      <c r="N61" s="63">
        <v>0.1</v>
      </c>
      <c r="O61" s="63">
        <v>0.1</v>
      </c>
      <c r="P61" s="63">
        <v>0.1</v>
      </c>
      <c r="Q61" s="62">
        <v>0.1</v>
      </c>
    </row>
    <row r="62" spans="1:17" ht="15" customHeight="1">
      <c r="A62" s="126"/>
      <c r="B62" s="63">
        <v>55</v>
      </c>
      <c r="C62" s="102">
        <f t="shared" si="0"/>
        <v>1</v>
      </c>
      <c r="D62" s="63">
        <f t="array" aca="1" ref="D62" ca="1">INDIRECT(ADDRESS(B62+ROW($D$7),MATCH($D$7,$F$7:$Q$7,0)+5))</f>
        <v>0.1</v>
      </c>
      <c r="E62" s="66">
        <f>报价及预中标!L56</f>
        <v>-12.6</v>
      </c>
      <c r="F62" s="62">
        <v>0.1</v>
      </c>
      <c r="G62" s="62">
        <v>0.1</v>
      </c>
      <c r="H62" s="63">
        <v>0.1</v>
      </c>
      <c r="I62" s="63">
        <v>0.1</v>
      </c>
      <c r="J62" s="63">
        <v>0.1</v>
      </c>
      <c r="K62" s="63">
        <v>1</v>
      </c>
      <c r="L62" s="63">
        <v>1</v>
      </c>
      <c r="M62" s="63">
        <v>1</v>
      </c>
      <c r="N62" s="63">
        <v>0.1</v>
      </c>
      <c r="O62" s="63">
        <v>0.1</v>
      </c>
      <c r="P62" s="63">
        <v>0.1</v>
      </c>
      <c r="Q62" s="62">
        <v>0.1</v>
      </c>
    </row>
    <row r="63" spans="1:17" ht="15" customHeight="1">
      <c r="A63" s="126"/>
      <c r="B63" s="63">
        <v>56</v>
      </c>
      <c r="C63" s="102">
        <f t="shared" si="0"/>
        <v>1</v>
      </c>
      <c r="D63" s="63">
        <f t="array" aca="1" ref="D63" ca="1">INDIRECT(ADDRESS(B63+ROW($D$7),MATCH($D$7,$F$7:$Q$7,0)+5))</f>
        <v>0.1</v>
      </c>
      <c r="E63" s="66">
        <f>报价及预中标!L57</f>
        <v>-12.6</v>
      </c>
      <c r="F63" s="62">
        <v>0.1</v>
      </c>
      <c r="G63" s="62">
        <v>0.1</v>
      </c>
      <c r="H63" s="63">
        <v>0.1</v>
      </c>
      <c r="I63" s="63">
        <v>0.1</v>
      </c>
      <c r="J63" s="63">
        <v>0.1</v>
      </c>
      <c r="K63" s="63">
        <v>1</v>
      </c>
      <c r="L63" s="63">
        <v>1</v>
      </c>
      <c r="M63" s="63">
        <v>1</v>
      </c>
      <c r="N63" s="63">
        <v>0.1</v>
      </c>
      <c r="O63" s="63">
        <v>0.1</v>
      </c>
      <c r="P63" s="63">
        <v>0.1</v>
      </c>
      <c r="Q63" s="62">
        <v>0.1</v>
      </c>
    </row>
    <row r="64" spans="1:17" ht="15" customHeight="1">
      <c r="A64" s="126">
        <v>15</v>
      </c>
      <c r="B64" s="63">
        <v>57</v>
      </c>
      <c r="C64" s="102">
        <f t="shared" si="0"/>
        <v>1</v>
      </c>
      <c r="D64" s="63">
        <f t="array" aca="1" ref="D64" ca="1">INDIRECT(ADDRESS(B64+ROW($D$7),MATCH($D$7,$F$7:$Q$7,0)+5))</f>
        <v>0.3</v>
      </c>
      <c r="E64" s="66">
        <f>报价及预中标!L58</f>
        <v>-12.6</v>
      </c>
      <c r="F64" s="62">
        <v>0.3</v>
      </c>
      <c r="G64" s="62">
        <v>0.3</v>
      </c>
      <c r="H64" s="63">
        <v>0.3</v>
      </c>
      <c r="I64" s="63">
        <v>0.3</v>
      </c>
      <c r="J64" s="63">
        <v>0.3</v>
      </c>
      <c r="K64" s="63">
        <v>1</v>
      </c>
      <c r="L64" s="63">
        <v>1</v>
      </c>
      <c r="M64" s="63">
        <v>1</v>
      </c>
      <c r="N64" s="63">
        <v>0.3</v>
      </c>
      <c r="O64" s="63">
        <v>0.3</v>
      </c>
      <c r="P64" s="63">
        <v>0.3</v>
      </c>
      <c r="Q64" s="62">
        <v>0.3</v>
      </c>
    </row>
    <row r="65" spans="1:17" ht="15" customHeight="1">
      <c r="A65" s="126"/>
      <c r="B65" s="63">
        <v>58</v>
      </c>
      <c r="C65" s="102">
        <f t="shared" si="0"/>
        <v>0</v>
      </c>
      <c r="D65" s="63">
        <f t="array" aca="1" ref="D65" ca="1">INDIRECT(ADDRESS(B65+ROW($D$7),MATCH($D$7,$F$7:$Q$7,0)+5))</f>
        <v>0.3</v>
      </c>
      <c r="E65" s="66">
        <f>报价及预中标!L59</f>
        <v>0</v>
      </c>
      <c r="F65" s="62">
        <v>0.3</v>
      </c>
      <c r="G65" s="62">
        <v>0.3</v>
      </c>
      <c r="H65" s="63">
        <v>0.3</v>
      </c>
      <c r="I65" s="63">
        <v>0.3</v>
      </c>
      <c r="J65" s="63">
        <v>0.3</v>
      </c>
      <c r="K65" s="63">
        <v>1</v>
      </c>
      <c r="L65" s="63">
        <v>1</v>
      </c>
      <c r="M65" s="63">
        <v>1</v>
      </c>
      <c r="N65" s="63">
        <v>0.3</v>
      </c>
      <c r="O65" s="63">
        <v>0.3</v>
      </c>
      <c r="P65" s="63">
        <v>0.3</v>
      </c>
      <c r="Q65" s="62">
        <v>0.3</v>
      </c>
    </row>
    <row r="66" spans="1:17" ht="15" customHeight="1">
      <c r="A66" s="126"/>
      <c r="B66" s="63">
        <v>59</v>
      </c>
      <c r="C66" s="102">
        <f t="shared" si="0"/>
        <v>0</v>
      </c>
      <c r="D66" s="63">
        <f t="array" aca="1" ref="D66" ca="1">INDIRECT(ADDRESS(B66+ROW($D$7),MATCH($D$7,$F$7:$Q$7,0)+5))</f>
        <v>0.3</v>
      </c>
      <c r="E66" s="66">
        <f>报价及预中标!L60</f>
        <v>0</v>
      </c>
      <c r="F66" s="62">
        <v>0.3</v>
      </c>
      <c r="G66" s="62">
        <v>0.3</v>
      </c>
      <c r="H66" s="63">
        <v>0.3</v>
      </c>
      <c r="I66" s="63">
        <v>0.3</v>
      </c>
      <c r="J66" s="63">
        <v>0.3</v>
      </c>
      <c r="K66" s="63">
        <v>1</v>
      </c>
      <c r="L66" s="63">
        <v>1</v>
      </c>
      <c r="M66" s="63">
        <v>1</v>
      </c>
      <c r="N66" s="63">
        <v>0.3</v>
      </c>
      <c r="O66" s="63">
        <v>0.3</v>
      </c>
      <c r="P66" s="63">
        <v>0.3</v>
      </c>
      <c r="Q66" s="62">
        <v>0.3</v>
      </c>
    </row>
    <row r="67" spans="1:17" ht="15" customHeight="1">
      <c r="A67" s="126"/>
      <c r="B67" s="63">
        <v>60</v>
      </c>
      <c r="C67" s="102">
        <f t="shared" si="0"/>
        <v>0</v>
      </c>
      <c r="D67" s="63">
        <f t="array" aca="1" ref="D67" ca="1">INDIRECT(ADDRESS(B67+ROW($D$7),MATCH($D$7,$F$7:$Q$7,0)+5))</f>
        <v>0.3</v>
      </c>
      <c r="E67" s="66">
        <f>报价及预中标!L61</f>
        <v>0</v>
      </c>
      <c r="F67" s="62">
        <v>0.3</v>
      </c>
      <c r="G67" s="62">
        <v>0.3</v>
      </c>
      <c r="H67" s="63">
        <v>0.3</v>
      </c>
      <c r="I67" s="63">
        <v>0.3</v>
      </c>
      <c r="J67" s="63">
        <v>0.3</v>
      </c>
      <c r="K67" s="63">
        <v>1</v>
      </c>
      <c r="L67" s="63">
        <v>1</v>
      </c>
      <c r="M67" s="63">
        <v>1</v>
      </c>
      <c r="N67" s="63">
        <v>0.3</v>
      </c>
      <c r="O67" s="63">
        <v>0.3</v>
      </c>
      <c r="P67" s="63">
        <v>0.3</v>
      </c>
      <c r="Q67" s="62">
        <v>0.3</v>
      </c>
    </row>
    <row r="68" spans="1:17" ht="15" customHeight="1">
      <c r="A68" s="126">
        <v>16</v>
      </c>
      <c r="B68" s="63">
        <v>61</v>
      </c>
      <c r="C68" s="102">
        <f t="shared" si="0"/>
        <v>0</v>
      </c>
      <c r="D68" s="63">
        <f t="array" aca="1" ref="D68" ca="1">INDIRECT(ADDRESS(B68+ROW($D$7),MATCH($D$7,$F$7:$Q$7,0)+5))</f>
        <v>1</v>
      </c>
      <c r="E68" s="66">
        <f>报价及预中标!L62</f>
        <v>0</v>
      </c>
      <c r="F68" s="62">
        <v>2</v>
      </c>
      <c r="G68" s="62">
        <v>2</v>
      </c>
      <c r="H68" s="63">
        <v>1</v>
      </c>
      <c r="I68" s="63">
        <v>1</v>
      </c>
      <c r="J68" s="63">
        <v>1</v>
      </c>
      <c r="K68" s="63">
        <v>1.7</v>
      </c>
      <c r="L68" s="63">
        <v>1.7</v>
      </c>
      <c r="M68" s="63">
        <v>1.7</v>
      </c>
      <c r="N68" s="63">
        <v>1.7</v>
      </c>
      <c r="O68" s="63">
        <v>1.7</v>
      </c>
      <c r="P68" s="63">
        <v>1.7</v>
      </c>
      <c r="Q68" s="62">
        <v>2</v>
      </c>
    </row>
    <row r="69" spans="1:17" ht="15" customHeight="1">
      <c r="A69" s="126"/>
      <c r="B69" s="63">
        <v>62</v>
      </c>
      <c r="C69" s="102">
        <f t="shared" si="0"/>
        <v>0</v>
      </c>
      <c r="D69" s="63">
        <f t="array" aca="1" ref="D69" ca="1">INDIRECT(ADDRESS(B69+ROW($D$7),MATCH($D$7,$F$7:$Q$7,0)+5))</f>
        <v>1</v>
      </c>
      <c r="E69" s="66">
        <f>报价及预中标!L63</f>
        <v>0</v>
      </c>
      <c r="F69" s="62">
        <v>2</v>
      </c>
      <c r="G69" s="62">
        <v>2</v>
      </c>
      <c r="H69" s="63">
        <v>1</v>
      </c>
      <c r="I69" s="63">
        <v>1</v>
      </c>
      <c r="J69" s="63">
        <v>1</v>
      </c>
      <c r="K69" s="63">
        <v>1.7</v>
      </c>
      <c r="L69" s="63">
        <v>1.7</v>
      </c>
      <c r="M69" s="63">
        <v>1.7</v>
      </c>
      <c r="N69" s="63">
        <v>1.7</v>
      </c>
      <c r="O69" s="63">
        <v>1.7</v>
      </c>
      <c r="P69" s="63">
        <v>1.7</v>
      </c>
      <c r="Q69" s="62">
        <v>2</v>
      </c>
    </row>
    <row r="70" spans="1:17" ht="15" customHeight="1">
      <c r="A70" s="126"/>
      <c r="B70" s="63">
        <v>63</v>
      </c>
      <c r="C70" s="102">
        <f t="shared" si="0"/>
        <v>0</v>
      </c>
      <c r="D70" s="63">
        <f t="array" aca="1" ref="D70" ca="1">INDIRECT(ADDRESS(B70+ROW($D$7),MATCH($D$7,$F$7:$Q$7,0)+5))</f>
        <v>1</v>
      </c>
      <c r="E70" s="66">
        <f>报价及预中标!L64</f>
        <v>0</v>
      </c>
      <c r="F70" s="62">
        <v>2</v>
      </c>
      <c r="G70" s="62">
        <v>2</v>
      </c>
      <c r="H70" s="63">
        <v>1</v>
      </c>
      <c r="I70" s="63">
        <v>1</v>
      </c>
      <c r="J70" s="63">
        <v>1</v>
      </c>
      <c r="K70" s="63">
        <v>1.7</v>
      </c>
      <c r="L70" s="63">
        <v>1.7</v>
      </c>
      <c r="M70" s="63">
        <v>1.7</v>
      </c>
      <c r="N70" s="63">
        <v>1.7</v>
      </c>
      <c r="O70" s="63">
        <v>1.7</v>
      </c>
      <c r="P70" s="63">
        <v>1.7</v>
      </c>
      <c r="Q70" s="62">
        <v>2</v>
      </c>
    </row>
    <row r="71" spans="1:17" ht="15" customHeight="1">
      <c r="A71" s="126"/>
      <c r="B71" s="63">
        <v>64</v>
      </c>
      <c r="C71" s="102">
        <f t="shared" si="0"/>
        <v>0</v>
      </c>
      <c r="D71" s="63">
        <f t="array" aca="1" ref="D71" ca="1">INDIRECT(ADDRESS(B71+ROW($D$7),MATCH($D$7,$F$7:$Q$7,0)+5))</f>
        <v>1</v>
      </c>
      <c r="E71" s="66">
        <f>报价及预中标!L65</f>
        <v>0</v>
      </c>
      <c r="F71" s="62">
        <v>2</v>
      </c>
      <c r="G71" s="62">
        <v>2</v>
      </c>
      <c r="H71" s="63">
        <v>1</v>
      </c>
      <c r="I71" s="63">
        <v>1</v>
      </c>
      <c r="J71" s="63">
        <v>1</v>
      </c>
      <c r="K71" s="63">
        <v>1.7</v>
      </c>
      <c r="L71" s="63">
        <v>1.7</v>
      </c>
      <c r="M71" s="63">
        <v>1.7</v>
      </c>
      <c r="N71" s="63">
        <v>1.7</v>
      </c>
      <c r="O71" s="63">
        <v>1.7</v>
      </c>
      <c r="P71" s="63">
        <v>1.7</v>
      </c>
      <c r="Q71" s="62">
        <v>2</v>
      </c>
    </row>
    <row r="72" spans="1:17" ht="15" customHeight="1">
      <c r="A72" s="126">
        <v>17</v>
      </c>
      <c r="B72" s="63">
        <v>65</v>
      </c>
      <c r="C72" s="102">
        <f t="shared" si="0"/>
        <v>0</v>
      </c>
      <c r="D72" s="63">
        <f t="array" aca="1" ref="D72" ca="1">INDIRECT(ADDRESS(B72+ROW($D$7),MATCH($D$7,$F$7:$Q$7,0)+5))</f>
        <v>2</v>
      </c>
      <c r="E72" s="66">
        <f>报价及预中标!L66</f>
        <v>0</v>
      </c>
      <c r="F72" s="62">
        <v>2</v>
      </c>
      <c r="G72" s="62">
        <v>2</v>
      </c>
      <c r="H72" s="63">
        <v>2</v>
      </c>
      <c r="I72" s="63">
        <v>2</v>
      </c>
      <c r="J72" s="63">
        <v>2</v>
      </c>
      <c r="K72" s="63">
        <v>2</v>
      </c>
      <c r="L72" s="63">
        <v>2</v>
      </c>
      <c r="M72" s="63">
        <v>2</v>
      </c>
      <c r="N72" s="63">
        <v>2</v>
      </c>
      <c r="O72" s="63">
        <v>2</v>
      </c>
      <c r="P72" s="63">
        <v>2</v>
      </c>
      <c r="Q72" s="62">
        <v>2</v>
      </c>
    </row>
    <row r="73" spans="1:17" ht="15" customHeight="1">
      <c r="A73" s="126"/>
      <c r="B73" s="63">
        <v>66</v>
      </c>
      <c r="C73" s="102">
        <f t="shared" ref="C73:C103" si="1">IF(E73&lt;0,1,0)</f>
        <v>0</v>
      </c>
      <c r="D73" s="63">
        <f t="array" aca="1" ref="D73" ca="1">INDIRECT(ADDRESS(B73+ROW($D$7),MATCH($D$7,$F$7:$Q$7,0)+5))</f>
        <v>2</v>
      </c>
      <c r="E73" s="66">
        <f>报价及预中标!L67</f>
        <v>0</v>
      </c>
      <c r="F73" s="62">
        <v>2</v>
      </c>
      <c r="G73" s="62">
        <v>2</v>
      </c>
      <c r="H73" s="63">
        <v>2</v>
      </c>
      <c r="I73" s="63">
        <v>2</v>
      </c>
      <c r="J73" s="63">
        <v>2</v>
      </c>
      <c r="K73" s="63">
        <v>2</v>
      </c>
      <c r="L73" s="63">
        <v>2</v>
      </c>
      <c r="M73" s="63">
        <v>2</v>
      </c>
      <c r="N73" s="63">
        <v>2</v>
      </c>
      <c r="O73" s="63">
        <v>2</v>
      </c>
      <c r="P73" s="63">
        <v>2</v>
      </c>
      <c r="Q73" s="62">
        <v>2</v>
      </c>
    </row>
    <row r="74" spans="1:17" ht="15" customHeight="1">
      <c r="A74" s="126"/>
      <c r="B74" s="63">
        <v>67</v>
      </c>
      <c r="C74" s="102">
        <f t="shared" si="1"/>
        <v>0</v>
      </c>
      <c r="D74" s="63">
        <f t="array" aca="1" ref="D74" ca="1">INDIRECT(ADDRESS(B74+ROW($D$7),MATCH($D$7,$F$7:$Q$7,0)+5))</f>
        <v>2</v>
      </c>
      <c r="E74" s="66">
        <f>报价及预中标!L68</f>
        <v>0</v>
      </c>
      <c r="F74" s="62">
        <v>2</v>
      </c>
      <c r="G74" s="62">
        <v>2</v>
      </c>
      <c r="H74" s="63">
        <v>2</v>
      </c>
      <c r="I74" s="63">
        <v>2</v>
      </c>
      <c r="J74" s="63">
        <v>2</v>
      </c>
      <c r="K74" s="63">
        <v>2</v>
      </c>
      <c r="L74" s="63">
        <v>2</v>
      </c>
      <c r="M74" s="63">
        <v>2</v>
      </c>
      <c r="N74" s="63">
        <v>2</v>
      </c>
      <c r="O74" s="63">
        <v>2</v>
      </c>
      <c r="P74" s="63">
        <v>2</v>
      </c>
      <c r="Q74" s="62">
        <v>2</v>
      </c>
    </row>
    <row r="75" spans="1:17" ht="15" customHeight="1">
      <c r="A75" s="126"/>
      <c r="B75" s="63">
        <v>68</v>
      </c>
      <c r="C75" s="102">
        <f t="shared" si="1"/>
        <v>0</v>
      </c>
      <c r="D75" s="63">
        <f t="array" aca="1" ref="D75" ca="1">INDIRECT(ADDRESS(B75+ROW($D$7),MATCH($D$7,$F$7:$Q$7,0)+5))</f>
        <v>2</v>
      </c>
      <c r="E75" s="66">
        <f>报价及预中标!L69</f>
        <v>0</v>
      </c>
      <c r="F75" s="62">
        <v>2</v>
      </c>
      <c r="G75" s="62">
        <v>2</v>
      </c>
      <c r="H75" s="63">
        <v>2</v>
      </c>
      <c r="I75" s="63">
        <v>2</v>
      </c>
      <c r="J75" s="63">
        <v>2</v>
      </c>
      <c r="K75" s="63">
        <v>2</v>
      </c>
      <c r="L75" s="63">
        <v>2</v>
      </c>
      <c r="M75" s="63">
        <v>2</v>
      </c>
      <c r="N75" s="63">
        <v>2</v>
      </c>
      <c r="O75" s="63">
        <v>2</v>
      </c>
      <c r="P75" s="63">
        <v>2</v>
      </c>
      <c r="Q75" s="62">
        <v>2</v>
      </c>
    </row>
    <row r="76" spans="1:17" ht="15" customHeight="1">
      <c r="A76" s="126">
        <v>18</v>
      </c>
      <c r="B76" s="63">
        <v>69</v>
      </c>
      <c r="C76" s="102">
        <f t="shared" si="1"/>
        <v>0</v>
      </c>
      <c r="D76" s="63">
        <f t="array" aca="1" ref="D76" ca="1">INDIRECT(ADDRESS(B76+ROW($D$7),MATCH($D$7,$F$7:$Q$7,0)+5))</f>
        <v>2</v>
      </c>
      <c r="E76" s="66">
        <f>报价及预中标!L70</f>
        <v>0</v>
      </c>
      <c r="F76" s="62">
        <v>2</v>
      </c>
      <c r="G76" s="62">
        <v>2</v>
      </c>
      <c r="H76" s="63">
        <v>2</v>
      </c>
      <c r="I76" s="63">
        <v>2</v>
      </c>
      <c r="J76" s="63">
        <v>2</v>
      </c>
      <c r="K76" s="63">
        <v>2</v>
      </c>
      <c r="L76" s="63">
        <v>2</v>
      </c>
      <c r="M76" s="63">
        <v>2</v>
      </c>
      <c r="N76" s="63">
        <v>2</v>
      </c>
      <c r="O76" s="63">
        <v>2</v>
      </c>
      <c r="P76" s="63">
        <v>2</v>
      </c>
      <c r="Q76" s="62">
        <v>2</v>
      </c>
    </row>
    <row r="77" spans="1:17" ht="15" customHeight="1">
      <c r="A77" s="126"/>
      <c r="B77" s="63">
        <v>70</v>
      </c>
      <c r="C77" s="102">
        <f t="shared" si="1"/>
        <v>0</v>
      </c>
      <c r="D77" s="63">
        <f t="array" aca="1" ref="D77" ca="1">INDIRECT(ADDRESS(B77+ROW($D$7),MATCH($D$7,$F$7:$Q$7,0)+5))</f>
        <v>2</v>
      </c>
      <c r="E77" s="66">
        <f>报价及预中标!L71</f>
        <v>0</v>
      </c>
      <c r="F77" s="62">
        <v>2</v>
      </c>
      <c r="G77" s="62">
        <v>2</v>
      </c>
      <c r="H77" s="63">
        <v>2</v>
      </c>
      <c r="I77" s="63">
        <v>2</v>
      </c>
      <c r="J77" s="63">
        <v>2</v>
      </c>
      <c r="K77" s="63">
        <v>2</v>
      </c>
      <c r="L77" s="63">
        <v>2</v>
      </c>
      <c r="M77" s="63">
        <v>2</v>
      </c>
      <c r="N77" s="63">
        <v>2</v>
      </c>
      <c r="O77" s="63">
        <v>2</v>
      </c>
      <c r="P77" s="63">
        <v>2</v>
      </c>
      <c r="Q77" s="62">
        <v>2</v>
      </c>
    </row>
    <row r="78" spans="1:17" ht="15" customHeight="1">
      <c r="A78" s="126"/>
      <c r="B78" s="63">
        <v>71</v>
      </c>
      <c r="C78" s="102">
        <f t="shared" si="1"/>
        <v>0</v>
      </c>
      <c r="D78" s="63">
        <f t="array" aca="1" ref="D78" ca="1">INDIRECT(ADDRESS(B78+ROW($D$7),MATCH($D$7,$F$7:$Q$7,0)+5))</f>
        <v>2</v>
      </c>
      <c r="E78" s="66">
        <f>报价及预中标!L72</f>
        <v>0</v>
      </c>
      <c r="F78" s="62">
        <v>2</v>
      </c>
      <c r="G78" s="62">
        <v>2</v>
      </c>
      <c r="H78" s="63">
        <v>2</v>
      </c>
      <c r="I78" s="63">
        <v>2</v>
      </c>
      <c r="J78" s="63">
        <v>2</v>
      </c>
      <c r="K78" s="63">
        <v>2</v>
      </c>
      <c r="L78" s="63">
        <v>2</v>
      </c>
      <c r="M78" s="63">
        <v>2</v>
      </c>
      <c r="N78" s="63">
        <v>2</v>
      </c>
      <c r="O78" s="63">
        <v>2</v>
      </c>
      <c r="P78" s="63">
        <v>2</v>
      </c>
      <c r="Q78" s="62">
        <v>2</v>
      </c>
    </row>
    <row r="79" spans="1:17" ht="15" customHeight="1">
      <c r="A79" s="126"/>
      <c r="B79" s="63">
        <v>72</v>
      </c>
      <c r="C79" s="102">
        <f t="shared" si="1"/>
        <v>0</v>
      </c>
      <c r="D79" s="63">
        <f t="array" aca="1" ref="D79" ca="1">INDIRECT(ADDRESS(B79+ROW($D$7),MATCH($D$7,$F$7:$Q$7,0)+5))</f>
        <v>2</v>
      </c>
      <c r="E79" s="66">
        <f>报价及预中标!L73</f>
        <v>0</v>
      </c>
      <c r="F79" s="62">
        <v>2</v>
      </c>
      <c r="G79" s="62">
        <v>2</v>
      </c>
      <c r="H79" s="63">
        <v>2</v>
      </c>
      <c r="I79" s="63">
        <v>2</v>
      </c>
      <c r="J79" s="63">
        <v>2</v>
      </c>
      <c r="K79" s="63">
        <v>2</v>
      </c>
      <c r="L79" s="63">
        <v>2</v>
      </c>
      <c r="M79" s="63">
        <v>2</v>
      </c>
      <c r="N79" s="63">
        <v>2</v>
      </c>
      <c r="O79" s="63">
        <v>2</v>
      </c>
      <c r="P79" s="63">
        <v>2</v>
      </c>
      <c r="Q79" s="62">
        <v>2</v>
      </c>
    </row>
    <row r="80" spans="1:17" ht="15" customHeight="1">
      <c r="A80" s="126">
        <v>19</v>
      </c>
      <c r="B80" s="63">
        <v>73</v>
      </c>
      <c r="C80" s="102">
        <f t="shared" si="1"/>
        <v>0</v>
      </c>
      <c r="D80" s="63">
        <f t="array" aca="1" ref="D80" ca="1">INDIRECT(ADDRESS(B80+ROW($D$7),MATCH($D$7,$F$7:$Q$7,0)+5))</f>
        <v>2</v>
      </c>
      <c r="E80" s="66">
        <f>报价及预中标!L74</f>
        <v>0</v>
      </c>
      <c r="F80" s="62">
        <v>2</v>
      </c>
      <c r="G80" s="62">
        <v>2</v>
      </c>
      <c r="H80" s="63">
        <v>2</v>
      </c>
      <c r="I80" s="63">
        <v>2</v>
      </c>
      <c r="J80" s="63">
        <v>2</v>
      </c>
      <c r="K80" s="63">
        <v>2</v>
      </c>
      <c r="L80" s="63">
        <v>2</v>
      </c>
      <c r="M80" s="63">
        <v>2</v>
      </c>
      <c r="N80" s="63">
        <v>2</v>
      </c>
      <c r="O80" s="63">
        <v>2</v>
      </c>
      <c r="P80" s="63">
        <v>2</v>
      </c>
      <c r="Q80" s="62">
        <v>2</v>
      </c>
    </row>
    <row r="81" spans="1:17" ht="15" customHeight="1">
      <c r="A81" s="126"/>
      <c r="B81" s="63">
        <v>74</v>
      </c>
      <c r="C81" s="102">
        <f t="shared" si="1"/>
        <v>0</v>
      </c>
      <c r="D81" s="63">
        <f t="array" aca="1" ref="D81" ca="1">INDIRECT(ADDRESS(B81+ROW($D$7),MATCH($D$7,$F$7:$Q$7,0)+5))</f>
        <v>2</v>
      </c>
      <c r="E81" s="66">
        <f>报价及预中标!L75</f>
        <v>0</v>
      </c>
      <c r="F81" s="62">
        <v>2</v>
      </c>
      <c r="G81" s="62">
        <v>2</v>
      </c>
      <c r="H81" s="63">
        <v>2</v>
      </c>
      <c r="I81" s="63">
        <v>2</v>
      </c>
      <c r="J81" s="63">
        <v>2</v>
      </c>
      <c r="K81" s="63">
        <v>2</v>
      </c>
      <c r="L81" s="63">
        <v>2</v>
      </c>
      <c r="M81" s="63">
        <v>2</v>
      </c>
      <c r="N81" s="63">
        <v>2</v>
      </c>
      <c r="O81" s="63">
        <v>2</v>
      </c>
      <c r="P81" s="63">
        <v>2</v>
      </c>
      <c r="Q81" s="62">
        <v>2</v>
      </c>
    </row>
    <row r="82" spans="1:17" ht="15" customHeight="1">
      <c r="A82" s="126"/>
      <c r="B82" s="63">
        <v>75</v>
      </c>
      <c r="C82" s="102">
        <f t="shared" si="1"/>
        <v>0</v>
      </c>
      <c r="D82" s="63">
        <f t="array" aca="1" ref="D82" ca="1">INDIRECT(ADDRESS(B82+ROW($D$7),MATCH($D$7,$F$7:$Q$7,0)+5))</f>
        <v>2</v>
      </c>
      <c r="E82" s="66">
        <f>报价及预中标!L76</f>
        <v>0</v>
      </c>
      <c r="F82" s="62">
        <v>2</v>
      </c>
      <c r="G82" s="62">
        <v>2</v>
      </c>
      <c r="H82" s="63">
        <v>2</v>
      </c>
      <c r="I82" s="63">
        <v>2</v>
      </c>
      <c r="J82" s="63">
        <v>2</v>
      </c>
      <c r="K82" s="63">
        <v>2</v>
      </c>
      <c r="L82" s="63">
        <v>2</v>
      </c>
      <c r="M82" s="63">
        <v>2</v>
      </c>
      <c r="N82" s="63">
        <v>2</v>
      </c>
      <c r="O82" s="63">
        <v>2</v>
      </c>
      <c r="P82" s="63">
        <v>2</v>
      </c>
      <c r="Q82" s="62">
        <v>2</v>
      </c>
    </row>
    <row r="83" spans="1:17" ht="15" customHeight="1">
      <c r="A83" s="126"/>
      <c r="B83" s="63">
        <v>76</v>
      </c>
      <c r="C83" s="102">
        <f t="shared" si="1"/>
        <v>0</v>
      </c>
      <c r="D83" s="63">
        <f t="array" aca="1" ref="D83" ca="1">INDIRECT(ADDRESS(B83+ROW($D$7),MATCH($D$7,$F$7:$Q$7,0)+5))</f>
        <v>2</v>
      </c>
      <c r="E83" s="66">
        <f>报价及预中标!L77</f>
        <v>0</v>
      </c>
      <c r="F83" s="62">
        <v>2</v>
      </c>
      <c r="G83" s="62">
        <v>2</v>
      </c>
      <c r="H83" s="63">
        <v>2</v>
      </c>
      <c r="I83" s="63">
        <v>2</v>
      </c>
      <c r="J83" s="63">
        <v>2</v>
      </c>
      <c r="K83" s="63">
        <v>2</v>
      </c>
      <c r="L83" s="63">
        <v>2</v>
      </c>
      <c r="M83" s="63">
        <v>2</v>
      </c>
      <c r="N83" s="63">
        <v>2</v>
      </c>
      <c r="O83" s="63">
        <v>2</v>
      </c>
      <c r="P83" s="63">
        <v>2</v>
      </c>
      <c r="Q83" s="62">
        <v>2</v>
      </c>
    </row>
    <row r="84" spans="1:17" ht="15" customHeight="1">
      <c r="A84" s="126">
        <v>20</v>
      </c>
      <c r="B84" s="63">
        <v>77</v>
      </c>
      <c r="C84" s="102">
        <f t="shared" si="1"/>
        <v>0</v>
      </c>
      <c r="D84" s="63">
        <f t="array" aca="1" ref="D84" ca="1">INDIRECT(ADDRESS(B84+ROW($D$7),MATCH($D$7,$F$7:$Q$7,0)+5))</f>
        <v>2</v>
      </c>
      <c r="E84" s="66">
        <f>报价及预中标!L78</f>
        <v>0</v>
      </c>
      <c r="F84" s="62">
        <v>1.7</v>
      </c>
      <c r="G84" s="62">
        <v>1.7</v>
      </c>
      <c r="H84" s="63">
        <v>2</v>
      </c>
      <c r="I84" s="63">
        <v>2</v>
      </c>
      <c r="J84" s="63">
        <v>2</v>
      </c>
      <c r="K84" s="63">
        <v>2</v>
      </c>
      <c r="L84" s="63">
        <v>2</v>
      </c>
      <c r="M84" s="63">
        <v>2</v>
      </c>
      <c r="N84" s="63">
        <v>1.7</v>
      </c>
      <c r="O84" s="63">
        <v>1.7</v>
      </c>
      <c r="P84" s="63">
        <v>1.7</v>
      </c>
      <c r="Q84" s="62">
        <v>1.7</v>
      </c>
    </row>
    <row r="85" spans="1:17" ht="15" customHeight="1">
      <c r="A85" s="126"/>
      <c r="B85" s="63">
        <v>78</v>
      </c>
      <c r="C85" s="102">
        <f t="shared" si="1"/>
        <v>0</v>
      </c>
      <c r="D85" s="63">
        <f t="array" aca="1" ref="D85" ca="1">INDIRECT(ADDRESS(B85+ROW($D$7),MATCH($D$7,$F$7:$Q$7,0)+5))</f>
        <v>2</v>
      </c>
      <c r="E85" s="66">
        <f>报价及预中标!L79</f>
        <v>0</v>
      </c>
      <c r="F85" s="62">
        <v>1.7</v>
      </c>
      <c r="G85" s="62">
        <v>1.7</v>
      </c>
      <c r="H85" s="63">
        <v>2</v>
      </c>
      <c r="I85" s="63">
        <v>2</v>
      </c>
      <c r="J85" s="63">
        <v>2</v>
      </c>
      <c r="K85" s="63">
        <v>2</v>
      </c>
      <c r="L85" s="63">
        <v>2</v>
      </c>
      <c r="M85" s="63">
        <v>2</v>
      </c>
      <c r="N85" s="63">
        <v>1.7</v>
      </c>
      <c r="O85" s="63">
        <v>1.7</v>
      </c>
      <c r="P85" s="63">
        <v>1.7</v>
      </c>
      <c r="Q85" s="62">
        <v>1.7</v>
      </c>
    </row>
    <row r="86" spans="1:17" ht="15" customHeight="1">
      <c r="A86" s="126"/>
      <c r="B86" s="63">
        <v>79</v>
      </c>
      <c r="C86" s="102">
        <f t="shared" si="1"/>
        <v>0</v>
      </c>
      <c r="D86" s="63">
        <f t="array" aca="1" ref="D86" ca="1">INDIRECT(ADDRESS(B86+ROW($D$7),MATCH($D$7,$F$7:$Q$7,0)+5))</f>
        <v>2</v>
      </c>
      <c r="E86" s="66">
        <f>报价及预中标!L80</f>
        <v>0</v>
      </c>
      <c r="F86" s="62">
        <v>1.7</v>
      </c>
      <c r="G86" s="62">
        <v>1.7</v>
      </c>
      <c r="H86" s="63">
        <v>2</v>
      </c>
      <c r="I86" s="63">
        <v>2</v>
      </c>
      <c r="J86" s="63">
        <v>2</v>
      </c>
      <c r="K86" s="63">
        <v>2</v>
      </c>
      <c r="L86" s="63">
        <v>2</v>
      </c>
      <c r="M86" s="63">
        <v>2</v>
      </c>
      <c r="N86" s="63">
        <v>1.7</v>
      </c>
      <c r="O86" s="63">
        <v>1.7</v>
      </c>
      <c r="P86" s="63">
        <v>1.7</v>
      </c>
      <c r="Q86" s="62">
        <v>1.7</v>
      </c>
    </row>
    <row r="87" spans="1:17" ht="15" customHeight="1">
      <c r="A87" s="126"/>
      <c r="B87" s="63">
        <v>80</v>
      </c>
      <c r="C87" s="102">
        <f t="shared" si="1"/>
        <v>0</v>
      </c>
      <c r="D87" s="63">
        <f t="array" aca="1" ref="D87" ca="1">INDIRECT(ADDRESS(B87+ROW($D$7),MATCH($D$7,$F$7:$Q$7,0)+5))</f>
        <v>2</v>
      </c>
      <c r="E87" s="66">
        <f>报价及预中标!L81</f>
        <v>0</v>
      </c>
      <c r="F87" s="62">
        <v>1.7</v>
      </c>
      <c r="G87" s="62">
        <v>1.7</v>
      </c>
      <c r="H87" s="63">
        <v>2</v>
      </c>
      <c r="I87" s="63">
        <v>2</v>
      </c>
      <c r="J87" s="63">
        <v>2</v>
      </c>
      <c r="K87" s="63">
        <v>2</v>
      </c>
      <c r="L87" s="63">
        <v>2</v>
      </c>
      <c r="M87" s="63">
        <v>2</v>
      </c>
      <c r="N87" s="63">
        <v>1.7</v>
      </c>
      <c r="O87" s="63">
        <v>1.7</v>
      </c>
      <c r="P87" s="63">
        <v>1.7</v>
      </c>
      <c r="Q87" s="62">
        <v>1.7</v>
      </c>
    </row>
    <row r="88" spans="1:17" ht="15" customHeight="1">
      <c r="A88" s="126">
        <v>21</v>
      </c>
      <c r="B88" s="63">
        <v>81</v>
      </c>
      <c r="C88" s="102">
        <f t="shared" si="1"/>
        <v>0</v>
      </c>
      <c r="D88" s="63">
        <f t="array" aca="1" ref="D88" ca="1">INDIRECT(ADDRESS(B88+ROW($D$7),MATCH($D$7,$F$7:$Q$7,0)+5))</f>
        <v>1.7</v>
      </c>
      <c r="E88" s="66">
        <f>报价及预中标!L82</f>
        <v>0</v>
      </c>
      <c r="F88" s="62">
        <v>1.7</v>
      </c>
      <c r="G88" s="62">
        <v>1.7</v>
      </c>
      <c r="H88" s="63">
        <v>1.7</v>
      </c>
      <c r="I88" s="63">
        <v>1.7</v>
      </c>
      <c r="J88" s="63">
        <v>1.7</v>
      </c>
      <c r="K88" s="63">
        <v>2</v>
      </c>
      <c r="L88" s="63">
        <v>2</v>
      </c>
      <c r="M88" s="63">
        <v>2</v>
      </c>
      <c r="N88" s="63">
        <v>1.7</v>
      </c>
      <c r="O88" s="63">
        <v>1.7</v>
      </c>
      <c r="P88" s="63">
        <v>1.7</v>
      </c>
      <c r="Q88" s="62">
        <v>1.7</v>
      </c>
    </row>
    <row r="89" spans="1:17" ht="15" customHeight="1">
      <c r="A89" s="126"/>
      <c r="B89" s="63">
        <v>82</v>
      </c>
      <c r="C89" s="102">
        <f t="shared" si="1"/>
        <v>0</v>
      </c>
      <c r="D89" s="63">
        <f t="array" aca="1" ref="D89" ca="1">INDIRECT(ADDRESS(B89+ROW($D$7),MATCH($D$7,$F$7:$Q$7,0)+5))</f>
        <v>1.7</v>
      </c>
      <c r="E89" s="66">
        <f>报价及预中标!L83</f>
        <v>0</v>
      </c>
      <c r="F89" s="62">
        <v>1.7</v>
      </c>
      <c r="G89" s="62">
        <v>1.7</v>
      </c>
      <c r="H89" s="63">
        <v>1.7</v>
      </c>
      <c r="I89" s="63">
        <v>1.7</v>
      </c>
      <c r="J89" s="63">
        <v>1.7</v>
      </c>
      <c r="K89" s="63">
        <v>2</v>
      </c>
      <c r="L89" s="63">
        <v>2</v>
      </c>
      <c r="M89" s="63">
        <v>2</v>
      </c>
      <c r="N89" s="63">
        <v>1.7</v>
      </c>
      <c r="O89" s="63">
        <v>1.7</v>
      </c>
      <c r="P89" s="63">
        <v>1.7</v>
      </c>
      <c r="Q89" s="62">
        <v>1.7</v>
      </c>
    </row>
    <row r="90" spans="1:17" ht="15" customHeight="1">
      <c r="A90" s="126"/>
      <c r="B90" s="63">
        <v>83</v>
      </c>
      <c r="C90" s="102">
        <f t="shared" si="1"/>
        <v>0</v>
      </c>
      <c r="D90" s="63">
        <f t="array" aca="1" ref="D90" ca="1">INDIRECT(ADDRESS(B90+ROW($D$7),MATCH($D$7,$F$7:$Q$7,0)+5))</f>
        <v>1.7</v>
      </c>
      <c r="E90" s="66">
        <f>报价及预中标!L84</f>
        <v>0</v>
      </c>
      <c r="F90" s="62">
        <v>1.7</v>
      </c>
      <c r="G90" s="62">
        <v>1.7</v>
      </c>
      <c r="H90" s="63">
        <v>1.7</v>
      </c>
      <c r="I90" s="63">
        <v>1.7</v>
      </c>
      <c r="J90" s="63">
        <v>1.7</v>
      </c>
      <c r="K90" s="63">
        <v>2</v>
      </c>
      <c r="L90" s="63">
        <v>2</v>
      </c>
      <c r="M90" s="63">
        <v>2</v>
      </c>
      <c r="N90" s="63">
        <v>1.7</v>
      </c>
      <c r="O90" s="63">
        <v>1.7</v>
      </c>
      <c r="P90" s="63">
        <v>1.7</v>
      </c>
      <c r="Q90" s="62">
        <v>1.7</v>
      </c>
    </row>
    <row r="91" spans="1:17" ht="15" customHeight="1">
      <c r="A91" s="126"/>
      <c r="B91" s="63">
        <v>84</v>
      </c>
      <c r="C91" s="102">
        <f t="shared" si="1"/>
        <v>0</v>
      </c>
      <c r="D91" s="63">
        <f t="array" aca="1" ref="D91" ca="1">INDIRECT(ADDRESS(B91+ROW($D$7),MATCH($D$7,$F$7:$Q$7,0)+5))</f>
        <v>1.7</v>
      </c>
      <c r="E91" s="66">
        <f>报价及预中标!L85</f>
        <v>0</v>
      </c>
      <c r="F91" s="62">
        <v>1.7</v>
      </c>
      <c r="G91" s="62">
        <v>1.7</v>
      </c>
      <c r="H91" s="63">
        <v>1.7</v>
      </c>
      <c r="I91" s="63">
        <v>1.7</v>
      </c>
      <c r="J91" s="63">
        <v>1.7</v>
      </c>
      <c r="K91" s="63">
        <v>2</v>
      </c>
      <c r="L91" s="63">
        <v>2</v>
      </c>
      <c r="M91" s="63">
        <v>2</v>
      </c>
      <c r="N91" s="63">
        <v>1.7</v>
      </c>
      <c r="O91" s="63">
        <v>1.7</v>
      </c>
      <c r="P91" s="63">
        <v>1.7</v>
      </c>
      <c r="Q91" s="62">
        <v>1.7</v>
      </c>
    </row>
    <row r="92" spans="1:17" ht="15" customHeight="1">
      <c r="A92" s="126">
        <v>22</v>
      </c>
      <c r="B92" s="63">
        <v>85</v>
      </c>
      <c r="C92" s="102">
        <f t="shared" si="1"/>
        <v>0</v>
      </c>
      <c r="D92" s="63">
        <f t="array" aca="1" ref="D92" ca="1">INDIRECT(ADDRESS(B92+ROW($D$7),MATCH($D$7,$F$7:$Q$7,0)+5))</f>
        <v>1.7</v>
      </c>
      <c r="E92" s="66">
        <f>报价及预中标!L86</f>
        <v>0</v>
      </c>
      <c r="F92" s="62">
        <v>1</v>
      </c>
      <c r="G92" s="62">
        <v>1</v>
      </c>
      <c r="H92" s="63">
        <v>1.7</v>
      </c>
      <c r="I92" s="63">
        <v>1.7</v>
      </c>
      <c r="J92" s="63">
        <v>1.7</v>
      </c>
      <c r="K92" s="63">
        <v>2</v>
      </c>
      <c r="L92" s="63">
        <v>2</v>
      </c>
      <c r="M92" s="63">
        <v>2</v>
      </c>
      <c r="N92" s="63">
        <v>1</v>
      </c>
      <c r="O92" s="63">
        <v>1</v>
      </c>
      <c r="P92" s="63">
        <v>1</v>
      </c>
      <c r="Q92" s="62">
        <v>1</v>
      </c>
    </row>
    <row r="93" spans="1:17" ht="15" customHeight="1">
      <c r="A93" s="126"/>
      <c r="B93" s="63">
        <v>86</v>
      </c>
      <c r="C93" s="102">
        <f t="shared" si="1"/>
        <v>0</v>
      </c>
      <c r="D93" s="63">
        <f t="array" aca="1" ref="D93" ca="1">INDIRECT(ADDRESS(B93+ROW($D$7),MATCH($D$7,$F$7:$Q$7,0)+5))</f>
        <v>1.7</v>
      </c>
      <c r="E93" s="66">
        <f>报价及预中标!L87</f>
        <v>0</v>
      </c>
      <c r="F93" s="62">
        <v>1</v>
      </c>
      <c r="G93" s="62">
        <v>1</v>
      </c>
      <c r="H93" s="63">
        <v>1.7</v>
      </c>
      <c r="I93" s="63">
        <v>1.7</v>
      </c>
      <c r="J93" s="63">
        <v>1.7</v>
      </c>
      <c r="K93" s="63">
        <v>2</v>
      </c>
      <c r="L93" s="63">
        <v>2</v>
      </c>
      <c r="M93" s="63">
        <v>2</v>
      </c>
      <c r="N93" s="63">
        <v>1</v>
      </c>
      <c r="O93" s="63">
        <v>1</v>
      </c>
      <c r="P93" s="63">
        <v>1</v>
      </c>
      <c r="Q93" s="62">
        <v>1</v>
      </c>
    </row>
    <row r="94" spans="1:17" ht="15" customHeight="1">
      <c r="A94" s="126"/>
      <c r="B94" s="63">
        <v>87</v>
      </c>
      <c r="C94" s="102">
        <f t="shared" si="1"/>
        <v>0</v>
      </c>
      <c r="D94" s="63">
        <f t="array" aca="1" ref="D94" ca="1">INDIRECT(ADDRESS(B94+ROW($D$7),MATCH($D$7,$F$7:$Q$7,0)+5))</f>
        <v>1.7</v>
      </c>
      <c r="E94" s="66">
        <f>报价及预中标!L88</f>
        <v>0</v>
      </c>
      <c r="F94" s="62">
        <v>1</v>
      </c>
      <c r="G94" s="62">
        <v>1</v>
      </c>
      <c r="H94" s="63">
        <v>1.7</v>
      </c>
      <c r="I94" s="63">
        <v>1.7</v>
      </c>
      <c r="J94" s="63">
        <v>1.7</v>
      </c>
      <c r="K94" s="63">
        <v>2</v>
      </c>
      <c r="L94" s="63">
        <v>2</v>
      </c>
      <c r="M94" s="63">
        <v>2</v>
      </c>
      <c r="N94" s="63">
        <v>1</v>
      </c>
      <c r="O94" s="63">
        <v>1</v>
      </c>
      <c r="P94" s="63">
        <v>1</v>
      </c>
      <c r="Q94" s="62">
        <v>1</v>
      </c>
    </row>
    <row r="95" spans="1:17" ht="15" customHeight="1">
      <c r="A95" s="126"/>
      <c r="B95" s="63">
        <v>88</v>
      </c>
      <c r="C95" s="102">
        <f t="shared" si="1"/>
        <v>0</v>
      </c>
      <c r="D95" s="63">
        <f t="array" aca="1" ref="D95" ca="1">INDIRECT(ADDRESS(B95+ROW($D$7),MATCH($D$7,$F$7:$Q$7,0)+5))</f>
        <v>1.7</v>
      </c>
      <c r="E95" s="66">
        <f>报价及预中标!L89</f>
        <v>0</v>
      </c>
      <c r="F95" s="62">
        <v>1</v>
      </c>
      <c r="G95" s="62">
        <v>1</v>
      </c>
      <c r="H95" s="63">
        <v>1.7</v>
      </c>
      <c r="I95" s="63">
        <v>1.7</v>
      </c>
      <c r="J95" s="63">
        <v>1.7</v>
      </c>
      <c r="K95" s="63">
        <v>2</v>
      </c>
      <c r="L95" s="63">
        <v>2</v>
      </c>
      <c r="M95" s="63">
        <v>2</v>
      </c>
      <c r="N95" s="63">
        <v>1</v>
      </c>
      <c r="O95" s="63">
        <v>1</v>
      </c>
      <c r="P95" s="63">
        <v>1</v>
      </c>
      <c r="Q95" s="62">
        <v>1</v>
      </c>
    </row>
    <row r="96" spans="1:17" ht="15" customHeight="1">
      <c r="A96" s="126">
        <v>23</v>
      </c>
      <c r="B96" s="63">
        <v>89</v>
      </c>
      <c r="C96" s="102">
        <f t="shared" si="1"/>
        <v>0</v>
      </c>
      <c r="D96" s="63">
        <f t="array" aca="1" ref="D96" ca="1">INDIRECT(ADDRESS(B96+ROW($D$7),MATCH($D$7,$F$7:$Q$7,0)+5))</f>
        <v>1</v>
      </c>
      <c r="E96" s="66">
        <f>报价及预中标!L90</f>
        <v>0</v>
      </c>
      <c r="F96" s="62">
        <v>1</v>
      </c>
      <c r="G96" s="62">
        <v>1</v>
      </c>
      <c r="H96" s="63">
        <v>1</v>
      </c>
      <c r="I96" s="63">
        <v>1</v>
      </c>
      <c r="J96" s="63">
        <v>1</v>
      </c>
      <c r="K96" s="63">
        <v>1.7</v>
      </c>
      <c r="L96" s="63">
        <v>1.7</v>
      </c>
      <c r="M96" s="63">
        <v>1.7</v>
      </c>
      <c r="N96" s="63">
        <v>1</v>
      </c>
      <c r="O96" s="63">
        <v>1</v>
      </c>
      <c r="P96" s="63">
        <v>1</v>
      </c>
      <c r="Q96" s="62">
        <v>1</v>
      </c>
    </row>
    <row r="97" spans="1:17" ht="15" customHeight="1">
      <c r="A97" s="126"/>
      <c r="B97" s="63">
        <v>90</v>
      </c>
      <c r="C97" s="102">
        <f t="shared" si="1"/>
        <v>0</v>
      </c>
      <c r="D97" s="63">
        <f t="array" aca="1" ref="D97" ca="1">INDIRECT(ADDRESS(B97+ROW($D$7),MATCH($D$7,$F$7:$Q$7,0)+5))</f>
        <v>1</v>
      </c>
      <c r="E97" s="66">
        <f>报价及预中标!L91</f>
        <v>0</v>
      </c>
      <c r="F97" s="62">
        <v>1</v>
      </c>
      <c r="G97" s="62">
        <v>1</v>
      </c>
      <c r="H97" s="63">
        <v>1</v>
      </c>
      <c r="I97" s="63">
        <v>1</v>
      </c>
      <c r="J97" s="63">
        <v>1</v>
      </c>
      <c r="K97" s="63">
        <v>1.7</v>
      </c>
      <c r="L97" s="63">
        <v>1.7</v>
      </c>
      <c r="M97" s="63">
        <v>1.7</v>
      </c>
      <c r="N97" s="63">
        <v>1</v>
      </c>
      <c r="O97" s="63">
        <v>1</v>
      </c>
      <c r="P97" s="63">
        <v>1</v>
      </c>
      <c r="Q97" s="62">
        <v>1</v>
      </c>
    </row>
    <row r="98" spans="1:17" ht="15" customHeight="1">
      <c r="A98" s="126"/>
      <c r="B98" s="63">
        <v>91</v>
      </c>
      <c r="C98" s="102">
        <f t="shared" si="1"/>
        <v>0</v>
      </c>
      <c r="D98" s="63">
        <f t="array" aca="1" ref="D98" ca="1">INDIRECT(ADDRESS(B98+ROW($D$7),MATCH($D$7,$F$7:$Q$7,0)+5))</f>
        <v>1</v>
      </c>
      <c r="E98" s="66">
        <f>报价及预中标!L92</f>
        <v>0</v>
      </c>
      <c r="F98" s="62">
        <v>1</v>
      </c>
      <c r="G98" s="62">
        <v>1</v>
      </c>
      <c r="H98" s="63">
        <v>1</v>
      </c>
      <c r="I98" s="63">
        <v>1</v>
      </c>
      <c r="J98" s="63">
        <v>1</v>
      </c>
      <c r="K98" s="63">
        <v>1.7</v>
      </c>
      <c r="L98" s="63">
        <v>1.7</v>
      </c>
      <c r="M98" s="63">
        <v>1.7</v>
      </c>
      <c r="N98" s="63">
        <v>1</v>
      </c>
      <c r="O98" s="63">
        <v>1</v>
      </c>
      <c r="P98" s="63">
        <v>1</v>
      </c>
      <c r="Q98" s="62">
        <v>1</v>
      </c>
    </row>
    <row r="99" spans="1:17" ht="15" customHeight="1">
      <c r="A99" s="126"/>
      <c r="B99" s="63">
        <v>92</v>
      </c>
      <c r="C99" s="102">
        <f t="shared" si="1"/>
        <v>0</v>
      </c>
      <c r="D99" s="63">
        <f t="array" aca="1" ref="D99" ca="1">INDIRECT(ADDRESS(B99+ROW($D$7),MATCH($D$7,$F$7:$Q$7,0)+5))</f>
        <v>1</v>
      </c>
      <c r="E99" s="66">
        <f>报价及预中标!L93</f>
        <v>0</v>
      </c>
      <c r="F99" s="62">
        <v>1</v>
      </c>
      <c r="G99" s="62">
        <v>1</v>
      </c>
      <c r="H99" s="63">
        <v>1</v>
      </c>
      <c r="I99" s="63">
        <v>1</v>
      </c>
      <c r="J99" s="63">
        <v>1</v>
      </c>
      <c r="K99" s="63">
        <v>1.7</v>
      </c>
      <c r="L99" s="63">
        <v>1.7</v>
      </c>
      <c r="M99" s="63">
        <v>1.7</v>
      </c>
      <c r="N99" s="63">
        <v>1</v>
      </c>
      <c r="O99" s="63">
        <v>1</v>
      </c>
      <c r="P99" s="63">
        <v>1</v>
      </c>
      <c r="Q99" s="62">
        <v>1</v>
      </c>
    </row>
    <row r="100" spans="1:17" ht="15" customHeight="1">
      <c r="A100" s="126">
        <v>24</v>
      </c>
      <c r="B100" s="63">
        <v>93</v>
      </c>
      <c r="C100" s="102">
        <f t="shared" si="1"/>
        <v>0</v>
      </c>
      <c r="D100" s="63">
        <f t="array" aca="1" ref="D100" ca="1">INDIRECT(ADDRESS(B100+ROW($D$7),MATCH($D$7,$F$7:$Q$7,0)+5))</f>
        <v>1</v>
      </c>
      <c r="E100" s="66">
        <f>报价及预中标!L94</f>
        <v>0</v>
      </c>
      <c r="F100" s="62">
        <v>1</v>
      </c>
      <c r="G100" s="62">
        <v>1</v>
      </c>
      <c r="H100" s="63">
        <v>1</v>
      </c>
      <c r="I100" s="63">
        <v>1</v>
      </c>
      <c r="J100" s="63">
        <v>1</v>
      </c>
      <c r="K100" s="63">
        <v>1</v>
      </c>
      <c r="L100" s="63">
        <v>1</v>
      </c>
      <c r="M100" s="63">
        <v>1</v>
      </c>
      <c r="N100" s="63">
        <v>1</v>
      </c>
      <c r="O100" s="63">
        <v>1</v>
      </c>
      <c r="P100" s="63">
        <v>1</v>
      </c>
      <c r="Q100" s="62">
        <v>1</v>
      </c>
    </row>
    <row r="101" spans="1:17" ht="15" customHeight="1">
      <c r="A101" s="126"/>
      <c r="B101" s="63">
        <v>94</v>
      </c>
      <c r="C101" s="102">
        <f t="shared" si="1"/>
        <v>0</v>
      </c>
      <c r="D101" s="63">
        <f t="array" aca="1" ref="D101" ca="1">INDIRECT(ADDRESS(B101+ROW($D$7),MATCH($D$7,$F$7:$Q$7,0)+5))</f>
        <v>1</v>
      </c>
      <c r="E101" s="66">
        <f>报价及预中标!L95</f>
        <v>0</v>
      </c>
      <c r="F101" s="62">
        <v>1</v>
      </c>
      <c r="G101" s="62">
        <v>1</v>
      </c>
      <c r="H101" s="63">
        <v>1</v>
      </c>
      <c r="I101" s="63">
        <v>1</v>
      </c>
      <c r="J101" s="63">
        <v>1</v>
      </c>
      <c r="K101" s="63">
        <v>1</v>
      </c>
      <c r="L101" s="63">
        <v>1</v>
      </c>
      <c r="M101" s="63">
        <v>1</v>
      </c>
      <c r="N101" s="63">
        <v>1</v>
      </c>
      <c r="O101" s="63">
        <v>1</v>
      </c>
      <c r="P101" s="63">
        <v>1</v>
      </c>
      <c r="Q101" s="62">
        <v>1</v>
      </c>
    </row>
    <row r="102" spans="1:17" ht="15" customHeight="1">
      <c r="A102" s="126"/>
      <c r="B102" s="63">
        <v>95</v>
      </c>
      <c r="C102" s="102">
        <f t="shared" si="1"/>
        <v>0</v>
      </c>
      <c r="D102" s="63">
        <f t="array" aca="1" ref="D102" ca="1">INDIRECT(ADDRESS(B102+ROW($D$7),MATCH($D$7,$F$7:$Q$7,0)+5))</f>
        <v>1</v>
      </c>
      <c r="E102" s="66">
        <f>报价及预中标!L96</f>
        <v>0</v>
      </c>
      <c r="F102" s="62">
        <v>1</v>
      </c>
      <c r="G102" s="62">
        <v>1</v>
      </c>
      <c r="H102" s="63">
        <v>1</v>
      </c>
      <c r="I102" s="63">
        <v>1</v>
      </c>
      <c r="J102" s="63">
        <v>1</v>
      </c>
      <c r="K102" s="63">
        <v>1</v>
      </c>
      <c r="L102" s="63">
        <v>1</v>
      </c>
      <c r="M102" s="63">
        <v>1</v>
      </c>
      <c r="N102" s="63">
        <v>1</v>
      </c>
      <c r="O102" s="63">
        <v>1</v>
      </c>
      <c r="P102" s="63">
        <v>1</v>
      </c>
      <c r="Q102" s="62">
        <v>1</v>
      </c>
    </row>
    <row r="103" spans="1:17" ht="15" customHeight="1" thickBot="1">
      <c r="A103" s="126"/>
      <c r="B103" s="63">
        <v>96</v>
      </c>
      <c r="C103" s="102">
        <f t="shared" si="1"/>
        <v>0</v>
      </c>
      <c r="D103" s="63">
        <f t="array" aca="1" ref="D103" ca="1">INDIRECT(ADDRESS(B103+ROW($D$7),MATCH($D$7,$F$7:$Q$7,0)+5))</f>
        <v>1</v>
      </c>
      <c r="E103" s="66">
        <f>报价及预中标!L97</f>
        <v>0</v>
      </c>
      <c r="F103" s="67">
        <v>1</v>
      </c>
      <c r="G103" s="67">
        <v>1</v>
      </c>
      <c r="H103" s="68">
        <v>1</v>
      </c>
      <c r="I103" s="68">
        <v>1</v>
      </c>
      <c r="J103" s="68">
        <v>1</v>
      </c>
      <c r="K103" s="68">
        <v>1</v>
      </c>
      <c r="L103" s="68">
        <v>1</v>
      </c>
      <c r="M103" s="68">
        <v>1</v>
      </c>
      <c r="N103" s="68">
        <v>1</v>
      </c>
      <c r="O103" s="68">
        <v>1</v>
      </c>
      <c r="P103" s="68">
        <v>1</v>
      </c>
      <c r="Q103" s="67">
        <v>1</v>
      </c>
    </row>
  </sheetData>
  <mergeCells count="29">
    <mergeCell ref="A84:A87"/>
    <mergeCell ref="A88:A91"/>
    <mergeCell ref="A92:A95"/>
    <mergeCell ref="A96:A99"/>
    <mergeCell ref="A100:A103"/>
    <mergeCell ref="A80:A83"/>
    <mergeCell ref="A36:A39"/>
    <mergeCell ref="A40:A43"/>
    <mergeCell ref="A44:A47"/>
    <mergeCell ref="A48:A51"/>
    <mergeCell ref="A52:A55"/>
    <mergeCell ref="A56:A59"/>
    <mergeCell ref="A60:A63"/>
    <mergeCell ref="A64:A67"/>
    <mergeCell ref="A68:A71"/>
    <mergeCell ref="A72:A75"/>
    <mergeCell ref="A76:A79"/>
    <mergeCell ref="F6:Q6"/>
    <mergeCell ref="A8:A11"/>
    <mergeCell ref="A32:A35"/>
    <mergeCell ref="A6:A7"/>
    <mergeCell ref="B6:B7"/>
    <mergeCell ref="C6:C7"/>
    <mergeCell ref="E6:E7"/>
    <mergeCell ref="A12:A15"/>
    <mergeCell ref="A16:A19"/>
    <mergeCell ref="A20:A23"/>
    <mergeCell ref="A24:A27"/>
    <mergeCell ref="A28:A31"/>
  </mergeCells>
  <phoneticPr fontId="9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充放测算</vt:lpstr>
      <vt:lpstr>充电日清算费用</vt:lpstr>
      <vt:lpstr>放电日清算费用</vt:lpstr>
      <vt:lpstr>报价及预中标</vt:lpstr>
      <vt:lpstr>容量分摊系数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GOLDWIND</dc:creator>
  <cp:lastModifiedBy>Administrator</cp:lastModifiedBy>
  <dcterms:created xsi:type="dcterms:W3CDTF">2015-06-05T18:19:00Z</dcterms:created>
  <dcterms:modified xsi:type="dcterms:W3CDTF">2026-05-09T09:14:22Z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7D8EE7EB7BC843319DB27B8FA355A50B_13</vt:lpwstr>
  </property>
  <property fmtid="{D5CDD505-2E9C-101B-9397-08002B2CF9AE}" pid="3" name="KSOProductBuildVer">
    <vt:lpwstr>2052-12.1.0.22525</vt:lpwstr>
  </property>
</Properties>
</file>