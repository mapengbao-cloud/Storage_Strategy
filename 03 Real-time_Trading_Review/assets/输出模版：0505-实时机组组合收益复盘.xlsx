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3 Real-time_Trading_Review\assets\"/>
    </mc:Choice>
  </mc:AlternateContent>
  <xr:revisionPtr revIDLastSave="0" documentId="13_ncr:1_{C4BF41DE-0971-44FA-951A-713192970326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101" i="3" l="1"/>
  <c r="C101" i="3"/>
  <c r="E100" i="3"/>
  <c r="C100" i="3"/>
  <c r="E99" i="3"/>
  <c r="C99" i="3"/>
  <c r="E98" i="3"/>
  <c r="C98" i="3" s="1"/>
  <c r="E92" i="3"/>
  <c r="C92" i="3"/>
  <c r="E91" i="3"/>
  <c r="C91" i="3" s="1"/>
  <c r="E90" i="3"/>
  <c r="C90" i="3"/>
  <c r="E85" i="3"/>
  <c r="C85" i="3"/>
  <c r="E84" i="3"/>
  <c r="C84" i="3" s="1"/>
  <c r="E83" i="3"/>
  <c r="C83" i="3"/>
  <c r="E77" i="3"/>
  <c r="C77" i="3" s="1"/>
  <c r="E76" i="3"/>
  <c r="C76" i="3"/>
  <c r="E71" i="3"/>
  <c r="C71" i="3"/>
  <c r="E70" i="3"/>
  <c r="C70" i="3" s="1"/>
  <c r="E64" i="3"/>
  <c r="C64" i="3"/>
  <c r="E63" i="3"/>
  <c r="C63" i="3" s="1"/>
  <c r="E57" i="3"/>
  <c r="C57" i="3"/>
  <c r="E56" i="3"/>
  <c r="C56" i="3" s="1"/>
  <c r="E55" i="3"/>
  <c r="C55" i="3"/>
  <c r="E49" i="3"/>
  <c r="C49" i="3" s="1"/>
  <c r="E48" i="3"/>
  <c r="C48" i="3"/>
  <c r="E43" i="3"/>
  <c r="C43" i="3"/>
  <c r="E42" i="3"/>
  <c r="C42" i="3" s="1"/>
  <c r="E36" i="3"/>
  <c r="C36" i="3"/>
  <c r="E35" i="3"/>
  <c r="C35" i="3" s="1"/>
  <c r="E34" i="3"/>
  <c r="C34" i="3"/>
  <c r="E29" i="3"/>
  <c r="C29" i="3"/>
  <c r="E28" i="3"/>
  <c r="C28" i="3" s="1"/>
  <c r="E27" i="3"/>
  <c r="C27" i="3"/>
  <c r="E23" i="3"/>
  <c r="C23" i="3"/>
  <c r="E21" i="3"/>
  <c r="C21" i="3" s="1"/>
  <c r="E20" i="3"/>
  <c r="C20" i="3"/>
  <c r="E14" i="3"/>
  <c r="C14" i="3" s="1"/>
  <c r="E9" i="3"/>
  <c r="C9" i="3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E96" i="3" s="1"/>
  <c r="C96" i="3" s="1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I85" i="2"/>
  <c r="M84" i="2"/>
  <c r="L84" i="2"/>
  <c r="I84" i="2"/>
  <c r="M83" i="2"/>
  <c r="L83" i="2"/>
  <c r="E89" i="3" s="1"/>
  <c r="C89" i="3" s="1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I78" i="2"/>
  <c r="M77" i="2"/>
  <c r="L77" i="2"/>
  <c r="I77" i="2"/>
  <c r="M76" i="2"/>
  <c r="L76" i="2"/>
  <c r="E82" i="3" s="1"/>
  <c r="C82" i="3" s="1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I71" i="2"/>
  <c r="M70" i="2"/>
  <c r="L70" i="2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E73" i="3" s="1"/>
  <c r="C73" i="3" s="1"/>
  <c r="I67" i="2"/>
  <c r="M66" i="2"/>
  <c r="L66" i="2"/>
  <c r="E72" i="3" s="1"/>
  <c r="C72" i="3" s="1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E68" i="3" s="1"/>
  <c r="C68" i="3" s="1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I57" i="2"/>
  <c r="M56" i="2"/>
  <c r="L56" i="2"/>
  <c r="E62" i="3" s="1"/>
  <c r="C62" i="3" s="1"/>
  <c r="I56" i="2"/>
  <c r="M55" i="2"/>
  <c r="L55" i="2"/>
  <c r="E61" i="3" s="1"/>
  <c r="C61" i="3" s="1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I50" i="2"/>
  <c r="M49" i="2"/>
  <c r="L49" i="2"/>
  <c r="I49" i="2"/>
  <c r="M48" i="2"/>
  <c r="L48" i="2"/>
  <c r="E54" i="3" s="1"/>
  <c r="C54" i="3" s="1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I43" i="2"/>
  <c r="M42" i="2"/>
  <c r="L42" i="2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E45" i="3" s="1"/>
  <c r="C45" i="3" s="1"/>
  <c r="I39" i="2"/>
  <c r="M38" i="2"/>
  <c r="L38" i="2"/>
  <c r="E44" i="3" s="1"/>
  <c r="C44" i="3" s="1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E40" i="3" s="1"/>
  <c r="C40" i="3" s="1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I28" i="2"/>
  <c r="M27" i="2"/>
  <c r="L27" i="2"/>
  <c r="E33" i="3" s="1"/>
  <c r="C33" i="3" s="1"/>
  <c r="I27" i="2"/>
  <c r="D27" i="2" a="1"/>
  <c r="D27" i="2" s="1"/>
  <c r="B27" i="2"/>
  <c r="B26" i="2" s="1"/>
  <c r="A4" i="1" s="1"/>
  <c r="C4" i="1" s="1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E30" i="3" s="1"/>
  <c r="C30" i="3" s="1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I17" i="2"/>
  <c r="M16" i="2"/>
  <c r="L16" i="2"/>
  <c r="E22" i="3" s="1"/>
  <c r="C22" i="3" s="1"/>
  <c r="I16" i="2"/>
  <c r="M15" i="2"/>
  <c r="L15" i="2"/>
  <c r="I15" i="2"/>
  <c r="M14" i="2"/>
  <c r="L14" i="2"/>
  <c r="I14" i="2"/>
  <c r="M13" i="2"/>
  <c r="L13" i="2"/>
  <c r="E19" i="3" s="1"/>
  <c r="C19" i="3" s="1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I8" i="2"/>
  <c r="M7" i="2"/>
  <c r="L7" i="2"/>
  <c r="E13" i="3" s="1"/>
  <c r="C13" i="3" s="1"/>
  <c r="I7" i="2"/>
  <c r="M6" i="2"/>
  <c r="D25" i="2" s="1"/>
  <c r="M4" i="1" s="1"/>
  <c r="P4" i="1" s="1"/>
  <c r="L6" i="2"/>
  <c r="E12" i="3" s="1"/>
  <c r="C12" i="3" s="1"/>
  <c r="I6" i="2"/>
  <c r="M5" i="2"/>
  <c r="L5" i="2"/>
  <c r="E11" i="3" s="1"/>
  <c r="C11" i="3" s="1"/>
  <c r="I5" i="2"/>
  <c r="M4" i="2"/>
  <c r="L4" i="2"/>
  <c r="E10" i="3" s="1"/>
  <c r="C10" i="3" s="1"/>
  <c r="I4" i="2"/>
  <c r="M3" i="2"/>
  <c r="L3" i="2"/>
  <c r="I3" i="2"/>
  <c r="M2" i="2"/>
  <c r="L2" i="2"/>
  <c r="B25" i="2" s="1"/>
  <c r="B4" i="1" s="1"/>
  <c r="I2" i="2"/>
  <c r="K13" i="1"/>
  <c r="K12" i="1"/>
  <c r="K11" i="1"/>
  <c r="K10" i="1"/>
  <c r="K9" i="1"/>
  <c r="K8" i="1"/>
  <c r="K7" i="1"/>
  <c r="K6" i="1"/>
  <c r="D86" i="3" a="1"/>
  <c r="D92" i="3" a="1"/>
  <c r="D57" i="3" a="1"/>
  <c r="D15" i="3" a="1"/>
  <c r="D63" i="3" a="1"/>
  <c r="D42" i="3" a="1"/>
  <c r="D14" i="3" a="1"/>
  <c r="D103" i="3" a="1"/>
  <c r="D96" i="3" a="1"/>
  <c r="D89" i="3" a="1"/>
  <c r="D82" i="3" a="1"/>
  <c r="D75" i="3" a="1"/>
  <c r="D68" i="3" a="1"/>
  <c r="D61" i="3" a="1"/>
  <c r="D54" i="3" a="1"/>
  <c r="D47" i="3" a="1"/>
  <c r="D40" i="3" a="1"/>
  <c r="D33" i="3" a="1"/>
  <c r="D26" i="3" a="1"/>
  <c r="D19" i="3" a="1"/>
  <c r="D12" i="3" a="1"/>
  <c r="D79" i="3" a="1"/>
  <c r="D78" i="3" a="1"/>
  <c r="D71" i="3" a="1"/>
  <c r="D50" i="3" a="1"/>
  <c r="D22" i="3" a="1"/>
  <c r="D102" i="3" a="1"/>
  <c r="D95" i="3" a="1"/>
  <c r="D88" i="3" a="1"/>
  <c r="D81" i="3" a="1"/>
  <c r="D74" i="3" a="1"/>
  <c r="D67" i="3" a="1"/>
  <c r="D60" i="3" a="1"/>
  <c r="D53" i="3" a="1"/>
  <c r="D46" i="3" a="1"/>
  <c r="D39" i="3" a="1"/>
  <c r="D32" i="3" a="1"/>
  <c r="D25" i="3" a="1"/>
  <c r="D18" i="3" a="1"/>
  <c r="D11" i="3" a="1"/>
  <c r="D72" i="3" a="1"/>
  <c r="D23" i="3" a="1"/>
  <c r="D29" i="3" a="1"/>
  <c r="D84" i="3" a="1"/>
  <c r="D101" i="3" a="1"/>
  <c r="D94" i="3" a="1"/>
  <c r="D87" i="3" a="1"/>
  <c r="D80" i="3" a="1"/>
  <c r="D73" i="3" a="1"/>
  <c r="D66" i="3" a="1"/>
  <c r="D59" i="3" a="1"/>
  <c r="D52" i="3" a="1"/>
  <c r="D45" i="3" a="1"/>
  <c r="D38" i="3" a="1"/>
  <c r="D31" i="3" a="1"/>
  <c r="D24" i="3" a="1"/>
  <c r="D17" i="3" a="1"/>
  <c r="D10" i="3" a="1"/>
  <c r="D100" i="3" a="1"/>
  <c r="D65" i="3" a="1"/>
  <c r="D58" i="3" a="1"/>
  <c r="D51" i="3" a="1"/>
  <c r="D44" i="3" a="1"/>
  <c r="D37" i="3" a="1"/>
  <c r="D30" i="3" a="1"/>
  <c r="D16" i="3" a="1"/>
  <c r="D9" i="3" a="1"/>
  <c r="D99" i="3" a="1"/>
  <c r="D43" i="3" a="1"/>
  <c r="D8" i="3" a="1"/>
  <c r="D77" i="3" a="1"/>
  <c r="D21" i="3" a="1"/>
  <c r="D93" i="3" a="1"/>
  <c r="D85" i="3" a="1"/>
  <c r="D64" i="3" a="1"/>
  <c r="D36" i="3" a="1"/>
  <c r="D91" i="3" a="1"/>
  <c r="D56" i="3" a="1"/>
  <c r="D28" i="3" a="1"/>
  <c r="D97" i="3" a="1"/>
  <c r="D83" i="3" a="1"/>
  <c r="D69" i="3" a="1"/>
  <c r="D55" i="3" a="1"/>
  <c r="D41" i="3" a="1"/>
  <c r="D27" i="3" a="1"/>
  <c r="D13" i="3" a="1"/>
  <c r="D98" i="3" a="1"/>
  <c r="D49" i="3" a="1"/>
  <c r="D90" i="3" a="1"/>
  <c r="D76" i="3" a="1"/>
  <c r="D62" i="3" a="1"/>
  <c r="D48" i="3" a="1"/>
  <c r="D34" i="3" a="1"/>
  <c r="D20" i="3" a="1"/>
  <c r="D70" i="3" a="1"/>
  <c r="D35" i="3" a="1"/>
  <c r="D35" i="3" l="1"/>
  <c r="D70" i="3"/>
  <c r="D20" i="3"/>
  <c r="D34" i="3"/>
  <c r="D48" i="3"/>
  <c r="D62" i="3"/>
  <c r="D76" i="3"/>
  <c r="D90" i="3"/>
  <c r="D49" i="3"/>
  <c r="D98" i="3"/>
  <c r="D13" i="3"/>
  <c r="D27" i="3"/>
  <c r="D41" i="3"/>
  <c r="D55" i="3"/>
  <c r="D69" i="3"/>
  <c r="D83" i="3"/>
  <c r="D97" i="3"/>
  <c r="D28" i="3"/>
  <c r="D56" i="3"/>
  <c r="D91" i="3"/>
  <c r="D36" i="3"/>
  <c r="D64" i="3"/>
  <c r="D85" i="3"/>
  <c r="D93" i="3"/>
  <c r="D21" i="3"/>
  <c r="D77" i="3"/>
  <c r="D8" i="3"/>
  <c r="D43" i="3"/>
  <c r="D99" i="3"/>
  <c r="D9" i="3"/>
  <c r="D16" i="3"/>
  <c r="D30" i="3"/>
  <c r="D37" i="3"/>
  <c r="D44" i="3"/>
  <c r="D51" i="3"/>
  <c r="D58" i="3"/>
  <c r="D65" i="3"/>
  <c r="D100" i="3"/>
  <c r="D10" i="3"/>
  <c r="D17" i="3"/>
  <c r="D24" i="3"/>
  <c r="D31" i="3"/>
  <c r="D38" i="3"/>
  <c r="D45" i="3"/>
  <c r="D52" i="3"/>
  <c r="D59" i="3"/>
  <c r="D66" i="3"/>
  <c r="D73" i="3"/>
  <c r="D80" i="3"/>
  <c r="D87" i="3"/>
  <c r="D94" i="3"/>
  <c r="D101" i="3"/>
  <c r="D84" i="3"/>
  <c r="D29" i="3"/>
  <c r="D23" i="3"/>
  <c r="D72" i="3"/>
  <c r="D11" i="3"/>
  <c r="D18" i="3"/>
  <c r="D25" i="3"/>
  <c r="D32" i="3"/>
  <c r="D39" i="3"/>
  <c r="D46" i="3"/>
  <c r="D53" i="3"/>
  <c r="D60" i="3"/>
  <c r="D67" i="3"/>
  <c r="D74" i="3"/>
  <c r="D81" i="3"/>
  <c r="D88" i="3"/>
  <c r="D95" i="3"/>
  <c r="D102" i="3"/>
  <c r="D22" i="3"/>
  <c r="D50" i="3"/>
  <c r="D71" i="3"/>
  <c r="D78" i="3"/>
  <c r="D79" i="3"/>
  <c r="D12" i="3"/>
  <c r="D19" i="3"/>
  <c r="D26" i="3"/>
  <c r="D33" i="3"/>
  <c r="D40" i="3"/>
  <c r="D47" i="3"/>
  <c r="D54" i="3"/>
  <c r="D61" i="3"/>
  <c r="D68" i="3"/>
  <c r="D75" i="3"/>
  <c r="D82" i="3"/>
  <c r="D89" i="3"/>
  <c r="D96" i="3"/>
  <c r="D103" i="3"/>
  <c r="D14" i="3"/>
  <c r="D42" i="3"/>
  <c r="D63" i="3"/>
  <c r="D15" i="3"/>
  <c r="D57" i="3"/>
  <c r="D92" i="3"/>
  <c r="D86" i="3"/>
  <c r="D28" i="2"/>
  <c r="D26" i="2"/>
  <c r="D4" i="1"/>
  <c r="H4" i="1"/>
  <c r="G4" i="1"/>
  <c r="F4" i="1"/>
  <c r="E4" i="1"/>
  <c r="G3" i="3" l="1" a="1"/>
  <c r="G3" i="3" s="1"/>
  <c r="J4" i="1" s="1"/>
  <c r="I4" i="1" s="1"/>
  <c r="K4" i="1" s="1"/>
  <c r="C3" i="3" a="1"/>
  <c r="C3" i="3" s="1"/>
  <c r="B28" i="2"/>
  <c r="L4" i="1"/>
  <c r="Q4" i="1" l="1"/>
  <c r="N4" i="1"/>
  <c r="O4" i="1" s="1"/>
  <c r="D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sz val="11"/>
            <color theme="1"/>
            <rFont val="等线"/>
            <charset val="134"/>
            <scheme val="minor"/>
          </rPr>
          <t>GOLDWIND:
月度费用除以月度充电电量。以下两个值均如此计算。</t>
        </r>
      </text>
    </comment>
  </commentList>
</comments>
</file>

<file path=xl/sharedStrings.xml><?xml version="1.0" encoding="utf-8"?>
<sst xmlns="http://schemas.openxmlformats.org/spreadsheetml/2006/main" count="202" uniqueCount="182">
  <si>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</si>
  <si>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</si>
  <si>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</si>
  <si>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</si>
  <si>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</si>
  <si>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</si>
  <si>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</si>
  <si>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</si>
  <si>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</si>
  <si>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</si>
  <si>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</si>
  <si>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</si>
  <si>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</si>
  <si>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</si>
  <si>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</si>
  <si>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</si>
  <si>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</si>
  <si>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</si>
  <si>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</si>
  <si>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</si>
  <si>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</si>
  <si>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</si>
  <si>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</si>
  <si>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</si>
  <si>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</si>
  <si>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</si>
  <si>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</si>
  <si>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</si>
  <si>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</si>
  <si>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</si>
  <si>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</si>
  <si>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</si>
  <si>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</si>
  <si>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</si>
  <si>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</si>
  <si>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</si>
  <si>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</si>
  <si>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</si>
  <si>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</si>
  <si>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统一结算日前</t>
  </si>
  <si>
    <t>节点日前电价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</si>
  <si>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</si>
  <si>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</si>
  <si>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</si>
  <si>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</si>
  <si>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</si>
  <si>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</si>
  <si>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</si>
  <si>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</si>
  <si>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</si>
  <si>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</si>
  <si>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</si>
  <si>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</si>
  <si>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</si>
  <si>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</si>
  <si>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</si>
  <si>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</si>
  <si>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</si>
  <si>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</si>
  <si>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</si>
  <si>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</si>
  <si>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</si>
  <si>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</si>
  <si>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</si>
  <si>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</si>
  <si>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</si>
  <si>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</si>
  <si>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</si>
  <si>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</si>
  <si>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</si>
  <si>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</si>
  <si>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</si>
  <si>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</si>
  <si>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</si>
  <si>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</si>
  <si>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</si>
  <si>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</si>
  <si>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</si>
  <si>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</si>
  <si>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</si>
  <si>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</si>
  <si>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</si>
  <si>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</si>
  <si>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</si>
  <si>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</si>
  <si>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</si>
  <si>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</si>
  <si>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</si>
  <si>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</si>
  <si>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</si>
  <si>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</si>
  <si>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</si>
  <si>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</si>
  <si>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</si>
  <si>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</si>
  <si>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</si>
  <si>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报价(元/MWh)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</si>
  <si>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</si>
  <si>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</si>
  <si>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</si>
  <si>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</si>
  <si>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</si>
  <si>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</si>
  <si>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</si>
  <si>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</si>
  <si>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</si>
  <si>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</si>
  <si>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</si>
  <si>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</si>
  <si>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</si>
  <si>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</si>
  <si>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</si>
  <si>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</si>
  <si>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</si>
  <si>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</si>
  <si>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</si>
  <si>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</si>
  <si>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</si>
  <si>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</si>
  <si>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</si>
  <si>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</si>
  <si>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</si>
  <si>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</si>
  <si>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</si>
  <si>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</si>
  <si>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</si>
  <si>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</si>
  <si>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</si>
  <si>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</si>
  <si>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</si>
  <si>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</si>
  <si>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</si>
  <si>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</si>
  <si>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</si>
  <si>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</si>
  <si>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</si>
  <si>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</si>
  <si>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</si>
  <si>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</si>
  <si>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</si>
  <si>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</si>
  <si>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</si>
  <si>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</si>
  <si>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</si>
  <si>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</si>
  <si>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</si>
  <si>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</si>
  <si>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</si>
  <si>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</si>
  <si>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</si>
  <si>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</si>
  <si>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</si>
  <si>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</si>
  <si>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</si>
  <si>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</si>
  <si>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</si>
  <si>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</si>
  <si>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</si>
  <si>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</si>
  <si>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</si>
  <si>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</si>
  <si>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</si>
  <si>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</si>
  <si>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</si>
  <si>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</si>
  <si>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</si>
  <si>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</si>
  <si>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</si>
  <si>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容量分摊系数（2026年）</t>
  </si>
  <si>
    <t>5月</t>
  </si>
  <si>
    <t>1月</t>
  </si>
  <si>
    <t>2月</t>
  </si>
  <si>
    <t>3月</t>
  </si>
  <si>
    <t>4月</t>
  </si>
  <si>
    <t>6月</t>
  </si>
  <si>
    <t>7月</t>
  </si>
  <si>
    <t>8月</t>
  </si>
  <si>
    <t>9月</t>
  </si>
  <si>
    <t>10月</t>
  </si>
  <si>
    <t>11月</t>
  </si>
  <si>
    <t>12月</t>
  </si>
  <si>
    <t>6月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</si>
</sst>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9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4" borderId="1" xfId="0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0" fillId="0" borderId="0" xfId="0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" fillId="0" borderId="31" xfId="2" applyNumberFormat="1" applyFont="1" applyBorder="1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-80.92</c:v>
                </c:pt>
                <c:pt idx="52">
                  <c:v>-80.92</c:v>
                </c:pt>
                <c:pt idx="53">
                  <c:v>-80.92</c:v>
                </c:pt>
                <c:pt idx="54">
                  <c:v>-80.92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-7.15</c:v>
                </c:pt>
                <c:pt idx="61">
                  <c:v>-7.15</c:v>
                </c:pt>
                <c:pt idx="62">
                  <c:v>-7.15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33.159999999999997</c:v>
                </c:pt>
                <c:pt idx="77">
                  <c:v>39.24</c:v>
                </c:pt>
                <c:pt idx="78">
                  <c:v>39.24</c:v>
                </c:pt>
                <c:pt idx="79">
                  <c:v>39.24</c:v>
                </c:pt>
                <c:pt idx="80">
                  <c:v>39.24</c:v>
                </c:pt>
                <c:pt idx="81">
                  <c:v>79.680000000000007</c:v>
                </c:pt>
                <c:pt idx="82">
                  <c:v>79.680000000000007</c:v>
                </c:pt>
                <c:pt idx="83">
                  <c:v>79.680000000000007</c:v>
                </c:pt>
                <c:pt idx="84">
                  <c:v>79.680000000000007</c:v>
                </c:pt>
                <c:pt idx="85">
                  <c:v>79.680000000000007</c:v>
                </c:pt>
                <c:pt idx="86">
                  <c:v>95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4-40B1-8F9D-357C1553E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536.79999999999995</c:v>
                </c:pt>
                <c:pt idx="1">
                  <c:v>431.887</c:v>
                </c:pt>
                <c:pt idx="2">
                  <c:v>406.4</c:v>
                </c:pt>
                <c:pt idx="3">
                  <c:v>366</c:v>
                </c:pt>
                <c:pt idx="4">
                  <c:v>342</c:v>
                </c:pt>
                <c:pt idx="5">
                  <c:v>352</c:v>
                </c:pt>
                <c:pt idx="6">
                  <c:v>317.36799999999999</c:v>
                </c:pt>
                <c:pt idx="7">
                  <c:v>322</c:v>
                </c:pt>
                <c:pt idx="8">
                  <c:v>317.33999999999997</c:v>
                </c:pt>
                <c:pt idx="9">
                  <c:v>317.39600000000002</c:v>
                </c:pt>
                <c:pt idx="10">
                  <c:v>308</c:v>
                </c:pt>
                <c:pt idx="11">
                  <c:v>305</c:v>
                </c:pt>
                <c:pt idx="12">
                  <c:v>307.55399999999997</c:v>
                </c:pt>
                <c:pt idx="13">
                  <c:v>307.762</c:v>
                </c:pt>
                <c:pt idx="14">
                  <c:v>304</c:v>
                </c:pt>
                <c:pt idx="15">
                  <c:v>291.95600000000002</c:v>
                </c:pt>
                <c:pt idx="16">
                  <c:v>304</c:v>
                </c:pt>
                <c:pt idx="17">
                  <c:v>295.02699999999999</c:v>
                </c:pt>
                <c:pt idx="18">
                  <c:v>336.274</c:v>
                </c:pt>
                <c:pt idx="19">
                  <c:v>146.22</c:v>
                </c:pt>
                <c:pt idx="20">
                  <c:v>415</c:v>
                </c:pt>
                <c:pt idx="21">
                  <c:v>495.84</c:v>
                </c:pt>
                <c:pt idx="22">
                  <c:v>496.4</c:v>
                </c:pt>
                <c:pt idx="23">
                  <c:v>418.38600000000002</c:v>
                </c:pt>
                <c:pt idx="24">
                  <c:v>307.06900000000002</c:v>
                </c:pt>
                <c:pt idx="25">
                  <c:v>310.32</c:v>
                </c:pt>
                <c:pt idx="26">
                  <c:v>-79.311999999999998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-100</c:v>
                </c:pt>
                <c:pt idx="42">
                  <c:v>-100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-100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-85.266999999999996</c:v>
                </c:pt>
                <c:pt idx="66">
                  <c:v>-88.685000000000002</c:v>
                </c:pt>
                <c:pt idx="67">
                  <c:v>136.042</c:v>
                </c:pt>
                <c:pt idx="68">
                  <c:v>461.51799999999997</c:v>
                </c:pt>
                <c:pt idx="69">
                  <c:v>546.33100000000002</c:v>
                </c:pt>
                <c:pt idx="70">
                  <c:v>660.95500000000004</c:v>
                </c:pt>
                <c:pt idx="71">
                  <c:v>244.547</c:v>
                </c:pt>
                <c:pt idx="72">
                  <c:v>234.19800000000001</c:v>
                </c:pt>
                <c:pt idx="73">
                  <c:v>415.33499999999998</c:v>
                </c:pt>
                <c:pt idx="74">
                  <c:v>559.53499999999997</c:v>
                </c:pt>
                <c:pt idx="75">
                  <c:v>477.90899999999999</c:v>
                </c:pt>
                <c:pt idx="76">
                  <c:v>501.77199999999999</c:v>
                </c:pt>
                <c:pt idx="77">
                  <c:v>564.01900000000001</c:v>
                </c:pt>
                <c:pt idx="78">
                  <c:v>560.23400000000004</c:v>
                </c:pt>
                <c:pt idx="79">
                  <c:v>481.48500000000001</c:v>
                </c:pt>
                <c:pt idx="80">
                  <c:v>456.26</c:v>
                </c:pt>
                <c:pt idx="81">
                  <c:v>453.012</c:v>
                </c:pt>
                <c:pt idx="82">
                  <c:v>432.25299999999999</c:v>
                </c:pt>
                <c:pt idx="83">
                  <c:v>476.238</c:v>
                </c:pt>
                <c:pt idx="84">
                  <c:v>444.70699999999999</c:v>
                </c:pt>
                <c:pt idx="85">
                  <c:v>393.78300000000002</c:v>
                </c:pt>
                <c:pt idx="86">
                  <c:v>322.73700000000002</c:v>
                </c:pt>
                <c:pt idx="87">
                  <c:v>352.57</c:v>
                </c:pt>
                <c:pt idx="88">
                  <c:v>351.43200000000002</c:v>
                </c:pt>
                <c:pt idx="89">
                  <c:v>380.05099999999999</c:v>
                </c:pt>
                <c:pt idx="90">
                  <c:v>481.46899999999999</c:v>
                </c:pt>
                <c:pt idx="91">
                  <c:v>446</c:v>
                </c:pt>
                <c:pt idx="92">
                  <c:v>393.64</c:v>
                </c:pt>
                <c:pt idx="93">
                  <c:v>339.584</c:v>
                </c:pt>
                <c:pt idx="94">
                  <c:v>330.15499999999997</c:v>
                </c:pt>
                <c:pt idx="95">
                  <c:v>337.863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8-46BF-9414-373D9F2EC412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536.79999999999995</c:v>
                </c:pt>
                <c:pt idx="1">
                  <c:v>431.887</c:v>
                </c:pt>
                <c:pt idx="2">
                  <c:v>406.4</c:v>
                </c:pt>
                <c:pt idx="3">
                  <c:v>366</c:v>
                </c:pt>
                <c:pt idx="4">
                  <c:v>342</c:v>
                </c:pt>
                <c:pt idx="5">
                  <c:v>352</c:v>
                </c:pt>
                <c:pt idx="6">
                  <c:v>317.36799999999999</c:v>
                </c:pt>
                <c:pt idx="7">
                  <c:v>322</c:v>
                </c:pt>
                <c:pt idx="8">
                  <c:v>317.33999999999997</c:v>
                </c:pt>
                <c:pt idx="9">
                  <c:v>317.39600000000002</c:v>
                </c:pt>
                <c:pt idx="10">
                  <c:v>308</c:v>
                </c:pt>
                <c:pt idx="11">
                  <c:v>305</c:v>
                </c:pt>
                <c:pt idx="12">
                  <c:v>307.55399999999997</c:v>
                </c:pt>
                <c:pt idx="13">
                  <c:v>307.762</c:v>
                </c:pt>
                <c:pt idx="14">
                  <c:v>304</c:v>
                </c:pt>
                <c:pt idx="15">
                  <c:v>291.95600000000002</c:v>
                </c:pt>
                <c:pt idx="16">
                  <c:v>304</c:v>
                </c:pt>
                <c:pt idx="17">
                  <c:v>295.02699999999999</c:v>
                </c:pt>
                <c:pt idx="18">
                  <c:v>336.274</c:v>
                </c:pt>
                <c:pt idx="19">
                  <c:v>146.22</c:v>
                </c:pt>
                <c:pt idx="20">
                  <c:v>415</c:v>
                </c:pt>
                <c:pt idx="21">
                  <c:v>495.84</c:v>
                </c:pt>
                <c:pt idx="22">
                  <c:v>496.4</c:v>
                </c:pt>
                <c:pt idx="23">
                  <c:v>418.38600000000002</c:v>
                </c:pt>
                <c:pt idx="24">
                  <c:v>307.06900000000002</c:v>
                </c:pt>
                <c:pt idx="25">
                  <c:v>310.32</c:v>
                </c:pt>
                <c:pt idx="26">
                  <c:v>-79.311999999999998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-100</c:v>
                </c:pt>
                <c:pt idx="42">
                  <c:v>-100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-100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-85.266999999999996</c:v>
                </c:pt>
                <c:pt idx="66">
                  <c:v>-88.685000000000002</c:v>
                </c:pt>
                <c:pt idx="67">
                  <c:v>136.042</c:v>
                </c:pt>
                <c:pt idx="68">
                  <c:v>461.51799999999997</c:v>
                </c:pt>
                <c:pt idx="69">
                  <c:v>546.33100000000002</c:v>
                </c:pt>
                <c:pt idx="70">
                  <c:v>660.95500000000004</c:v>
                </c:pt>
                <c:pt idx="71">
                  <c:v>244.547</c:v>
                </c:pt>
                <c:pt idx="72">
                  <c:v>234.19800000000001</c:v>
                </c:pt>
                <c:pt idx="73">
                  <c:v>415.33499999999998</c:v>
                </c:pt>
                <c:pt idx="74">
                  <c:v>559.53499999999997</c:v>
                </c:pt>
                <c:pt idx="75">
                  <c:v>477.90899999999999</c:v>
                </c:pt>
                <c:pt idx="76">
                  <c:v>501.77199999999999</c:v>
                </c:pt>
                <c:pt idx="77">
                  <c:v>564.01900000000001</c:v>
                </c:pt>
                <c:pt idx="78">
                  <c:v>560.23400000000004</c:v>
                </c:pt>
                <c:pt idx="79">
                  <c:v>481.48500000000001</c:v>
                </c:pt>
                <c:pt idx="80">
                  <c:v>456.26</c:v>
                </c:pt>
                <c:pt idx="81">
                  <c:v>453.012</c:v>
                </c:pt>
                <c:pt idx="82">
                  <c:v>432.25299999999999</c:v>
                </c:pt>
                <c:pt idx="83">
                  <c:v>476.238</c:v>
                </c:pt>
                <c:pt idx="84">
                  <c:v>444.70699999999999</c:v>
                </c:pt>
                <c:pt idx="85">
                  <c:v>393.78300000000002</c:v>
                </c:pt>
                <c:pt idx="86">
                  <c:v>322.73700000000002</c:v>
                </c:pt>
                <c:pt idx="87">
                  <c:v>352.57</c:v>
                </c:pt>
                <c:pt idx="88">
                  <c:v>351.43200000000002</c:v>
                </c:pt>
                <c:pt idx="89">
                  <c:v>380.05099999999999</c:v>
                </c:pt>
                <c:pt idx="90">
                  <c:v>481.46899999999999</c:v>
                </c:pt>
                <c:pt idx="91">
                  <c:v>446</c:v>
                </c:pt>
                <c:pt idx="92">
                  <c:v>393.64</c:v>
                </c:pt>
                <c:pt idx="93">
                  <c:v>339.584</c:v>
                </c:pt>
                <c:pt idx="94">
                  <c:v>330.15499999999997</c:v>
                </c:pt>
                <c:pt idx="95">
                  <c:v>337.863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8-46BF-9414-373D9F2EC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E-4132-80C6-946C7D3E1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334107</xdr:colOff>
      <xdr:row>6</xdr:row>
      <xdr:rowOff>20515</xdr:rowOff>
    </xdr:from>
    <xdr:to>
      <xdr:col>15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A4" sqref="A4:Q4"/>
    </sheetView>
  </sheetViews>
  <sheetFormatPr defaultColWidth="9" defaultRowHeight="13.8" x14ac:dyDescent="0.25"/>
  <cols>
    <col min="1" max="17" width="11.77734375" style="57" customWidth="1"/>
  </cols>
  <sheetData>
    <row r="1" spans="1:17" x14ac:dyDescent="0.25">
      <c r="A1" s="81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9"/>
    </row>
    <row r="2" spans="1:17" ht="20.399999999999999" customHeight="1" x14ac:dyDescent="0.25">
      <c r="A2" s="77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9"/>
      <c r="L2" s="80" t="s">
        <v>2</v>
      </c>
      <c r="M2" s="78"/>
      <c r="N2" s="79"/>
      <c r="O2" s="51" t="s">
        <v>3</v>
      </c>
      <c r="P2" s="82" t="s">
        <v>4</v>
      </c>
      <c r="Q2" s="79"/>
    </row>
    <row r="3" spans="1:17" ht="27.6" customHeight="1" x14ac:dyDescent="0.25">
      <c r="A3" s="43" t="s">
        <v>5</v>
      </c>
      <c r="B3" s="43" t="s">
        <v>6</v>
      </c>
      <c r="C3" s="43" t="s">
        <v>7</v>
      </c>
      <c r="D3" s="43" t="s">
        <v>8</v>
      </c>
      <c r="E3" s="43" t="s">
        <v>9</v>
      </c>
      <c r="F3" s="43" t="s">
        <v>10</v>
      </c>
      <c r="G3" s="43" t="s">
        <v>11</v>
      </c>
      <c r="H3" s="43" t="s">
        <v>12</v>
      </c>
      <c r="I3" s="43" t="s">
        <v>13</v>
      </c>
      <c r="J3" s="43" t="s">
        <v>14</v>
      </c>
      <c r="K3" s="43" t="s">
        <v>15</v>
      </c>
      <c r="L3" s="47" t="s">
        <v>16</v>
      </c>
      <c r="M3" s="47" t="s">
        <v>17</v>
      </c>
      <c r="N3" s="47" t="s">
        <v>18</v>
      </c>
      <c r="O3" s="51" t="s">
        <v>19</v>
      </c>
      <c r="P3" s="73" t="s">
        <v>20</v>
      </c>
      <c r="Q3" s="53" t="s">
        <v>21</v>
      </c>
    </row>
    <row r="4" spans="1:17" ht="22.2" customHeight="1" x14ac:dyDescent="0.25">
      <c r="A4" s="44">
        <f>报价及预中标!B26</f>
        <v>-82.231875663674103</v>
      </c>
      <c r="B4" s="44">
        <f>报价及预中标!B25</f>
        <v>-181.28249999999997</v>
      </c>
      <c r="C4" s="44">
        <f>A4*B4</f>
        <v>14907.199999999999</v>
      </c>
      <c r="D4" s="44">
        <f>$B$4*I12</f>
        <v>-634.48874999999987</v>
      </c>
      <c r="E4" s="44">
        <f>$B$4*I13</f>
        <v>-598.23224999999991</v>
      </c>
      <c r="F4" s="44">
        <f>B4*(1-P4)*I8</f>
        <v>-1972.2522499999884</v>
      </c>
      <c r="G4" s="44">
        <f>B4*(1-P4)*I9</f>
        <v>-279.21911999999833</v>
      </c>
      <c r="H4" s="44">
        <f>$B$4*I14</f>
        <v>525.71924999999987</v>
      </c>
      <c r="I4" s="44">
        <f ca="1">B4*J4*70.5</f>
        <v>-11872.993124999997</v>
      </c>
      <c r="J4" s="44">
        <f ca="1">容量分摊系数!G3</f>
        <v>0.9289989381214403</v>
      </c>
      <c r="K4" s="48">
        <f ca="1">C4+D4+E4+F4+G4+H4+I4</f>
        <v>75.733755000015663</v>
      </c>
      <c r="L4" s="44">
        <f>报价及预中标!D26</f>
        <v>443.81761977719947</v>
      </c>
      <c r="M4" s="44">
        <f>报价及预中标!D25</f>
        <v>171.00500000000002</v>
      </c>
      <c r="N4" s="48">
        <f>L4*M4</f>
        <v>75895.032070000001</v>
      </c>
      <c r="O4" s="48">
        <f ca="1">N4+K4</f>
        <v>75970.765825000009</v>
      </c>
      <c r="P4" s="52">
        <f>-M4/B4</f>
        <v>0.94330671741618777</v>
      </c>
      <c r="Q4" s="44">
        <f>L4-A4</f>
        <v>526.04949544087356</v>
      </c>
    </row>
    <row r="6" spans="1:17" x14ac:dyDescent="0.25">
      <c r="A6" s="74" t="s">
        <v>22</v>
      </c>
      <c r="B6" s="45" t="s">
        <v>23</v>
      </c>
      <c r="C6" s="45"/>
      <c r="K6" s="49" t="str">
        <f>K3</f>
        <v>充电总
费用(元)</v>
      </c>
    </row>
    <row r="7" spans="1:17" x14ac:dyDescent="0.25">
      <c r="A7" s="74">
        <v>1</v>
      </c>
      <c r="B7" s="46" t="s">
        <v>24</v>
      </c>
      <c r="C7" s="46"/>
      <c r="K7" t="str">
        <f>C3</f>
        <v>交易充电
费用(元)</v>
      </c>
    </row>
    <row r="8" spans="1:17" x14ac:dyDescent="0.25">
      <c r="A8" s="74">
        <v>2</v>
      </c>
      <c r="B8" s="46" t="s">
        <v>25</v>
      </c>
      <c r="C8" s="46"/>
      <c r="I8" s="50">
        <v>191.9</v>
      </c>
      <c r="J8" t="s">
        <v>26</v>
      </c>
      <c r="K8" t="str">
        <f>D3</f>
        <v>优发优购(元)</v>
      </c>
    </row>
    <row r="9" spans="1:17" x14ac:dyDescent="0.25">
      <c r="A9" s="74">
        <v>3</v>
      </c>
      <c r="B9" s="46" t="s">
        <v>27</v>
      </c>
      <c r="C9" s="46"/>
      <c r="I9" s="50">
        <v>27.167999999999999</v>
      </c>
      <c r="J9" t="s">
        <v>26</v>
      </c>
      <c r="K9" t="str">
        <f>E3</f>
        <v>上网线损(元)</v>
      </c>
    </row>
    <row r="10" spans="1:17" x14ac:dyDescent="0.25">
      <c r="A10" s="74">
        <v>4</v>
      </c>
      <c r="B10" s="46" t="s">
        <v>28</v>
      </c>
      <c r="C10" s="46"/>
      <c r="K10" t="str">
        <f>F3</f>
        <v>输配电费(元)</v>
      </c>
    </row>
    <row r="11" spans="1:17" x14ac:dyDescent="0.25">
      <c r="A11" s="74">
        <v>5</v>
      </c>
      <c r="B11" s="46" t="s">
        <v>29</v>
      </c>
      <c r="C11" s="46"/>
      <c r="K11" t="str">
        <f>G3</f>
        <v>政府基金(元)</v>
      </c>
    </row>
    <row r="12" spans="1:17" x14ac:dyDescent="0.25">
      <c r="A12" s="74">
        <v>6</v>
      </c>
      <c r="B12" s="46" t="s">
        <v>30</v>
      </c>
      <c r="C12" s="46"/>
      <c r="I12" s="50">
        <v>3.5</v>
      </c>
      <c r="J12" t="s">
        <v>31</v>
      </c>
      <c r="K12" t="str">
        <f>H3</f>
        <v>系统运行(元)</v>
      </c>
    </row>
    <row r="13" spans="1:17" x14ac:dyDescent="0.25">
      <c r="A13" s="74">
        <v>7</v>
      </c>
      <c r="B13" s="46" t="s">
        <v>32</v>
      </c>
      <c r="C13" s="46"/>
      <c r="I13" s="50">
        <v>3.3</v>
      </c>
      <c r="J13" t="s">
        <v>31</v>
      </c>
      <c r="K13" t="str">
        <f>I3</f>
        <v>容量分摊(元)</v>
      </c>
    </row>
    <row r="14" spans="1:17" x14ac:dyDescent="0.25">
      <c r="A14" s="74">
        <v>8</v>
      </c>
      <c r="B14" s="46" t="s">
        <v>33</v>
      </c>
      <c r="C14" s="46"/>
      <c r="I14" s="50">
        <v>-2.9</v>
      </c>
      <c r="J14" t="s">
        <v>31</v>
      </c>
    </row>
    <row r="15" spans="1:17" x14ac:dyDescent="0.25">
      <c r="A15" s="74">
        <v>9</v>
      </c>
      <c r="B15" s="46" t="s">
        <v>34</v>
      </c>
      <c r="C15" s="46"/>
    </row>
    <row r="16" spans="1:17" x14ac:dyDescent="0.25">
      <c r="A16" s="74">
        <v>10</v>
      </c>
      <c r="B16" s="46" t="s">
        <v>35</v>
      </c>
      <c r="C16" s="46"/>
      <c r="N16" s="74"/>
      <c r="O16" s="74"/>
    </row>
    <row r="17" spans="13:16" x14ac:dyDescent="0.25">
      <c r="N17" s="74"/>
      <c r="O17" s="74"/>
    </row>
    <row r="18" spans="13:16" x14ac:dyDescent="0.25">
      <c r="N18" s="74"/>
      <c r="O18" s="74"/>
    </row>
    <row r="19" spans="13:16" x14ac:dyDescent="0.25">
      <c r="N19" s="74"/>
      <c r="O19" s="74"/>
      <c r="P19" s="58"/>
    </row>
    <row r="20" spans="13:16" x14ac:dyDescent="0.25">
      <c r="M20" s="58"/>
      <c r="N20" s="74"/>
      <c r="O20" s="74"/>
    </row>
    <row r="21" spans="13:16" x14ac:dyDescent="0.25">
      <c r="N21" s="74"/>
      <c r="O21" s="74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4" width="10" style="38" customWidth="1"/>
    <col min="15" max="16384" width="10" style="38"/>
  </cols>
  <sheetData>
    <row r="1" spans="1:14" x14ac:dyDescent="0.3">
      <c r="A1" s="38" t="s">
        <v>36</v>
      </c>
      <c r="G1" s="38" t="s">
        <v>37</v>
      </c>
      <c r="I1" s="38" t="s">
        <v>38</v>
      </c>
      <c r="J1" s="15" t="s">
        <v>39</v>
      </c>
      <c r="K1" s="38" t="s">
        <v>40</v>
      </c>
      <c r="L1" s="15" t="s">
        <v>41</v>
      </c>
      <c r="M1" s="15" t="s">
        <v>42</v>
      </c>
      <c r="N1" s="38" t="s">
        <v>43</v>
      </c>
    </row>
    <row r="2" spans="1:14" x14ac:dyDescent="0.3">
      <c r="A2" s="38" t="s">
        <v>44</v>
      </c>
      <c r="G2" s="39">
        <v>1</v>
      </c>
      <c r="H2" s="14" t="s">
        <v>45</v>
      </c>
      <c r="I2" s="38" t="str">
        <f t="shared" ref="I2:I33" si="0">RIGHT(H2,4)</f>
        <v>0015</v>
      </c>
      <c r="J2">
        <v>536.79999999999995</v>
      </c>
      <c r="K2">
        <v>536.79999999999995</v>
      </c>
      <c r="L2" s="15">
        <f t="shared" ref="L2:L33" si="1">IF(N2&lt;=0, N2, 0)</f>
        <v>0</v>
      </c>
      <c r="M2" s="15">
        <f t="shared" ref="M2:M33" si="2">IF(N2&gt;=0, N2, 0)</f>
        <v>0</v>
      </c>
      <c r="N2" s="38">
        <v>0</v>
      </c>
    </row>
    <row r="3" spans="1:14" x14ac:dyDescent="0.3">
      <c r="G3" s="39">
        <v>2</v>
      </c>
      <c r="H3" s="14" t="s">
        <v>46</v>
      </c>
      <c r="I3" s="38" t="str">
        <f t="shared" si="0"/>
        <v>0030</v>
      </c>
      <c r="J3">
        <v>431.887</v>
      </c>
      <c r="K3">
        <v>431.887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47</v>
      </c>
      <c r="I4" s="38" t="str">
        <f t="shared" si="0"/>
        <v>0045</v>
      </c>
      <c r="J4">
        <v>406.4</v>
      </c>
      <c r="K4">
        <v>406.4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48</v>
      </c>
      <c r="B5" s="17" t="s">
        <v>49</v>
      </c>
      <c r="C5" s="17" t="s">
        <v>50</v>
      </c>
      <c r="D5" s="17" t="s">
        <v>51</v>
      </c>
      <c r="E5" s="40" t="s">
        <v>52</v>
      </c>
      <c r="G5" s="39">
        <v>4</v>
      </c>
      <c r="H5" s="14" t="s">
        <v>53</v>
      </c>
      <c r="I5" s="38" t="str">
        <f t="shared" si="0"/>
        <v>0100</v>
      </c>
      <c r="J5">
        <v>366</v>
      </c>
      <c r="K5">
        <v>366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54</v>
      </c>
      <c r="C6" s="15">
        <v>-100</v>
      </c>
      <c r="D6" s="15">
        <v>-95</v>
      </c>
      <c r="E6" s="54">
        <v>0</v>
      </c>
      <c r="G6" s="39">
        <v>5</v>
      </c>
      <c r="H6" s="14" t="s">
        <v>55</v>
      </c>
      <c r="I6" s="38" t="str">
        <f t="shared" si="0"/>
        <v>0115</v>
      </c>
      <c r="J6">
        <v>342</v>
      </c>
      <c r="K6">
        <v>342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54</v>
      </c>
      <c r="C7" s="15">
        <v>-95</v>
      </c>
      <c r="D7" s="15">
        <v>0</v>
      </c>
      <c r="E7" s="41">
        <v>100</v>
      </c>
      <c r="G7" s="39">
        <v>6</v>
      </c>
      <c r="H7" s="14" t="s">
        <v>56</v>
      </c>
      <c r="I7" s="38" t="str">
        <f t="shared" si="0"/>
        <v>0130</v>
      </c>
      <c r="J7">
        <v>352</v>
      </c>
      <c r="K7">
        <v>352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54</v>
      </c>
      <c r="C8" s="15"/>
      <c r="D8" s="15"/>
      <c r="E8" s="41"/>
      <c r="G8" s="39">
        <v>7</v>
      </c>
      <c r="H8" s="14" t="s">
        <v>57</v>
      </c>
      <c r="I8" s="38" t="str">
        <f t="shared" si="0"/>
        <v>0145</v>
      </c>
      <c r="J8">
        <v>317.36799999999999</v>
      </c>
      <c r="K8">
        <v>317.36799999999999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54</v>
      </c>
      <c r="C9" s="15"/>
      <c r="D9" s="15"/>
      <c r="E9" s="41"/>
      <c r="G9" s="39">
        <v>8</v>
      </c>
      <c r="H9" s="14" t="s">
        <v>58</v>
      </c>
      <c r="I9" s="38" t="str">
        <f t="shared" si="0"/>
        <v>0200</v>
      </c>
      <c r="J9">
        <v>322</v>
      </c>
      <c r="K9">
        <v>322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54</v>
      </c>
      <c r="C10" s="15"/>
      <c r="D10" s="15"/>
      <c r="E10" s="41"/>
      <c r="G10" s="39">
        <v>9</v>
      </c>
      <c r="H10" s="14" t="s">
        <v>59</v>
      </c>
      <c r="I10" s="38" t="str">
        <f t="shared" si="0"/>
        <v>0215</v>
      </c>
      <c r="J10">
        <v>317.33999999999997</v>
      </c>
      <c r="K10">
        <v>317.33999999999997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60</v>
      </c>
      <c r="C11" s="15">
        <v>0</v>
      </c>
      <c r="D11" s="15">
        <v>95</v>
      </c>
      <c r="E11" s="41">
        <v>250</v>
      </c>
      <c r="G11" s="39">
        <v>10</v>
      </c>
      <c r="H11" s="14" t="s">
        <v>61</v>
      </c>
      <c r="I11" s="38" t="str">
        <f t="shared" si="0"/>
        <v>0230</v>
      </c>
      <c r="J11">
        <v>317.39600000000002</v>
      </c>
      <c r="K11">
        <v>317.39600000000002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60</v>
      </c>
      <c r="C12" s="15">
        <v>95</v>
      </c>
      <c r="D12" s="15">
        <v>100</v>
      </c>
      <c r="E12" s="54">
        <v>300</v>
      </c>
      <c r="G12" s="39">
        <v>11</v>
      </c>
      <c r="H12" s="14" t="s">
        <v>62</v>
      </c>
      <c r="I12" s="38" t="str">
        <f t="shared" si="0"/>
        <v>0245</v>
      </c>
      <c r="J12">
        <v>308</v>
      </c>
      <c r="K12">
        <v>308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60</v>
      </c>
      <c r="C13" s="15"/>
      <c r="D13" s="15"/>
      <c r="E13" s="54"/>
      <c r="G13" s="39">
        <v>12</v>
      </c>
      <c r="H13" s="14" t="s">
        <v>63</v>
      </c>
      <c r="I13" s="38" t="str">
        <f t="shared" si="0"/>
        <v>0300</v>
      </c>
      <c r="J13">
        <v>305</v>
      </c>
      <c r="K13">
        <v>305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60</v>
      </c>
      <c r="C14" s="15"/>
      <c r="D14" s="15"/>
      <c r="E14" s="41"/>
      <c r="G14" s="39">
        <v>13</v>
      </c>
      <c r="H14" s="14" t="s">
        <v>64</v>
      </c>
      <c r="I14" s="38" t="str">
        <f t="shared" si="0"/>
        <v>0315</v>
      </c>
      <c r="J14">
        <v>307.55399999999997</v>
      </c>
      <c r="K14">
        <v>307.55399999999997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60</v>
      </c>
      <c r="C15" s="20"/>
      <c r="D15" s="20"/>
      <c r="E15" s="42"/>
      <c r="G15" s="39">
        <v>14</v>
      </c>
      <c r="H15" s="14" t="s">
        <v>65</v>
      </c>
      <c r="I15" s="38" t="str">
        <f t="shared" si="0"/>
        <v>0330</v>
      </c>
      <c r="J15">
        <v>307.762</v>
      </c>
      <c r="K15">
        <v>307.762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66</v>
      </c>
      <c r="I16" s="38" t="str">
        <f t="shared" si="0"/>
        <v>0345</v>
      </c>
      <c r="J16">
        <v>304</v>
      </c>
      <c r="K16">
        <v>304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67</v>
      </c>
      <c r="I17" s="38" t="str">
        <f t="shared" si="0"/>
        <v>0400</v>
      </c>
      <c r="J17">
        <v>291.95600000000002</v>
      </c>
      <c r="K17">
        <v>291.95600000000002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68</v>
      </c>
      <c r="B18" s="22">
        <v>0</v>
      </c>
      <c r="G18" s="39">
        <v>17</v>
      </c>
      <c r="H18" s="14" t="s">
        <v>69</v>
      </c>
      <c r="I18" s="38" t="str">
        <f t="shared" si="0"/>
        <v>0415</v>
      </c>
      <c r="J18">
        <v>304</v>
      </c>
      <c r="K18">
        <v>304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70</v>
      </c>
      <c r="B19" s="24">
        <v>100</v>
      </c>
      <c r="G19" s="39">
        <v>18</v>
      </c>
      <c r="H19" s="14" t="s">
        <v>71</v>
      </c>
      <c r="I19" s="38" t="str">
        <f t="shared" si="0"/>
        <v>0430</v>
      </c>
      <c r="J19">
        <v>295.02699999999999</v>
      </c>
      <c r="K19">
        <v>295.02699999999999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72</v>
      </c>
      <c r="B20" s="24">
        <v>180</v>
      </c>
      <c r="G20" s="39">
        <v>19</v>
      </c>
      <c r="H20" s="14" t="s">
        <v>73</v>
      </c>
      <c r="I20" s="38" t="str">
        <f t="shared" si="0"/>
        <v>0445</v>
      </c>
      <c r="J20">
        <v>336.274</v>
      </c>
      <c r="K20">
        <v>336.274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74</v>
      </c>
      <c r="B21" s="26">
        <v>0.9</v>
      </c>
      <c r="G21" s="39">
        <v>20</v>
      </c>
      <c r="H21" s="14" t="s">
        <v>75</v>
      </c>
      <c r="I21" s="38" t="str">
        <f t="shared" si="0"/>
        <v>0500</v>
      </c>
      <c r="J21">
        <v>146.22</v>
      </c>
      <c r="K21">
        <v>146.22</v>
      </c>
      <c r="L21" s="15">
        <f t="shared" si="1"/>
        <v>0</v>
      </c>
      <c r="M21" s="15">
        <f t="shared" si="2"/>
        <v>0.5</v>
      </c>
      <c r="N21" s="38">
        <v>0.5</v>
      </c>
    </row>
    <row r="22" spans="1:14" x14ac:dyDescent="0.3">
      <c r="G22" s="39">
        <v>21</v>
      </c>
      <c r="H22" s="14" t="s">
        <v>76</v>
      </c>
      <c r="I22" s="38" t="str">
        <f t="shared" si="0"/>
        <v>0515</v>
      </c>
      <c r="J22">
        <v>415</v>
      </c>
      <c r="K22">
        <v>415</v>
      </c>
      <c r="L22" s="15">
        <f t="shared" si="1"/>
        <v>0</v>
      </c>
      <c r="M22" s="15">
        <f t="shared" si="2"/>
        <v>0</v>
      </c>
      <c r="N22" s="38">
        <v>0</v>
      </c>
    </row>
    <row r="23" spans="1:14" x14ac:dyDescent="0.3">
      <c r="G23" s="39">
        <v>22</v>
      </c>
      <c r="H23" s="14" t="s">
        <v>77</v>
      </c>
      <c r="I23" s="38" t="str">
        <f t="shared" si="0"/>
        <v>0530</v>
      </c>
      <c r="J23">
        <v>495.84</v>
      </c>
      <c r="K23">
        <v>495.84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78</v>
      </c>
      <c r="I24" s="38" t="str">
        <f t="shared" si="0"/>
        <v>0545</v>
      </c>
      <c r="J24">
        <v>496.4</v>
      </c>
      <c r="K24">
        <v>496.4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79</v>
      </c>
      <c r="B25" s="28">
        <f>SUM(L:L)/4</f>
        <v>-181.28249999999997</v>
      </c>
      <c r="C25" s="28" t="s">
        <v>80</v>
      </c>
      <c r="D25" s="29">
        <f>SUM(M:M)/4</f>
        <v>171.00500000000002</v>
      </c>
      <c r="G25" s="39">
        <v>24</v>
      </c>
      <c r="H25" s="14" t="s">
        <v>81</v>
      </c>
      <c r="I25" s="38" t="str">
        <f t="shared" si="0"/>
        <v>0600</v>
      </c>
      <c r="J25">
        <v>418.38600000000002</v>
      </c>
      <c r="K25">
        <v>418.38600000000002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82</v>
      </c>
      <c r="B26" s="31">
        <f>B27/B25</f>
        <v>-82.231875663674103</v>
      </c>
      <c r="C26" s="38" t="s">
        <v>83</v>
      </c>
      <c r="D26" s="32">
        <f>D27/D25</f>
        <v>443.81761977719947</v>
      </c>
      <c r="G26" s="39">
        <v>25</v>
      </c>
      <c r="H26" s="14" t="s">
        <v>84</v>
      </c>
      <c r="I26" s="38" t="str">
        <f t="shared" si="0"/>
        <v>0615</v>
      </c>
      <c r="J26">
        <v>307.06900000000002</v>
      </c>
      <c r="K26">
        <v>307.06900000000002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85</v>
      </c>
      <c r="B27" s="33">
        <f>SUMPRODUCT(J:J,L:L)/4</f>
        <v>14907.199999999999</v>
      </c>
      <c r="C27" s="38" t="s">
        <v>86</v>
      </c>
      <c r="D27" s="34">
        <f t="array" ref="D27">SUMPRODUCT(K:K,M:M)/4</f>
        <v>75895.032070000001</v>
      </c>
      <c r="G27" s="39">
        <v>26</v>
      </c>
      <c r="H27" s="14" t="s">
        <v>87</v>
      </c>
      <c r="I27" s="38" t="str">
        <f t="shared" si="0"/>
        <v>0630</v>
      </c>
      <c r="J27">
        <v>310.32</v>
      </c>
      <c r="K27">
        <v>310.32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88</v>
      </c>
      <c r="B28" s="76">
        <f>D26-B26</f>
        <v>526.04949544087356</v>
      </c>
      <c r="C28" s="36" t="s">
        <v>89</v>
      </c>
      <c r="D28" s="37">
        <f>D27+B27</f>
        <v>90802.232069999998</v>
      </c>
      <c r="G28" s="39">
        <v>27</v>
      </c>
      <c r="H28" s="14" t="s">
        <v>90</v>
      </c>
      <c r="I28" s="38" t="str">
        <f t="shared" si="0"/>
        <v>0645</v>
      </c>
      <c r="J28">
        <v>-79.311999999999998</v>
      </c>
      <c r="K28">
        <v>-79.311999999999998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91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6">
        <f ca="1">充放测算!O4</f>
        <v>75970.765825000009</v>
      </c>
      <c r="G30" s="39">
        <v>29</v>
      </c>
      <c r="H30" s="14" t="s">
        <v>92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93</v>
      </c>
      <c r="I31" s="38" t="str">
        <f t="shared" si="0"/>
        <v>0730</v>
      </c>
      <c r="J31">
        <v>-80</v>
      </c>
      <c r="K31">
        <v>-80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94</v>
      </c>
      <c r="I32" s="38" t="str">
        <f t="shared" si="0"/>
        <v>0745</v>
      </c>
      <c r="J32">
        <v>-80</v>
      </c>
      <c r="K32">
        <v>-80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95</v>
      </c>
      <c r="I33" s="38" t="str">
        <f t="shared" si="0"/>
        <v>0800</v>
      </c>
      <c r="J33">
        <v>-80</v>
      </c>
      <c r="K33">
        <v>-80</v>
      </c>
      <c r="L33" s="15">
        <f t="shared" si="1"/>
        <v>0</v>
      </c>
      <c r="M33" s="15">
        <f t="shared" si="2"/>
        <v>0</v>
      </c>
      <c r="N33" s="38">
        <v>0</v>
      </c>
    </row>
    <row r="34" spans="1:14" x14ac:dyDescent="0.3">
      <c r="A34" s="59" t="s">
        <v>48</v>
      </c>
      <c r="B34" s="60" t="s">
        <v>49</v>
      </c>
      <c r="C34" s="60" t="s">
        <v>50</v>
      </c>
      <c r="D34" s="60" t="s">
        <v>51</v>
      </c>
      <c r="E34" s="61" t="s">
        <v>96</v>
      </c>
      <c r="G34" s="39">
        <v>33</v>
      </c>
      <c r="H34" s="14" t="s">
        <v>97</v>
      </c>
      <c r="I34" s="38" t="str">
        <f t="shared" ref="I34:I65" si="3">RIGHT(H34,4)</f>
        <v>0815</v>
      </c>
      <c r="J34">
        <v>-80</v>
      </c>
      <c r="K34">
        <v>-80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6"/>
      <c r="B35" s="62"/>
      <c r="C35" s="62"/>
      <c r="D35" s="62"/>
      <c r="E35" s="67"/>
      <c r="G35" s="39">
        <v>34</v>
      </c>
      <c r="H35" s="14" t="s">
        <v>98</v>
      </c>
      <c r="I35" s="38" t="str">
        <f t="shared" si="3"/>
        <v>0830</v>
      </c>
      <c r="J35">
        <v>-80</v>
      </c>
      <c r="K35">
        <v>-80</v>
      </c>
      <c r="L35" s="15">
        <f t="shared" si="4"/>
        <v>0</v>
      </c>
      <c r="M35" s="15">
        <f t="shared" si="5"/>
        <v>0</v>
      </c>
      <c r="N35" s="38">
        <v>0</v>
      </c>
    </row>
    <row r="36" spans="1:14" ht="16.2" customHeight="1" thickBot="1" x14ac:dyDescent="0.35">
      <c r="A36" s="68">
        <v>1</v>
      </c>
      <c r="B36" s="63" t="s">
        <v>54</v>
      </c>
      <c r="C36" s="63">
        <v>-100</v>
      </c>
      <c r="D36" s="63">
        <v>-95</v>
      </c>
      <c r="E36" s="63">
        <v>0</v>
      </c>
      <c r="G36" s="39">
        <v>35</v>
      </c>
      <c r="H36" s="14" t="s">
        <v>99</v>
      </c>
      <c r="I36" s="38" t="str">
        <f t="shared" si="3"/>
        <v>0845</v>
      </c>
      <c r="J36">
        <v>-80</v>
      </c>
      <c r="K36">
        <v>-80</v>
      </c>
      <c r="L36" s="15">
        <f t="shared" si="4"/>
        <v>0</v>
      </c>
      <c r="M36" s="15">
        <f t="shared" si="5"/>
        <v>0</v>
      </c>
      <c r="N36" s="38">
        <v>0</v>
      </c>
    </row>
    <row r="37" spans="1:14" ht="16.2" customHeight="1" thickBot="1" x14ac:dyDescent="0.35">
      <c r="A37" s="69">
        <v>2</v>
      </c>
      <c r="B37" s="64" t="s">
        <v>54</v>
      </c>
      <c r="C37" s="64">
        <v>-95</v>
      </c>
      <c r="D37" s="64">
        <v>0</v>
      </c>
      <c r="E37" s="64">
        <v>150</v>
      </c>
      <c r="G37" s="39">
        <v>36</v>
      </c>
      <c r="H37" s="14" t="s">
        <v>100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70">
        <v>3</v>
      </c>
      <c r="B38" s="65" t="s">
        <v>60</v>
      </c>
      <c r="C38" s="65">
        <v>0</v>
      </c>
      <c r="D38" s="65">
        <v>95</v>
      </c>
      <c r="E38" s="65">
        <v>280</v>
      </c>
      <c r="G38" s="39">
        <v>37</v>
      </c>
      <c r="H38" s="14" t="s">
        <v>101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71">
        <v>4</v>
      </c>
      <c r="B39" s="72" t="s">
        <v>60</v>
      </c>
      <c r="C39" s="72">
        <v>95</v>
      </c>
      <c r="D39" s="72">
        <v>100</v>
      </c>
      <c r="E39" s="72">
        <v>350</v>
      </c>
      <c r="G39" s="39">
        <v>38</v>
      </c>
      <c r="H39" s="14" t="s">
        <v>102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103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104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105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106</v>
      </c>
      <c r="I43" s="38" t="str">
        <f t="shared" si="3"/>
        <v>1030</v>
      </c>
      <c r="J43">
        <v>-100</v>
      </c>
      <c r="K43">
        <v>-100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107</v>
      </c>
      <c r="I44" s="38" t="str">
        <f t="shared" si="3"/>
        <v>1045</v>
      </c>
      <c r="J44">
        <v>-100</v>
      </c>
      <c r="K44">
        <v>-100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108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109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110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111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112</v>
      </c>
      <c r="I49" s="38" t="str">
        <f t="shared" si="3"/>
        <v>1200</v>
      </c>
      <c r="J49">
        <v>-80</v>
      </c>
      <c r="K49">
        <v>-80</v>
      </c>
      <c r="L49" s="15">
        <f t="shared" si="4"/>
        <v>-95</v>
      </c>
      <c r="M49" s="15">
        <f t="shared" si="5"/>
        <v>0</v>
      </c>
      <c r="N49" s="38">
        <v>-95</v>
      </c>
    </row>
    <row r="50" spans="7:14" x14ac:dyDescent="0.3">
      <c r="G50" s="39">
        <v>49</v>
      </c>
      <c r="H50" s="14" t="s">
        <v>113</v>
      </c>
      <c r="I50" s="38" t="str">
        <f t="shared" si="3"/>
        <v>1215</v>
      </c>
      <c r="J50">
        <v>-80</v>
      </c>
      <c r="K50">
        <v>-80</v>
      </c>
      <c r="L50" s="15">
        <f t="shared" si="4"/>
        <v>-95</v>
      </c>
      <c r="M50" s="15">
        <f t="shared" si="5"/>
        <v>0</v>
      </c>
      <c r="N50" s="38">
        <v>-95</v>
      </c>
    </row>
    <row r="51" spans="7:14" x14ac:dyDescent="0.3">
      <c r="G51" s="39">
        <v>50</v>
      </c>
      <c r="H51" s="14" t="s">
        <v>114</v>
      </c>
      <c r="I51" s="38" t="str">
        <f t="shared" si="3"/>
        <v>1230</v>
      </c>
      <c r="J51">
        <v>-80</v>
      </c>
      <c r="K51">
        <v>-80</v>
      </c>
      <c r="L51" s="15">
        <f t="shared" si="4"/>
        <v>-95</v>
      </c>
      <c r="M51" s="15">
        <f t="shared" si="5"/>
        <v>0</v>
      </c>
      <c r="N51" s="38">
        <v>-95</v>
      </c>
    </row>
    <row r="52" spans="7:14" x14ac:dyDescent="0.3">
      <c r="G52" s="39">
        <v>51</v>
      </c>
      <c r="H52" s="14" t="s">
        <v>115</v>
      </c>
      <c r="I52" s="38" t="str">
        <f t="shared" si="3"/>
        <v>1245</v>
      </c>
      <c r="J52">
        <v>-80</v>
      </c>
      <c r="K52">
        <v>-80</v>
      </c>
      <c r="L52" s="15">
        <f t="shared" si="4"/>
        <v>-95</v>
      </c>
      <c r="M52" s="15">
        <f t="shared" si="5"/>
        <v>0</v>
      </c>
      <c r="N52" s="38">
        <v>-95</v>
      </c>
    </row>
    <row r="53" spans="7:14" x14ac:dyDescent="0.3">
      <c r="G53" s="39">
        <v>52</v>
      </c>
      <c r="H53" s="14" t="s">
        <v>116</v>
      </c>
      <c r="I53" s="38" t="str">
        <f t="shared" si="3"/>
        <v>1300</v>
      </c>
      <c r="J53">
        <v>-80</v>
      </c>
      <c r="K53">
        <v>-80</v>
      </c>
      <c r="L53" s="15">
        <f t="shared" si="4"/>
        <v>-80.92</v>
      </c>
      <c r="M53" s="15">
        <f t="shared" si="5"/>
        <v>0</v>
      </c>
      <c r="N53" s="38">
        <v>-80.92</v>
      </c>
    </row>
    <row r="54" spans="7:14" x14ac:dyDescent="0.3">
      <c r="G54" s="39">
        <v>53</v>
      </c>
      <c r="H54" s="14" t="s">
        <v>117</v>
      </c>
      <c r="I54" s="38" t="str">
        <f t="shared" si="3"/>
        <v>1315</v>
      </c>
      <c r="J54">
        <v>-100</v>
      </c>
      <c r="K54">
        <v>-100</v>
      </c>
      <c r="L54" s="15">
        <f t="shared" si="4"/>
        <v>-80.92</v>
      </c>
      <c r="M54" s="15">
        <f t="shared" si="5"/>
        <v>0</v>
      </c>
      <c r="N54" s="38">
        <v>-80.92</v>
      </c>
    </row>
    <row r="55" spans="7:14" x14ac:dyDescent="0.3">
      <c r="G55" s="39">
        <v>54</v>
      </c>
      <c r="H55" s="14" t="s">
        <v>118</v>
      </c>
      <c r="I55" s="38" t="str">
        <f t="shared" si="3"/>
        <v>1330</v>
      </c>
      <c r="J55">
        <v>-80</v>
      </c>
      <c r="K55">
        <v>-80</v>
      </c>
      <c r="L55" s="15">
        <f t="shared" si="4"/>
        <v>-80.92</v>
      </c>
      <c r="M55" s="15">
        <f t="shared" si="5"/>
        <v>0</v>
      </c>
      <c r="N55" s="38">
        <v>-80.92</v>
      </c>
    </row>
    <row r="56" spans="7:14" x14ac:dyDescent="0.3">
      <c r="G56" s="39">
        <v>55</v>
      </c>
      <c r="H56" s="14" t="s">
        <v>119</v>
      </c>
      <c r="I56" s="38" t="str">
        <f t="shared" si="3"/>
        <v>1345</v>
      </c>
      <c r="J56">
        <v>-80</v>
      </c>
      <c r="K56">
        <v>-80</v>
      </c>
      <c r="L56" s="15">
        <f t="shared" si="4"/>
        <v>-80.92</v>
      </c>
      <c r="M56" s="15">
        <f t="shared" si="5"/>
        <v>0</v>
      </c>
      <c r="N56" s="38">
        <v>-80.92</v>
      </c>
    </row>
    <row r="57" spans="7:14" x14ac:dyDescent="0.3">
      <c r="G57" s="39">
        <v>56</v>
      </c>
      <c r="H57" s="14" t="s">
        <v>120</v>
      </c>
      <c r="I57" s="38" t="str">
        <f t="shared" si="3"/>
        <v>1400</v>
      </c>
      <c r="J57">
        <v>-80</v>
      </c>
      <c r="K57">
        <v>-80</v>
      </c>
      <c r="L57" s="15">
        <f t="shared" si="4"/>
        <v>0</v>
      </c>
      <c r="M57" s="15">
        <f t="shared" si="5"/>
        <v>0</v>
      </c>
      <c r="N57" s="38">
        <v>0</v>
      </c>
    </row>
    <row r="58" spans="7:14" x14ac:dyDescent="0.3">
      <c r="G58" s="39">
        <v>57</v>
      </c>
      <c r="H58" s="14" t="s">
        <v>121</v>
      </c>
      <c r="I58" s="38" t="str">
        <f t="shared" si="3"/>
        <v>1415</v>
      </c>
      <c r="J58">
        <v>-80</v>
      </c>
      <c r="K58">
        <v>-80</v>
      </c>
      <c r="L58" s="15">
        <f t="shared" si="4"/>
        <v>0</v>
      </c>
      <c r="M58" s="15">
        <f t="shared" si="5"/>
        <v>0</v>
      </c>
      <c r="N58" s="38">
        <v>0</v>
      </c>
    </row>
    <row r="59" spans="7:14" x14ac:dyDescent="0.3">
      <c r="G59" s="39">
        <v>58</v>
      </c>
      <c r="H59" s="14" t="s">
        <v>122</v>
      </c>
      <c r="I59" s="38" t="str">
        <f t="shared" si="3"/>
        <v>1430</v>
      </c>
      <c r="J59">
        <v>-80</v>
      </c>
      <c r="K59">
        <v>-80</v>
      </c>
      <c r="L59" s="15">
        <f t="shared" si="4"/>
        <v>0</v>
      </c>
      <c r="M59" s="15">
        <f t="shared" si="5"/>
        <v>0</v>
      </c>
      <c r="N59" s="38">
        <v>0</v>
      </c>
    </row>
    <row r="60" spans="7:14" x14ac:dyDescent="0.3">
      <c r="G60" s="39">
        <v>59</v>
      </c>
      <c r="H60" s="14" t="s">
        <v>123</v>
      </c>
      <c r="I60" s="38" t="str">
        <f t="shared" si="3"/>
        <v>1445</v>
      </c>
      <c r="J60">
        <v>-80</v>
      </c>
      <c r="K60">
        <v>-80</v>
      </c>
      <c r="L60" s="15">
        <f t="shared" si="4"/>
        <v>0</v>
      </c>
      <c r="M60" s="15">
        <f t="shared" si="5"/>
        <v>0</v>
      </c>
      <c r="N60" s="38">
        <v>0</v>
      </c>
    </row>
    <row r="61" spans="7:14" x14ac:dyDescent="0.3">
      <c r="G61" s="39">
        <v>60</v>
      </c>
      <c r="H61" s="14" t="s">
        <v>124</v>
      </c>
      <c r="I61" s="38" t="str">
        <f t="shared" si="3"/>
        <v>1500</v>
      </c>
      <c r="J61">
        <v>-80</v>
      </c>
      <c r="K61">
        <v>-80</v>
      </c>
      <c r="L61" s="15">
        <f t="shared" si="4"/>
        <v>0</v>
      </c>
      <c r="M61" s="15">
        <f t="shared" si="5"/>
        <v>0</v>
      </c>
      <c r="N61" s="38">
        <v>0</v>
      </c>
    </row>
    <row r="62" spans="7:14" x14ac:dyDescent="0.3">
      <c r="G62" s="39">
        <v>61</v>
      </c>
      <c r="H62" s="14" t="s">
        <v>125</v>
      </c>
      <c r="I62" s="38" t="str">
        <f t="shared" si="3"/>
        <v>1515</v>
      </c>
      <c r="J62">
        <v>-80</v>
      </c>
      <c r="K62">
        <v>-80</v>
      </c>
      <c r="L62" s="15">
        <f t="shared" si="4"/>
        <v>-7.15</v>
      </c>
      <c r="M62" s="15">
        <f t="shared" si="5"/>
        <v>0</v>
      </c>
      <c r="N62" s="38">
        <v>-7.15</v>
      </c>
    </row>
    <row r="63" spans="7:14" x14ac:dyDescent="0.3">
      <c r="G63" s="39">
        <v>62</v>
      </c>
      <c r="H63" s="14" t="s">
        <v>126</v>
      </c>
      <c r="I63" s="38" t="str">
        <f t="shared" si="3"/>
        <v>1530</v>
      </c>
      <c r="J63">
        <v>-80</v>
      </c>
      <c r="K63">
        <v>-80</v>
      </c>
      <c r="L63" s="15">
        <f t="shared" si="4"/>
        <v>-7.15</v>
      </c>
      <c r="M63" s="15">
        <f t="shared" si="5"/>
        <v>0</v>
      </c>
      <c r="N63" s="38">
        <v>-7.15</v>
      </c>
    </row>
    <row r="64" spans="7:14" x14ac:dyDescent="0.3">
      <c r="G64" s="39">
        <v>63</v>
      </c>
      <c r="H64" s="14" t="s">
        <v>127</v>
      </c>
      <c r="I64" s="38" t="str">
        <f t="shared" si="3"/>
        <v>1545</v>
      </c>
      <c r="J64">
        <v>-80</v>
      </c>
      <c r="K64">
        <v>-80</v>
      </c>
      <c r="L64" s="15">
        <f t="shared" si="4"/>
        <v>-7.15</v>
      </c>
      <c r="M64" s="15">
        <f t="shared" si="5"/>
        <v>0</v>
      </c>
      <c r="N64" s="38">
        <v>-7.15</v>
      </c>
    </row>
    <row r="65" spans="7:14" x14ac:dyDescent="0.3">
      <c r="G65" s="39">
        <v>64</v>
      </c>
      <c r="H65" s="14" t="s">
        <v>128</v>
      </c>
      <c r="I65" s="38" t="str">
        <f t="shared" si="3"/>
        <v>1600</v>
      </c>
      <c r="J65">
        <v>-80</v>
      </c>
      <c r="K65">
        <v>-80</v>
      </c>
      <c r="L65" s="15">
        <f t="shared" si="4"/>
        <v>0</v>
      </c>
      <c r="M65" s="15">
        <f t="shared" si="5"/>
        <v>0</v>
      </c>
      <c r="N65" s="38">
        <v>0</v>
      </c>
    </row>
    <row r="66" spans="7:14" x14ac:dyDescent="0.3">
      <c r="G66" s="39">
        <v>65</v>
      </c>
      <c r="H66" s="14" t="s">
        <v>129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0</v>
      </c>
      <c r="M66" s="15">
        <f t="shared" ref="M66:M97" si="8">IF(N66&gt;=0, N66, 0)</f>
        <v>0</v>
      </c>
      <c r="N66" s="38">
        <v>0</v>
      </c>
    </row>
    <row r="67" spans="7:14" x14ac:dyDescent="0.3">
      <c r="G67" s="39">
        <v>66</v>
      </c>
      <c r="H67" s="14" t="s">
        <v>130</v>
      </c>
      <c r="I67" s="38" t="str">
        <f t="shared" si="6"/>
        <v>1630</v>
      </c>
      <c r="J67">
        <v>-85.266999999999996</v>
      </c>
      <c r="K67">
        <v>-85.266999999999996</v>
      </c>
      <c r="L67" s="15">
        <f t="shared" si="7"/>
        <v>0</v>
      </c>
      <c r="M67" s="15">
        <f t="shared" si="8"/>
        <v>0</v>
      </c>
      <c r="N67" s="38">
        <v>0</v>
      </c>
    </row>
    <row r="68" spans="7:14" x14ac:dyDescent="0.3">
      <c r="G68" s="39">
        <v>67</v>
      </c>
      <c r="H68" s="14" t="s">
        <v>131</v>
      </c>
      <c r="I68" s="38" t="str">
        <f t="shared" si="6"/>
        <v>1645</v>
      </c>
      <c r="J68">
        <v>-88.685000000000002</v>
      </c>
      <c r="K68">
        <v>-88.685000000000002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132</v>
      </c>
      <c r="I69" s="38" t="str">
        <f t="shared" si="6"/>
        <v>1700</v>
      </c>
      <c r="J69">
        <v>136.042</v>
      </c>
      <c r="K69">
        <v>136.042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133</v>
      </c>
      <c r="I70" s="38" t="str">
        <f t="shared" si="6"/>
        <v>1715</v>
      </c>
      <c r="J70">
        <v>461.51799999999997</v>
      </c>
      <c r="K70">
        <v>461.51799999999997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134</v>
      </c>
      <c r="I71" s="38" t="str">
        <f t="shared" si="6"/>
        <v>1730</v>
      </c>
      <c r="J71">
        <v>546.33100000000002</v>
      </c>
      <c r="K71">
        <v>546.33100000000002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135</v>
      </c>
      <c r="I72" s="38" t="str">
        <f t="shared" si="6"/>
        <v>1745</v>
      </c>
      <c r="J72">
        <v>660.95500000000004</v>
      </c>
      <c r="K72">
        <v>660.95500000000004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136</v>
      </c>
      <c r="I73" s="38" t="str">
        <f t="shared" si="6"/>
        <v>1800</v>
      </c>
      <c r="J73">
        <v>244.547</v>
      </c>
      <c r="K73">
        <v>244.547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137</v>
      </c>
      <c r="I74" s="38" t="str">
        <f t="shared" si="6"/>
        <v>1815</v>
      </c>
      <c r="J74">
        <v>234.19800000000001</v>
      </c>
      <c r="K74">
        <v>234.19800000000001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138</v>
      </c>
      <c r="I75" s="38" t="str">
        <f t="shared" si="6"/>
        <v>1830</v>
      </c>
      <c r="J75">
        <v>415.33499999999998</v>
      </c>
      <c r="K75">
        <v>415.33499999999998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139</v>
      </c>
      <c r="I76" s="38" t="str">
        <f t="shared" si="6"/>
        <v>1845</v>
      </c>
      <c r="J76">
        <v>559.53499999999997</v>
      </c>
      <c r="K76">
        <v>559.53499999999997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140</v>
      </c>
      <c r="I77" s="38" t="str">
        <f t="shared" si="6"/>
        <v>1900</v>
      </c>
      <c r="J77">
        <v>477.90899999999999</v>
      </c>
      <c r="K77">
        <v>477.90899999999999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141</v>
      </c>
      <c r="I78" s="38" t="str">
        <f t="shared" si="6"/>
        <v>1915</v>
      </c>
      <c r="J78">
        <v>501.77199999999999</v>
      </c>
      <c r="K78">
        <v>501.77199999999999</v>
      </c>
      <c r="L78" s="15">
        <f t="shared" si="7"/>
        <v>0</v>
      </c>
      <c r="M78" s="15">
        <f t="shared" si="8"/>
        <v>33.159999999999997</v>
      </c>
      <c r="N78" s="38">
        <v>33.159999999999997</v>
      </c>
    </row>
    <row r="79" spans="7:14" x14ac:dyDescent="0.3">
      <c r="G79" s="39">
        <v>78</v>
      </c>
      <c r="H79" s="14" t="s">
        <v>142</v>
      </c>
      <c r="I79" s="38" t="str">
        <f t="shared" si="6"/>
        <v>1930</v>
      </c>
      <c r="J79">
        <v>564.01900000000001</v>
      </c>
      <c r="K79">
        <v>564.01900000000001</v>
      </c>
      <c r="L79" s="15">
        <f t="shared" si="7"/>
        <v>0</v>
      </c>
      <c r="M79" s="15">
        <f t="shared" si="8"/>
        <v>39.24</v>
      </c>
      <c r="N79" s="38">
        <v>39.24</v>
      </c>
    </row>
    <row r="80" spans="7:14" x14ac:dyDescent="0.3">
      <c r="G80" s="39">
        <v>79</v>
      </c>
      <c r="H80" s="14" t="s">
        <v>143</v>
      </c>
      <c r="I80" s="38" t="str">
        <f t="shared" si="6"/>
        <v>1945</v>
      </c>
      <c r="J80">
        <v>560.23400000000004</v>
      </c>
      <c r="K80">
        <v>560.23400000000004</v>
      </c>
      <c r="L80" s="15">
        <f t="shared" si="7"/>
        <v>0</v>
      </c>
      <c r="M80" s="15">
        <f t="shared" si="8"/>
        <v>39.24</v>
      </c>
      <c r="N80" s="38">
        <v>39.24</v>
      </c>
    </row>
    <row r="81" spans="7:14" x14ac:dyDescent="0.3">
      <c r="G81" s="39">
        <v>80</v>
      </c>
      <c r="H81" s="14" t="s">
        <v>144</v>
      </c>
      <c r="I81" s="38" t="str">
        <f t="shared" si="6"/>
        <v>2000</v>
      </c>
      <c r="J81">
        <v>481.48500000000001</v>
      </c>
      <c r="K81">
        <v>481.48500000000001</v>
      </c>
      <c r="L81" s="15">
        <f t="shared" si="7"/>
        <v>0</v>
      </c>
      <c r="M81" s="15">
        <f t="shared" si="8"/>
        <v>39.24</v>
      </c>
      <c r="N81" s="38">
        <v>39.24</v>
      </c>
    </row>
    <row r="82" spans="7:14" x14ac:dyDescent="0.3">
      <c r="G82" s="39">
        <v>81</v>
      </c>
      <c r="H82" s="14" t="s">
        <v>145</v>
      </c>
      <c r="I82" s="38" t="str">
        <f t="shared" si="6"/>
        <v>2015</v>
      </c>
      <c r="J82">
        <v>456.26</v>
      </c>
      <c r="K82">
        <v>456.26</v>
      </c>
      <c r="L82" s="15">
        <f t="shared" si="7"/>
        <v>0</v>
      </c>
      <c r="M82" s="15">
        <f t="shared" si="8"/>
        <v>39.24</v>
      </c>
      <c r="N82" s="38">
        <v>39.24</v>
      </c>
    </row>
    <row r="83" spans="7:14" x14ac:dyDescent="0.3">
      <c r="G83" s="39">
        <v>82</v>
      </c>
      <c r="H83" s="14" t="s">
        <v>146</v>
      </c>
      <c r="I83" s="38" t="str">
        <f t="shared" si="6"/>
        <v>2030</v>
      </c>
      <c r="J83">
        <v>453.012</v>
      </c>
      <c r="K83">
        <v>453.012</v>
      </c>
      <c r="L83" s="15">
        <f t="shared" si="7"/>
        <v>0</v>
      </c>
      <c r="M83" s="15">
        <f t="shared" si="8"/>
        <v>79.680000000000007</v>
      </c>
      <c r="N83" s="38">
        <v>79.680000000000007</v>
      </c>
    </row>
    <row r="84" spans="7:14" x14ac:dyDescent="0.3">
      <c r="G84" s="39">
        <v>83</v>
      </c>
      <c r="H84" s="14" t="s">
        <v>147</v>
      </c>
      <c r="I84" s="38" t="str">
        <f t="shared" si="6"/>
        <v>2045</v>
      </c>
      <c r="J84">
        <v>432.25299999999999</v>
      </c>
      <c r="K84">
        <v>432.25299999999999</v>
      </c>
      <c r="L84" s="15">
        <f t="shared" si="7"/>
        <v>0</v>
      </c>
      <c r="M84" s="15">
        <f t="shared" si="8"/>
        <v>79.680000000000007</v>
      </c>
      <c r="N84" s="38">
        <v>79.680000000000007</v>
      </c>
    </row>
    <row r="85" spans="7:14" x14ac:dyDescent="0.3">
      <c r="G85" s="39">
        <v>84</v>
      </c>
      <c r="H85" s="14" t="s">
        <v>148</v>
      </c>
      <c r="I85" s="38" t="str">
        <f t="shared" si="6"/>
        <v>2100</v>
      </c>
      <c r="J85">
        <v>476.238</v>
      </c>
      <c r="K85">
        <v>476.238</v>
      </c>
      <c r="L85" s="15">
        <f t="shared" si="7"/>
        <v>0</v>
      </c>
      <c r="M85" s="15">
        <f t="shared" si="8"/>
        <v>79.680000000000007</v>
      </c>
      <c r="N85" s="38">
        <v>79.680000000000007</v>
      </c>
    </row>
    <row r="86" spans="7:14" x14ac:dyDescent="0.3">
      <c r="G86" s="39">
        <v>85</v>
      </c>
      <c r="H86" s="14" t="s">
        <v>149</v>
      </c>
      <c r="I86" s="38" t="str">
        <f t="shared" si="6"/>
        <v>2115</v>
      </c>
      <c r="J86">
        <v>444.70699999999999</v>
      </c>
      <c r="K86">
        <v>444.70699999999999</v>
      </c>
      <c r="L86" s="15">
        <f t="shared" si="7"/>
        <v>0</v>
      </c>
      <c r="M86" s="15">
        <f t="shared" si="8"/>
        <v>79.680000000000007</v>
      </c>
      <c r="N86" s="38">
        <v>79.680000000000007</v>
      </c>
    </row>
    <row r="87" spans="7:14" x14ac:dyDescent="0.3">
      <c r="G87" s="39">
        <v>86</v>
      </c>
      <c r="H87" s="14" t="s">
        <v>150</v>
      </c>
      <c r="I87" s="38" t="str">
        <f t="shared" si="6"/>
        <v>2130</v>
      </c>
      <c r="J87">
        <v>393.78300000000002</v>
      </c>
      <c r="K87">
        <v>393.78300000000002</v>
      </c>
      <c r="L87" s="15">
        <f t="shared" si="7"/>
        <v>0</v>
      </c>
      <c r="M87" s="15">
        <f t="shared" si="8"/>
        <v>79.680000000000007</v>
      </c>
      <c r="N87" s="38">
        <v>79.680000000000007</v>
      </c>
    </row>
    <row r="88" spans="7:14" x14ac:dyDescent="0.3">
      <c r="G88" s="39">
        <v>87</v>
      </c>
      <c r="H88" s="14" t="s">
        <v>151</v>
      </c>
      <c r="I88" s="38" t="str">
        <f t="shared" si="6"/>
        <v>2145</v>
      </c>
      <c r="J88">
        <v>322.73700000000002</v>
      </c>
      <c r="K88">
        <v>322.73700000000002</v>
      </c>
      <c r="L88" s="15">
        <f t="shared" si="7"/>
        <v>0</v>
      </c>
      <c r="M88" s="15">
        <f t="shared" si="8"/>
        <v>95</v>
      </c>
      <c r="N88" s="38">
        <v>95</v>
      </c>
    </row>
    <row r="89" spans="7:14" x14ac:dyDescent="0.3">
      <c r="G89" s="39">
        <v>88</v>
      </c>
      <c r="H89" s="14" t="s">
        <v>152</v>
      </c>
      <c r="I89" s="38" t="str">
        <f t="shared" si="6"/>
        <v>2200</v>
      </c>
      <c r="J89">
        <v>352.57</v>
      </c>
      <c r="K89">
        <v>352.57</v>
      </c>
      <c r="L89" s="15">
        <f t="shared" si="7"/>
        <v>0</v>
      </c>
      <c r="M89" s="15">
        <f t="shared" si="8"/>
        <v>0</v>
      </c>
      <c r="N89" s="38">
        <v>0</v>
      </c>
    </row>
    <row r="90" spans="7:14" x14ac:dyDescent="0.3">
      <c r="G90" s="39">
        <v>89</v>
      </c>
      <c r="H90" s="14" t="s">
        <v>153</v>
      </c>
      <c r="I90" s="38" t="str">
        <f t="shared" si="6"/>
        <v>2215</v>
      </c>
      <c r="J90">
        <v>351.43200000000002</v>
      </c>
      <c r="K90">
        <v>351.43200000000002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154</v>
      </c>
      <c r="I91" s="38" t="str">
        <f t="shared" si="6"/>
        <v>2230</v>
      </c>
      <c r="J91">
        <v>380.05099999999999</v>
      </c>
      <c r="K91">
        <v>380.05099999999999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155</v>
      </c>
      <c r="I92" s="38" t="str">
        <f t="shared" si="6"/>
        <v>2245</v>
      </c>
      <c r="J92">
        <v>481.46899999999999</v>
      </c>
      <c r="K92">
        <v>481.46899999999999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156</v>
      </c>
      <c r="I93" s="38" t="str">
        <f t="shared" si="6"/>
        <v>2300</v>
      </c>
      <c r="J93">
        <v>446</v>
      </c>
      <c r="K93">
        <v>446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157</v>
      </c>
      <c r="I94" s="38" t="str">
        <f t="shared" si="6"/>
        <v>2315</v>
      </c>
      <c r="J94">
        <v>393.64</v>
      </c>
      <c r="K94">
        <v>393.64</v>
      </c>
      <c r="L94" s="15">
        <f t="shared" si="7"/>
        <v>0</v>
      </c>
      <c r="M94" s="15">
        <f t="shared" si="8"/>
        <v>0</v>
      </c>
      <c r="N94" s="38">
        <v>0</v>
      </c>
    </row>
    <row r="95" spans="7:14" x14ac:dyDescent="0.3">
      <c r="G95" s="39">
        <v>94</v>
      </c>
      <c r="H95" s="14" t="s">
        <v>158</v>
      </c>
      <c r="I95" s="38" t="str">
        <f t="shared" si="6"/>
        <v>2330</v>
      </c>
      <c r="J95">
        <v>339.584</v>
      </c>
      <c r="K95">
        <v>339.584</v>
      </c>
      <c r="L95" s="15">
        <f t="shared" si="7"/>
        <v>0</v>
      </c>
      <c r="M95" s="15">
        <f t="shared" si="8"/>
        <v>0</v>
      </c>
      <c r="N95" s="38">
        <v>0</v>
      </c>
    </row>
    <row r="96" spans="7:14" x14ac:dyDescent="0.3">
      <c r="G96" s="39">
        <v>95</v>
      </c>
      <c r="H96" s="14" t="s">
        <v>159</v>
      </c>
      <c r="I96" s="38" t="str">
        <f t="shared" si="6"/>
        <v>2345</v>
      </c>
      <c r="J96">
        <v>330.15499999999997</v>
      </c>
      <c r="K96">
        <v>330.15499999999997</v>
      </c>
      <c r="L96" s="15">
        <f t="shared" si="7"/>
        <v>0</v>
      </c>
      <c r="M96" s="15">
        <f t="shared" si="8"/>
        <v>0</v>
      </c>
      <c r="N96" s="38">
        <v>0</v>
      </c>
    </row>
    <row r="97" spans="7:14" x14ac:dyDescent="0.3">
      <c r="G97" s="39">
        <v>96</v>
      </c>
      <c r="H97" s="14" t="s">
        <v>160</v>
      </c>
      <c r="I97" s="38" t="str">
        <f t="shared" si="6"/>
        <v>2400</v>
      </c>
      <c r="J97">
        <v>337.863</v>
      </c>
      <c r="K97">
        <v>337.863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3"/>
  <sheetViews>
    <sheetView tabSelected="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4" customWidth="1"/>
    <col min="2" max="5" width="15.21875" style="57" customWidth="1"/>
    <col min="6" max="17" width="7.44140625" style="57" customWidth="1"/>
    <col min="18" max="19" width="10.6640625" style="57" customWidth="1"/>
    <col min="20" max="16384" width="10.6640625" style="57"/>
  </cols>
  <sheetData>
    <row r="1" spans="1:17" ht="15" customHeight="1" x14ac:dyDescent="0.25">
      <c r="A1" s="1" t="s">
        <v>161</v>
      </c>
      <c r="B1" s="2"/>
      <c r="C1" s="3">
        <v>70.5</v>
      </c>
    </row>
    <row r="2" spans="1:17" ht="15" customHeight="1" x14ac:dyDescent="0.25">
      <c r="J2" s="74"/>
      <c r="K2" s="74"/>
      <c r="L2" s="74"/>
    </row>
    <row r="3" spans="1:17" ht="15" customHeight="1" x14ac:dyDescent="0.25">
      <c r="A3" s="4" t="s">
        <v>162</v>
      </c>
      <c r="B3" s="5"/>
      <c r="C3" s="6">
        <f t="array" aca="1" ref="C3" ca="1">SUMPRODUCT(C8:C103,D8:D103)/SUM(C8:C103)</f>
        <v>1.1272727272727272</v>
      </c>
      <c r="E3" s="4" t="s">
        <v>163</v>
      </c>
      <c r="F3" s="5"/>
      <c r="G3" s="6">
        <f t="array" aca="1" ref="G3" ca="1">SUMPRODUCT(D8:D103,E8:E103)/SUM(E8:E103)</f>
        <v>0.9289989381214403</v>
      </c>
      <c r="H3" s="74"/>
      <c r="J3" s="74"/>
      <c r="K3" s="74"/>
      <c r="L3" s="74"/>
    </row>
    <row r="4" spans="1:17" ht="15" customHeight="1" x14ac:dyDescent="0.25">
      <c r="F4" s="8"/>
      <c r="G4" s="8"/>
      <c r="H4" s="74"/>
      <c r="J4" s="74"/>
      <c r="K4" s="74"/>
      <c r="L4" s="74"/>
    </row>
    <row r="5" spans="1:17" ht="15" customHeight="1" x14ac:dyDescent="0.25">
      <c r="F5" s="8"/>
      <c r="G5" s="8"/>
      <c r="H5" s="74"/>
      <c r="J5" s="74"/>
      <c r="K5" s="74"/>
      <c r="L5" s="74"/>
    </row>
    <row r="6" spans="1:17" ht="15" customHeight="1" x14ac:dyDescent="0.25">
      <c r="A6" s="86" t="s">
        <v>38</v>
      </c>
      <c r="B6" s="86" t="s">
        <v>164</v>
      </c>
      <c r="C6" s="86" t="s">
        <v>165</v>
      </c>
      <c r="D6" s="73" t="s">
        <v>166</v>
      </c>
      <c r="E6" s="86" t="s">
        <v>167</v>
      </c>
      <c r="F6" s="89" t="s">
        <v>168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1"/>
    </row>
    <row r="7" spans="1:17" ht="15" customHeight="1" x14ac:dyDescent="0.25">
      <c r="A7" s="87"/>
      <c r="B7" s="88"/>
      <c r="C7" s="88"/>
      <c r="D7" s="55" t="s">
        <v>181</v>
      </c>
      <c r="E7" s="88"/>
      <c r="F7" s="9" t="s">
        <v>170</v>
      </c>
      <c r="G7" s="75" t="s">
        <v>171</v>
      </c>
      <c r="H7" s="75" t="s">
        <v>172</v>
      </c>
      <c r="I7" s="75" t="s">
        <v>173</v>
      </c>
      <c r="J7" s="75" t="s">
        <v>169</v>
      </c>
      <c r="K7" s="75" t="s">
        <v>174</v>
      </c>
      <c r="L7" s="75" t="s">
        <v>175</v>
      </c>
      <c r="M7" s="75" t="s">
        <v>176</v>
      </c>
      <c r="N7" s="75" t="s">
        <v>177</v>
      </c>
      <c r="O7" s="75" t="s">
        <v>178</v>
      </c>
      <c r="P7" s="75" t="s">
        <v>179</v>
      </c>
      <c r="Q7" s="11" t="s">
        <v>180</v>
      </c>
    </row>
    <row r="8" spans="1:17" ht="15" customHeight="1" x14ac:dyDescent="0.25">
      <c r="A8" s="83">
        <v>1</v>
      </c>
      <c r="B8" s="75">
        <v>1</v>
      </c>
      <c r="C8" s="75">
        <f t="shared" ref="C8:C39" si="0">IF(E8&lt;0,1,0)</f>
        <v>0</v>
      </c>
      <c r="D8" s="7">
        <f t="array" aca="1" ref="D8" ca="1">INDIRECT(ADDRESS(B8+ROW($D$7),MATCH($D$7,$F$7:$Q$7,0)+5))</f>
        <v>1</v>
      </c>
      <c r="E8" s="10">
        <f>报价及预中标!L2/4</f>
        <v>0</v>
      </c>
      <c r="F8" s="9">
        <v>1</v>
      </c>
      <c r="G8" s="9">
        <v>1</v>
      </c>
      <c r="H8" s="75">
        <v>1</v>
      </c>
      <c r="I8" s="75">
        <v>1</v>
      </c>
      <c r="J8" s="75">
        <v>1</v>
      </c>
      <c r="K8" s="75">
        <v>1</v>
      </c>
      <c r="L8" s="75">
        <v>0.3</v>
      </c>
      <c r="M8" s="75">
        <v>0.3</v>
      </c>
      <c r="N8" s="75">
        <v>1</v>
      </c>
      <c r="O8" s="75">
        <v>1</v>
      </c>
      <c r="P8" s="75">
        <v>1</v>
      </c>
      <c r="Q8" s="9">
        <v>1</v>
      </c>
    </row>
    <row r="9" spans="1:17" ht="15" customHeight="1" x14ac:dyDescent="0.25">
      <c r="A9" s="84"/>
      <c r="B9" s="75">
        <v>2</v>
      </c>
      <c r="C9" s="75">
        <f t="shared" si="0"/>
        <v>0</v>
      </c>
      <c r="D9" s="75">
        <f t="array" aca="1" ref="D9" ca="1">INDIRECT(ADDRESS(B9+ROW($D$7),MATCH($D$7,$F$7:$Q$7,0)+5))</f>
        <v>1</v>
      </c>
      <c r="E9" s="10">
        <f>报价及预中标!L3/4</f>
        <v>0</v>
      </c>
      <c r="F9" s="9">
        <v>1</v>
      </c>
      <c r="G9" s="9">
        <v>1</v>
      </c>
      <c r="H9" s="75">
        <v>1</v>
      </c>
      <c r="I9" s="75">
        <v>1</v>
      </c>
      <c r="J9" s="75">
        <v>1</v>
      </c>
      <c r="K9" s="75">
        <v>1</v>
      </c>
      <c r="L9" s="75">
        <v>0.3</v>
      </c>
      <c r="M9" s="75">
        <v>0.3</v>
      </c>
      <c r="N9" s="75">
        <v>1</v>
      </c>
      <c r="O9" s="75">
        <v>1</v>
      </c>
      <c r="P9" s="75">
        <v>1</v>
      </c>
      <c r="Q9" s="9">
        <v>1</v>
      </c>
    </row>
    <row r="10" spans="1:17" ht="15" customHeight="1" x14ac:dyDescent="0.25">
      <c r="A10" s="84"/>
      <c r="B10" s="75">
        <v>3</v>
      </c>
      <c r="C10" s="75">
        <f t="shared" si="0"/>
        <v>0</v>
      </c>
      <c r="D10" s="75">
        <f t="array" aca="1" ref="D10" ca="1">INDIRECT(ADDRESS(B10+ROW($D$7),MATCH($D$7,$F$7:$Q$7,0)+5))</f>
        <v>1</v>
      </c>
      <c r="E10" s="10">
        <f>报价及预中标!L4/4</f>
        <v>0</v>
      </c>
      <c r="F10" s="9">
        <v>1</v>
      </c>
      <c r="G10" s="9">
        <v>1</v>
      </c>
      <c r="H10" s="75">
        <v>1</v>
      </c>
      <c r="I10" s="75">
        <v>1</v>
      </c>
      <c r="J10" s="75">
        <v>1</v>
      </c>
      <c r="K10" s="75">
        <v>1</v>
      </c>
      <c r="L10" s="75">
        <v>0.3</v>
      </c>
      <c r="M10" s="75">
        <v>0.3</v>
      </c>
      <c r="N10" s="75">
        <v>1</v>
      </c>
      <c r="O10" s="75">
        <v>1</v>
      </c>
      <c r="P10" s="75">
        <v>1</v>
      </c>
      <c r="Q10" s="9">
        <v>1</v>
      </c>
    </row>
    <row r="11" spans="1:17" ht="15" customHeight="1" x14ac:dyDescent="0.25">
      <c r="A11" s="85"/>
      <c r="B11" s="75">
        <v>4</v>
      </c>
      <c r="C11" s="75">
        <f t="shared" si="0"/>
        <v>0</v>
      </c>
      <c r="D11" s="75">
        <f t="array" aca="1" ref="D11" ca="1">INDIRECT(ADDRESS(B11+ROW($D$7),MATCH($D$7,$F$7:$Q$7,0)+5))</f>
        <v>1</v>
      </c>
      <c r="E11" s="10">
        <f>报价及预中标!L5/4</f>
        <v>0</v>
      </c>
      <c r="F11" s="9">
        <v>1</v>
      </c>
      <c r="G11" s="9">
        <v>1</v>
      </c>
      <c r="H11" s="75">
        <v>1</v>
      </c>
      <c r="I11" s="75">
        <v>1</v>
      </c>
      <c r="J11" s="75">
        <v>1</v>
      </c>
      <c r="K11" s="75">
        <v>1</v>
      </c>
      <c r="L11" s="75">
        <v>0.3</v>
      </c>
      <c r="M11" s="75">
        <v>0.3</v>
      </c>
      <c r="N11" s="75">
        <v>1</v>
      </c>
      <c r="O11" s="75">
        <v>1</v>
      </c>
      <c r="P11" s="75">
        <v>1</v>
      </c>
      <c r="Q11" s="9">
        <v>1</v>
      </c>
    </row>
    <row r="12" spans="1:17" ht="15" customHeight="1" x14ac:dyDescent="0.25">
      <c r="A12" s="83">
        <v>2</v>
      </c>
      <c r="B12" s="75">
        <v>5</v>
      </c>
      <c r="C12" s="75">
        <f t="shared" si="0"/>
        <v>0</v>
      </c>
      <c r="D12" s="75">
        <f t="array" aca="1" ref="D12" ca="1">INDIRECT(ADDRESS(B12+ROW($D$7),MATCH($D$7,$F$7:$Q$7,0)+5))</f>
        <v>1</v>
      </c>
      <c r="E12" s="10">
        <f>报价及预中标!L6/4</f>
        <v>0</v>
      </c>
      <c r="F12" s="9">
        <v>0.3</v>
      </c>
      <c r="G12" s="9">
        <v>0.3</v>
      </c>
      <c r="H12" s="75">
        <v>1</v>
      </c>
      <c r="I12" s="75">
        <v>1</v>
      </c>
      <c r="J12" s="75">
        <v>1</v>
      </c>
      <c r="K12" s="75">
        <v>1</v>
      </c>
      <c r="L12" s="75">
        <v>0.3</v>
      </c>
      <c r="M12" s="75">
        <v>0.3</v>
      </c>
      <c r="N12" s="75">
        <v>1</v>
      </c>
      <c r="O12" s="75">
        <v>1</v>
      </c>
      <c r="P12" s="75">
        <v>1</v>
      </c>
      <c r="Q12" s="9">
        <v>0.3</v>
      </c>
    </row>
    <row r="13" spans="1:17" ht="15" customHeight="1" x14ac:dyDescent="0.25">
      <c r="A13" s="84"/>
      <c r="B13" s="75">
        <v>6</v>
      </c>
      <c r="C13" s="75">
        <f t="shared" si="0"/>
        <v>0</v>
      </c>
      <c r="D13" s="75">
        <f t="array" aca="1" ref="D13" ca="1">INDIRECT(ADDRESS(B13+ROW($D$7),MATCH($D$7,$F$7:$Q$7,0)+5))</f>
        <v>1</v>
      </c>
      <c r="E13" s="10">
        <f>报价及预中标!L7/4</f>
        <v>0</v>
      </c>
      <c r="F13" s="9">
        <v>0.3</v>
      </c>
      <c r="G13" s="9">
        <v>0.3</v>
      </c>
      <c r="H13" s="75">
        <v>1</v>
      </c>
      <c r="I13" s="75">
        <v>1</v>
      </c>
      <c r="J13" s="75">
        <v>1</v>
      </c>
      <c r="K13" s="75">
        <v>1</v>
      </c>
      <c r="L13" s="75">
        <v>0.3</v>
      </c>
      <c r="M13" s="75">
        <v>0.3</v>
      </c>
      <c r="N13" s="75">
        <v>1</v>
      </c>
      <c r="O13" s="75">
        <v>1</v>
      </c>
      <c r="P13" s="75">
        <v>1</v>
      </c>
      <c r="Q13" s="9">
        <v>0.3</v>
      </c>
    </row>
    <row r="14" spans="1:17" ht="15" customHeight="1" x14ac:dyDescent="0.25">
      <c r="A14" s="84"/>
      <c r="B14" s="75">
        <v>7</v>
      </c>
      <c r="C14" s="75">
        <f t="shared" si="0"/>
        <v>0</v>
      </c>
      <c r="D14" s="75">
        <f t="array" aca="1" ref="D14" ca="1">INDIRECT(ADDRESS(B14+ROW($D$7),MATCH($D$7,$F$7:$Q$7,0)+5))</f>
        <v>1</v>
      </c>
      <c r="E14" s="10">
        <f>报价及预中标!L8/4</f>
        <v>0</v>
      </c>
      <c r="F14" s="9">
        <v>0.3</v>
      </c>
      <c r="G14" s="9">
        <v>0.3</v>
      </c>
      <c r="H14" s="75">
        <v>1</v>
      </c>
      <c r="I14" s="75">
        <v>1</v>
      </c>
      <c r="J14" s="75">
        <v>1</v>
      </c>
      <c r="K14" s="75">
        <v>1</v>
      </c>
      <c r="L14" s="75">
        <v>0.3</v>
      </c>
      <c r="M14" s="75">
        <v>0.3</v>
      </c>
      <c r="N14" s="75">
        <v>1</v>
      </c>
      <c r="O14" s="75">
        <v>1</v>
      </c>
      <c r="P14" s="75">
        <v>1</v>
      </c>
      <c r="Q14" s="9">
        <v>0.3</v>
      </c>
    </row>
    <row r="15" spans="1:17" ht="15" customHeight="1" x14ac:dyDescent="0.25">
      <c r="A15" s="85"/>
      <c r="B15" s="75">
        <v>8</v>
      </c>
      <c r="C15" s="75">
        <f t="shared" si="0"/>
        <v>0</v>
      </c>
      <c r="D15" s="75">
        <f t="array" aca="1" ref="D15" ca="1">INDIRECT(ADDRESS(B15+ROW($D$7),MATCH($D$7,$F$7:$Q$7,0)+5))</f>
        <v>1</v>
      </c>
      <c r="E15" s="10">
        <f>报价及预中标!L9/4</f>
        <v>0</v>
      </c>
      <c r="F15" s="9">
        <v>0.3</v>
      </c>
      <c r="G15" s="9">
        <v>0.3</v>
      </c>
      <c r="H15" s="75">
        <v>1</v>
      </c>
      <c r="I15" s="75">
        <v>1</v>
      </c>
      <c r="J15" s="75">
        <v>1</v>
      </c>
      <c r="K15" s="75">
        <v>1</v>
      </c>
      <c r="L15" s="75">
        <v>0.3</v>
      </c>
      <c r="M15" s="75">
        <v>0.3</v>
      </c>
      <c r="N15" s="75">
        <v>1</v>
      </c>
      <c r="O15" s="75">
        <v>1</v>
      </c>
      <c r="P15" s="75">
        <v>1</v>
      </c>
      <c r="Q15" s="9">
        <v>0.3</v>
      </c>
    </row>
    <row r="16" spans="1:17" ht="15" customHeight="1" x14ac:dyDescent="0.25">
      <c r="A16" s="83">
        <v>3</v>
      </c>
      <c r="B16" s="75">
        <v>9</v>
      </c>
      <c r="C16" s="75">
        <f t="shared" si="0"/>
        <v>0</v>
      </c>
      <c r="D16" s="75">
        <f t="array" aca="1" ref="D16" ca="1">INDIRECT(ADDRESS(B16+ROW($D$7),MATCH($D$7,$F$7:$Q$7,0)+5))</f>
        <v>1</v>
      </c>
      <c r="E16" s="10">
        <f>报价及预中标!L10/4</f>
        <v>0</v>
      </c>
      <c r="F16" s="9">
        <v>0.3</v>
      </c>
      <c r="G16" s="9">
        <v>0.3</v>
      </c>
      <c r="H16" s="75">
        <v>1</v>
      </c>
      <c r="I16" s="75">
        <v>1</v>
      </c>
      <c r="J16" s="75">
        <v>1</v>
      </c>
      <c r="K16" s="75">
        <v>1</v>
      </c>
      <c r="L16" s="75">
        <v>0.3</v>
      </c>
      <c r="M16" s="75">
        <v>0.3</v>
      </c>
      <c r="N16" s="75">
        <v>1</v>
      </c>
      <c r="O16" s="75">
        <v>1</v>
      </c>
      <c r="P16" s="75">
        <v>1</v>
      </c>
      <c r="Q16" s="9">
        <v>0.3</v>
      </c>
    </row>
    <row r="17" spans="1:17" ht="15" customHeight="1" x14ac:dyDescent="0.25">
      <c r="A17" s="84"/>
      <c r="B17" s="75">
        <v>10</v>
      </c>
      <c r="C17" s="75">
        <f t="shared" si="0"/>
        <v>0</v>
      </c>
      <c r="D17" s="75">
        <f t="array" aca="1" ref="D17" ca="1">INDIRECT(ADDRESS(B17+ROW($D$7),MATCH($D$7,$F$7:$Q$7,0)+5))</f>
        <v>1</v>
      </c>
      <c r="E17" s="10">
        <f>报价及预中标!L11/4</f>
        <v>0</v>
      </c>
      <c r="F17" s="9">
        <v>0.3</v>
      </c>
      <c r="G17" s="9">
        <v>0.3</v>
      </c>
      <c r="H17" s="75">
        <v>1</v>
      </c>
      <c r="I17" s="75">
        <v>1</v>
      </c>
      <c r="J17" s="75">
        <v>1</v>
      </c>
      <c r="K17" s="75">
        <v>1</v>
      </c>
      <c r="L17" s="75">
        <v>0.3</v>
      </c>
      <c r="M17" s="75">
        <v>0.3</v>
      </c>
      <c r="N17" s="75">
        <v>1</v>
      </c>
      <c r="O17" s="75">
        <v>1</v>
      </c>
      <c r="P17" s="75">
        <v>1</v>
      </c>
      <c r="Q17" s="9">
        <v>0.3</v>
      </c>
    </row>
    <row r="18" spans="1:17" ht="15" customHeight="1" x14ac:dyDescent="0.25">
      <c r="A18" s="84"/>
      <c r="B18" s="75">
        <v>11</v>
      </c>
      <c r="C18" s="75">
        <f t="shared" si="0"/>
        <v>0</v>
      </c>
      <c r="D18" s="75">
        <f t="array" aca="1" ref="D18" ca="1">INDIRECT(ADDRESS(B18+ROW($D$7),MATCH($D$7,$F$7:$Q$7,0)+5))</f>
        <v>1</v>
      </c>
      <c r="E18" s="10">
        <f>报价及预中标!L12/4</f>
        <v>0</v>
      </c>
      <c r="F18" s="9">
        <v>0.3</v>
      </c>
      <c r="G18" s="9">
        <v>0.3</v>
      </c>
      <c r="H18" s="75">
        <v>1</v>
      </c>
      <c r="I18" s="75">
        <v>1</v>
      </c>
      <c r="J18" s="75">
        <v>1</v>
      </c>
      <c r="K18" s="75">
        <v>1</v>
      </c>
      <c r="L18" s="75">
        <v>0.3</v>
      </c>
      <c r="M18" s="75">
        <v>0.3</v>
      </c>
      <c r="N18" s="75">
        <v>1</v>
      </c>
      <c r="O18" s="75">
        <v>1</v>
      </c>
      <c r="P18" s="75">
        <v>1</v>
      </c>
      <c r="Q18" s="9">
        <v>0.3</v>
      </c>
    </row>
    <row r="19" spans="1:17" ht="15" customHeight="1" x14ac:dyDescent="0.25">
      <c r="A19" s="85"/>
      <c r="B19" s="75">
        <v>12</v>
      </c>
      <c r="C19" s="75">
        <f t="shared" si="0"/>
        <v>0</v>
      </c>
      <c r="D19" s="75">
        <f t="array" aca="1" ref="D19" ca="1">INDIRECT(ADDRESS(B19+ROW($D$7),MATCH($D$7,$F$7:$Q$7,0)+5))</f>
        <v>1</v>
      </c>
      <c r="E19" s="10">
        <f>报价及预中标!L13/4</f>
        <v>0</v>
      </c>
      <c r="F19" s="9">
        <v>0.3</v>
      </c>
      <c r="G19" s="9">
        <v>0.3</v>
      </c>
      <c r="H19" s="75">
        <v>1</v>
      </c>
      <c r="I19" s="75">
        <v>1</v>
      </c>
      <c r="J19" s="75">
        <v>1</v>
      </c>
      <c r="K19" s="75">
        <v>1</v>
      </c>
      <c r="L19" s="75">
        <v>0.3</v>
      </c>
      <c r="M19" s="75">
        <v>0.3</v>
      </c>
      <c r="N19" s="75">
        <v>1</v>
      </c>
      <c r="O19" s="75">
        <v>1</v>
      </c>
      <c r="P19" s="75">
        <v>1</v>
      </c>
      <c r="Q19" s="9">
        <v>0.3</v>
      </c>
    </row>
    <row r="20" spans="1:17" ht="15" customHeight="1" x14ac:dyDescent="0.25">
      <c r="A20" s="83">
        <v>4</v>
      </c>
      <c r="B20" s="75">
        <v>13</v>
      </c>
      <c r="C20" s="75">
        <f t="shared" si="0"/>
        <v>0</v>
      </c>
      <c r="D20" s="75">
        <f t="array" aca="1" ref="D20" ca="1">INDIRECT(ADDRESS(B20+ROW($D$7),MATCH($D$7,$F$7:$Q$7,0)+5))</f>
        <v>1</v>
      </c>
      <c r="E20" s="10">
        <f>报价及预中标!L14/4</f>
        <v>0</v>
      </c>
      <c r="F20" s="9">
        <v>0.3</v>
      </c>
      <c r="G20" s="9">
        <v>0.3</v>
      </c>
      <c r="H20" s="75">
        <v>1</v>
      </c>
      <c r="I20" s="75">
        <v>1</v>
      </c>
      <c r="J20" s="75">
        <v>1</v>
      </c>
      <c r="K20" s="75">
        <v>1</v>
      </c>
      <c r="L20" s="75">
        <v>0.3</v>
      </c>
      <c r="M20" s="75">
        <v>0.3</v>
      </c>
      <c r="N20" s="75">
        <v>1</v>
      </c>
      <c r="O20" s="75">
        <v>1</v>
      </c>
      <c r="P20" s="75">
        <v>1</v>
      </c>
      <c r="Q20" s="9">
        <v>0.3</v>
      </c>
    </row>
    <row r="21" spans="1:17" ht="15" customHeight="1" x14ac:dyDescent="0.25">
      <c r="A21" s="84"/>
      <c r="B21" s="75">
        <v>14</v>
      </c>
      <c r="C21" s="75">
        <f t="shared" si="0"/>
        <v>0</v>
      </c>
      <c r="D21" s="75">
        <f t="array" aca="1" ref="D21" ca="1">INDIRECT(ADDRESS(B21+ROW($D$7),MATCH($D$7,$F$7:$Q$7,0)+5))</f>
        <v>1</v>
      </c>
      <c r="E21" s="10">
        <f>报价及预中标!L15/4</f>
        <v>0</v>
      </c>
      <c r="F21" s="9">
        <v>0.3</v>
      </c>
      <c r="G21" s="9">
        <v>0.3</v>
      </c>
      <c r="H21" s="75">
        <v>1</v>
      </c>
      <c r="I21" s="75">
        <v>1</v>
      </c>
      <c r="J21" s="75">
        <v>1</v>
      </c>
      <c r="K21" s="75">
        <v>1</v>
      </c>
      <c r="L21" s="75">
        <v>0.3</v>
      </c>
      <c r="M21" s="75">
        <v>0.3</v>
      </c>
      <c r="N21" s="75">
        <v>1</v>
      </c>
      <c r="O21" s="75">
        <v>1</v>
      </c>
      <c r="P21" s="75">
        <v>1</v>
      </c>
      <c r="Q21" s="9">
        <v>0.3</v>
      </c>
    </row>
    <row r="22" spans="1:17" ht="15" customHeight="1" x14ac:dyDescent="0.25">
      <c r="A22" s="84"/>
      <c r="B22" s="75">
        <v>15</v>
      </c>
      <c r="C22" s="75">
        <f t="shared" si="0"/>
        <v>0</v>
      </c>
      <c r="D22" s="75">
        <f t="array" aca="1" ref="D22" ca="1">INDIRECT(ADDRESS(B22+ROW($D$7),MATCH($D$7,$F$7:$Q$7,0)+5))</f>
        <v>1</v>
      </c>
      <c r="E22" s="10">
        <f>报价及预中标!L16/4</f>
        <v>0</v>
      </c>
      <c r="F22" s="9">
        <v>0.3</v>
      </c>
      <c r="G22" s="9">
        <v>0.3</v>
      </c>
      <c r="H22" s="75">
        <v>1</v>
      </c>
      <c r="I22" s="75">
        <v>1</v>
      </c>
      <c r="J22" s="75">
        <v>1</v>
      </c>
      <c r="K22" s="75">
        <v>1</v>
      </c>
      <c r="L22" s="75">
        <v>0.3</v>
      </c>
      <c r="M22" s="75">
        <v>0.3</v>
      </c>
      <c r="N22" s="75">
        <v>1</v>
      </c>
      <c r="O22" s="75">
        <v>1</v>
      </c>
      <c r="P22" s="75">
        <v>1</v>
      </c>
      <c r="Q22" s="9">
        <v>0.3</v>
      </c>
    </row>
    <row r="23" spans="1:17" ht="15" customHeight="1" x14ac:dyDescent="0.25">
      <c r="A23" s="85"/>
      <c r="B23" s="75">
        <v>16</v>
      </c>
      <c r="C23" s="75">
        <f t="shared" si="0"/>
        <v>0</v>
      </c>
      <c r="D23" s="75">
        <f t="array" aca="1" ref="D23" ca="1">INDIRECT(ADDRESS(B23+ROW($D$7),MATCH($D$7,$F$7:$Q$7,0)+5))</f>
        <v>1</v>
      </c>
      <c r="E23" s="10">
        <f>报价及预中标!L17/4</f>
        <v>0</v>
      </c>
      <c r="F23" s="9">
        <v>0.3</v>
      </c>
      <c r="G23" s="9">
        <v>0.3</v>
      </c>
      <c r="H23" s="75">
        <v>1</v>
      </c>
      <c r="I23" s="75">
        <v>1</v>
      </c>
      <c r="J23" s="75">
        <v>1</v>
      </c>
      <c r="K23" s="75">
        <v>1</v>
      </c>
      <c r="L23" s="75">
        <v>0.3</v>
      </c>
      <c r="M23" s="75">
        <v>0.3</v>
      </c>
      <c r="N23" s="75">
        <v>1</v>
      </c>
      <c r="O23" s="75">
        <v>1</v>
      </c>
      <c r="P23" s="75">
        <v>1</v>
      </c>
      <c r="Q23" s="9">
        <v>0.3</v>
      </c>
    </row>
    <row r="24" spans="1:17" ht="15" customHeight="1" x14ac:dyDescent="0.25">
      <c r="A24" s="83">
        <v>5</v>
      </c>
      <c r="B24" s="75">
        <v>17</v>
      </c>
      <c r="C24" s="75">
        <f t="shared" si="0"/>
        <v>0</v>
      </c>
      <c r="D24" s="75">
        <f t="array" aca="1" ref="D24" ca="1">INDIRECT(ADDRESS(B24+ROW($D$7),MATCH($D$7,$F$7:$Q$7,0)+5))</f>
        <v>1</v>
      </c>
      <c r="E24" s="10">
        <f>报价及预中标!L18/4</f>
        <v>0</v>
      </c>
      <c r="F24" s="9">
        <v>0.3</v>
      </c>
      <c r="G24" s="9">
        <v>0.3</v>
      </c>
      <c r="H24" s="75">
        <v>1</v>
      </c>
      <c r="I24" s="75">
        <v>1</v>
      </c>
      <c r="J24" s="75">
        <v>1</v>
      </c>
      <c r="K24" s="75">
        <v>1</v>
      </c>
      <c r="L24" s="75">
        <v>0.3</v>
      </c>
      <c r="M24" s="75">
        <v>0.3</v>
      </c>
      <c r="N24" s="75">
        <v>1</v>
      </c>
      <c r="O24" s="75">
        <v>1</v>
      </c>
      <c r="P24" s="75">
        <v>1</v>
      </c>
      <c r="Q24" s="9">
        <v>0.3</v>
      </c>
    </row>
    <row r="25" spans="1:17" ht="15" customHeight="1" x14ac:dyDescent="0.25">
      <c r="A25" s="84"/>
      <c r="B25" s="75">
        <v>18</v>
      </c>
      <c r="C25" s="75">
        <f t="shared" si="0"/>
        <v>0</v>
      </c>
      <c r="D25" s="75">
        <f t="array" aca="1" ref="D25" ca="1">INDIRECT(ADDRESS(B25+ROW($D$7),MATCH($D$7,$F$7:$Q$7,0)+5))</f>
        <v>1</v>
      </c>
      <c r="E25" s="10">
        <f>报价及预中标!L19/4</f>
        <v>0</v>
      </c>
      <c r="F25" s="9">
        <v>0.3</v>
      </c>
      <c r="G25" s="9">
        <v>0.3</v>
      </c>
      <c r="H25" s="75">
        <v>1</v>
      </c>
      <c r="I25" s="75">
        <v>1</v>
      </c>
      <c r="J25" s="75">
        <v>1</v>
      </c>
      <c r="K25" s="75">
        <v>1</v>
      </c>
      <c r="L25" s="75">
        <v>0.3</v>
      </c>
      <c r="M25" s="75">
        <v>0.3</v>
      </c>
      <c r="N25" s="75">
        <v>1</v>
      </c>
      <c r="O25" s="75">
        <v>1</v>
      </c>
      <c r="P25" s="75">
        <v>1</v>
      </c>
      <c r="Q25" s="9">
        <v>0.3</v>
      </c>
    </row>
    <row r="26" spans="1:17" ht="15" customHeight="1" x14ac:dyDescent="0.25">
      <c r="A26" s="84"/>
      <c r="B26" s="75">
        <v>19</v>
      </c>
      <c r="C26" s="75">
        <f t="shared" si="0"/>
        <v>0</v>
      </c>
      <c r="D26" s="75">
        <f t="array" aca="1" ref="D26" ca="1">INDIRECT(ADDRESS(B26+ROW($D$7),MATCH($D$7,$F$7:$Q$7,0)+5))</f>
        <v>1</v>
      </c>
      <c r="E26" s="10">
        <f>报价及预中标!L20/4</f>
        <v>0</v>
      </c>
      <c r="F26" s="9">
        <v>0.3</v>
      </c>
      <c r="G26" s="9">
        <v>0.3</v>
      </c>
      <c r="H26" s="75">
        <v>1</v>
      </c>
      <c r="I26" s="75">
        <v>1</v>
      </c>
      <c r="J26" s="75">
        <v>1</v>
      </c>
      <c r="K26" s="75">
        <v>1</v>
      </c>
      <c r="L26" s="75">
        <v>0.3</v>
      </c>
      <c r="M26" s="75">
        <v>0.3</v>
      </c>
      <c r="N26" s="75">
        <v>1</v>
      </c>
      <c r="O26" s="75">
        <v>1</v>
      </c>
      <c r="P26" s="75">
        <v>1</v>
      </c>
      <c r="Q26" s="9">
        <v>0.3</v>
      </c>
    </row>
    <row r="27" spans="1:17" ht="15" customHeight="1" x14ac:dyDescent="0.25">
      <c r="A27" s="85"/>
      <c r="B27" s="75">
        <v>20</v>
      </c>
      <c r="C27" s="75">
        <f t="shared" si="0"/>
        <v>0</v>
      </c>
      <c r="D27" s="75">
        <f t="array" aca="1" ref="D27" ca="1">INDIRECT(ADDRESS(B27+ROW($D$7),MATCH($D$7,$F$7:$Q$7,0)+5))</f>
        <v>1</v>
      </c>
      <c r="E27" s="10">
        <f>报价及预中标!L21/4</f>
        <v>0</v>
      </c>
      <c r="F27" s="9">
        <v>0.3</v>
      </c>
      <c r="G27" s="9">
        <v>0.3</v>
      </c>
      <c r="H27" s="75">
        <v>1</v>
      </c>
      <c r="I27" s="75">
        <v>1</v>
      </c>
      <c r="J27" s="75">
        <v>1</v>
      </c>
      <c r="K27" s="75">
        <v>1</v>
      </c>
      <c r="L27" s="75">
        <v>0.3</v>
      </c>
      <c r="M27" s="75">
        <v>0.3</v>
      </c>
      <c r="N27" s="75">
        <v>1</v>
      </c>
      <c r="O27" s="75">
        <v>1</v>
      </c>
      <c r="P27" s="75">
        <v>1</v>
      </c>
      <c r="Q27" s="9">
        <v>0.3</v>
      </c>
    </row>
    <row r="28" spans="1:17" ht="15" customHeight="1" x14ac:dyDescent="0.25">
      <c r="A28" s="83">
        <v>6</v>
      </c>
      <c r="B28" s="75">
        <v>21</v>
      </c>
      <c r="C28" s="75">
        <f t="shared" si="0"/>
        <v>0</v>
      </c>
      <c r="D28" s="75">
        <f t="array" aca="1" ref="D28" ca="1">INDIRECT(ADDRESS(B28+ROW($D$7),MATCH($D$7,$F$7:$Q$7,0)+5))</f>
        <v>1</v>
      </c>
      <c r="E28" s="10">
        <f>报价及预中标!L22/4</f>
        <v>0</v>
      </c>
      <c r="F28" s="9">
        <v>0.3</v>
      </c>
      <c r="G28" s="9">
        <v>0.3</v>
      </c>
      <c r="H28" s="75">
        <v>1</v>
      </c>
      <c r="I28" s="75">
        <v>1</v>
      </c>
      <c r="J28" s="75">
        <v>1</v>
      </c>
      <c r="K28" s="75">
        <v>1</v>
      </c>
      <c r="L28" s="75">
        <v>0.3</v>
      </c>
      <c r="M28" s="75">
        <v>0.3</v>
      </c>
      <c r="N28" s="75">
        <v>1</v>
      </c>
      <c r="O28" s="75">
        <v>1</v>
      </c>
      <c r="P28" s="75">
        <v>1</v>
      </c>
      <c r="Q28" s="9">
        <v>0.3</v>
      </c>
    </row>
    <row r="29" spans="1:17" ht="15" customHeight="1" x14ac:dyDescent="0.25">
      <c r="A29" s="84"/>
      <c r="B29" s="75">
        <v>22</v>
      </c>
      <c r="C29" s="75">
        <f t="shared" si="0"/>
        <v>0</v>
      </c>
      <c r="D29" s="75">
        <f t="array" aca="1" ref="D29" ca="1">INDIRECT(ADDRESS(B29+ROW($D$7),MATCH($D$7,$F$7:$Q$7,0)+5))</f>
        <v>1</v>
      </c>
      <c r="E29" s="10">
        <f>报价及预中标!L23/4</f>
        <v>0</v>
      </c>
      <c r="F29" s="9">
        <v>0.3</v>
      </c>
      <c r="G29" s="9">
        <v>0.3</v>
      </c>
      <c r="H29" s="75">
        <v>1</v>
      </c>
      <c r="I29" s="75">
        <v>1</v>
      </c>
      <c r="J29" s="75">
        <v>1</v>
      </c>
      <c r="K29" s="75">
        <v>1</v>
      </c>
      <c r="L29" s="75">
        <v>0.3</v>
      </c>
      <c r="M29" s="75">
        <v>0.3</v>
      </c>
      <c r="N29" s="75">
        <v>1</v>
      </c>
      <c r="O29" s="75">
        <v>1</v>
      </c>
      <c r="P29" s="75">
        <v>1</v>
      </c>
      <c r="Q29" s="9">
        <v>0.3</v>
      </c>
    </row>
    <row r="30" spans="1:17" ht="15" customHeight="1" x14ac:dyDescent="0.25">
      <c r="A30" s="84"/>
      <c r="B30" s="75">
        <v>23</v>
      </c>
      <c r="C30" s="75">
        <f t="shared" si="0"/>
        <v>0</v>
      </c>
      <c r="D30" s="75">
        <f t="array" aca="1" ref="D30" ca="1">INDIRECT(ADDRESS(B30+ROW($D$7),MATCH($D$7,$F$7:$Q$7,0)+5))</f>
        <v>1</v>
      </c>
      <c r="E30" s="10">
        <f>报价及预中标!L24/4</f>
        <v>0</v>
      </c>
      <c r="F30" s="9">
        <v>0.3</v>
      </c>
      <c r="G30" s="9">
        <v>0.3</v>
      </c>
      <c r="H30" s="75">
        <v>1</v>
      </c>
      <c r="I30" s="75">
        <v>1</v>
      </c>
      <c r="J30" s="75">
        <v>1</v>
      </c>
      <c r="K30" s="75">
        <v>1</v>
      </c>
      <c r="L30" s="75">
        <v>0.3</v>
      </c>
      <c r="M30" s="75">
        <v>0.3</v>
      </c>
      <c r="N30" s="75">
        <v>1</v>
      </c>
      <c r="O30" s="75">
        <v>1</v>
      </c>
      <c r="P30" s="75">
        <v>1</v>
      </c>
      <c r="Q30" s="9">
        <v>0.3</v>
      </c>
    </row>
    <row r="31" spans="1:17" ht="15" customHeight="1" x14ac:dyDescent="0.25">
      <c r="A31" s="85"/>
      <c r="B31" s="75">
        <v>24</v>
      </c>
      <c r="C31" s="75">
        <f t="shared" si="0"/>
        <v>0</v>
      </c>
      <c r="D31" s="75">
        <f t="array" aca="1" ref="D31" ca="1">INDIRECT(ADDRESS(B31+ROW($D$7),MATCH($D$7,$F$7:$Q$7,0)+5))</f>
        <v>1</v>
      </c>
      <c r="E31" s="10">
        <f>报价及预中标!L25/4</f>
        <v>0</v>
      </c>
      <c r="F31" s="9">
        <v>0.3</v>
      </c>
      <c r="G31" s="9">
        <v>0.3</v>
      </c>
      <c r="H31" s="75">
        <v>1</v>
      </c>
      <c r="I31" s="75">
        <v>1</v>
      </c>
      <c r="J31" s="75">
        <v>1</v>
      </c>
      <c r="K31" s="75">
        <v>1</v>
      </c>
      <c r="L31" s="75">
        <v>0.3</v>
      </c>
      <c r="M31" s="75">
        <v>0.3</v>
      </c>
      <c r="N31" s="75">
        <v>1</v>
      </c>
      <c r="O31" s="75">
        <v>1</v>
      </c>
      <c r="P31" s="75">
        <v>1</v>
      </c>
      <c r="Q31" s="9">
        <v>0.3</v>
      </c>
    </row>
    <row r="32" spans="1:17" ht="15" customHeight="1" x14ac:dyDescent="0.25">
      <c r="A32" s="83">
        <v>7</v>
      </c>
      <c r="B32" s="75">
        <v>25</v>
      </c>
      <c r="C32" s="75">
        <f t="shared" si="0"/>
        <v>0</v>
      </c>
      <c r="D32" s="75">
        <f t="array" aca="1" ref="D32" ca="1">INDIRECT(ADDRESS(B32+ROW($D$7),MATCH($D$7,$F$7:$Q$7,0)+5))</f>
        <v>0.3</v>
      </c>
      <c r="E32" s="10">
        <f>报价及预中标!L26/4</f>
        <v>0</v>
      </c>
      <c r="F32" s="9">
        <v>1.7</v>
      </c>
      <c r="G32" s="9">
        <v>1.7</v>
      </c>
      <c r="H32" s="75">
        <v>1</v>
      </c>
      <c r="I32" s="75">
        <v>1</v>
      </c>
      <c r="J32" s="75">
        <v>1</v>
      </c>
      <c r="K32" s="75">
        <v>0.3</v>
      </c>
      <c r="L32" s="75">
        <v>1</v>
      </c>
      <c r="M32" s="75">
        <v>1</v>
      </c>
      <c r="N32" s="75">
        <v>1</v>
      </c>
      <c r="O32" s="75">
        <v>1</v>
      </c>
      <c r="P32" s="75">
        <v>1</v>
      </c>
      <c r="Q32" s="9">
        <v>1.7</v>
      </c>
    </row>
    <row r="33" spans="1:17" ht="15" customHeight="1" x14ac:dyDescent="0.25">
      <c r="A33" s="84"/>
      <c r="B33" s="75">
        <v>26</v>
      </c>
      <c r="C33" s="75">
        <f t="shared" si="0"/>
        <v>0</v>
      </c>
      <c r="D33" s="75">
        <f t="array" aca="1" ref="D33" ca="1">INDIRECT(ADDRESS(B33+ROW($D$7),MATCH($D$7,$F$7:$Q$7,0)+5))</f>
        <v>0.3</v>
      </c>
      <c r="E33" s="10">
        <f>报价及预中标!L27/4</f>
        <v>0</v>
      </c>
      <c r="F33" s="9">
        <v>1.7</v>
      </c>
      <c r="G33" s="9">
        <v>1.7</v>
      </c>
      <c r="H33" s="75">
        <v>1</v>
      </c>
      <c r="I33" s="75">
        <v>1</v>
      </c>
      <c r="J33" s="75">
        <v>1</v>
      </c>
      <c r="K33" s="75">
        <v>0.3</v>
      </c>
      <c r="L33" s="75">
        <v>1</v>
      </c>
      <c r="M33" s="75">
        <v>1</v>
      </c>
      <c r="N33" s="75">
        <v>1</v>
      </c>
      <c r="O33" s="75">
        <v>1</v>
      </c>
      <c r="P33" s="75">
        <v>1</v>
      </c>
      <c r="Q33" s="9">
        <v>1.7</v>
      </c>
    </row>
    <row r="34" spans="1:17" ht="15" customHeight="1" x14ac:dyDescent="0.25">
      <c r="A34" s="84"/>
      <c r="B34" s="75">
        <v>27</v>
      </c>
      <c r="C34" s="75">
        <f t="shared" si="0"/>
        <v>0</v>
      </c>
      <c r="D34" s="75">
        <f t="array" aca="1" ref="D34" ca="1">INDIRECT(ADDRESS(B34+ROW($D$7),MATCH($D$7,$F$7:$Q$7,0)+5))</f>
        <v>0.3</v>
      </c>
      <c r="E34" s="10">
        <f>报价及预中标!L28/4</f>
        <v>0</v>
      </c>
      <c r="F34" s="9">
        <v>1.7</v>
      </c>
      <c r="G34" s="9">
        <v>1.7</v>
      </c>
      <c r="H34" s="75">
        <v>1</v>
      </c>
      <c r="I34" s="75">
        <v>1</v>
      </c>
      <c r="J34" s="75">
        <v>1</v>
      </c>
      <c r="K34" s="75">
        <v>0.3</v>
      </c>
      <c r="L34" s="75">
        <v>1</v>
      </c>
      <c r="M34" s="75">
        <v>1</v>
      </c>
      <c r="N34" s="75">
        <v>1</v>
      </c>
      <c r="O34" s="75">
        <v>1</v>
      </c>
      <c r="P34" s="75">
        <v>1</v>
      </c>
      <c r="Q34" s="9">
        <v>1.7</v>
      </c>
    </row>
    <row r="35" spans="1:17" ht="15" customHeight="1" x14ac:dyDescent="0.25">
      <c r="A35" s="85"/>
      <c r="B35" s="75">
        <v>28</v>
      </c>
      <c r="C35" s="75">
        <f t="shared" si="0"/>
        <v>0</v>
      </c>
      <c r="D35" s="75">
        <f t="array" aca="1" ref="D35" ca="1">INDIRECT(ADDRESS(B35+ROW($D$7),MATCH($D$7,$F$7:$Q$7,0)+5))</f>
        <v>0.3</v>
      </c>
      <c r="E35" s="10">
        <f>报价及预中标!L29/4</f>
        <v>0</v>
      </c>
      <c r="F35" s="9">
        <v>1.7</v>
      </c>
      <c r="G35" s="9">
        <v>1.7</v>
      </c>
      <c r="H35" s="75">
        <v>1</v>
      </c>
      <c r="I35" s="75">
        <v>1</v>
      </c>
      <c r="J35" s="75">
        <v>1</v>
      </c>
      <c r="K35" s="75">
        <v>0.3</v>
      </c>
      <c r="L35" s="75">
        <v>1</v>
      </c>
      <c r="M35" s="75">
        <v>1</v>
      </c>
      <c r="N35" s="75">
        <v>1</v>
      </c>
      <c r="O35" s="75">
        <v>1</v>
      </c>
      <c r="P35" s="75">
        <v>1</v>
      </c>
      <c r="Q35" s="9">
        <v>1.7</v>
      </c>
    </row>
    <row r="36" spans="1:17" ht="15" customHeight="1" x14ac:dyDescent="0.25">
      <c r="A36" s="83">
        <v>8</v>
      </c>
      <c r="B36" s="75">
        <v>29</v>
      </c>
      <c r="C36" s="75">
        <f t="shared" si="0"/>
        <v>0</v>
      </c>
      <c r="D36" s="75">
        <f t="array" aca="1" ref="D36" ca="1">INDIRECT(ADDRESS(B36+ROW($D$7),MATCH($D$7,$F$7:$Q$7,0)+5))</f>
        <v>0.3</v>
      </c>
      <c r="E36" s="10">
        <f>报价及预中标!L30/4</f>
        <v>0</v>
      </c>
      <c r="F36" s="9">
        <v>1.7</v>
      </c>
      <c r="G36" s="9">
        <v>1.7</v>
      </c>
      <c r="H36" s="75">
        <v>1</v>
      </c>
      <c r="I36" s="75">
        <v>1</v>
      </c>
      <c r="J36" s="75">
        <v>1</v>
      </c>
      <c r="K36" s="75">
        <v>0.3</v>
      </c>
      <c r="L36" s="75">
        <v>1</v>
      </c>
      <c r="M36" s="75">
        <v>1</v>
      </c>
      <c r="N36" s="75">
        <v>1</v>
      </c>
      <c r="O36" s="75">
        <v>1</v>
      </c>
      <c r="P36" s="75">
        <v>1</v>
      </c>
      <c r="Q36" s="9">
        <v>1.7</v>
      </c>
    </row>
    <row r="37" spans="1:17" ht="15" customHeight="1" x14ac:dyDescent="0.25">
      <c r="A37" s="84"/>
      <c r="B37" s="75">
        <v>30</v>
      </c>
      <c r="C37" s="75">
        <f t="shared" si="0"/>
        <v>0</v>
      </c>
      <c r="D37" s="75">
        <f t="array" aca="1" ref="D37" ca="1">INDIRECT(ADDRESS(B37+ROW($D$7),MATCH($D$7,$F$7:$Q$7,0)+5))</f>
        <v>0.3</v>
      </c>
      <c r="E37" s="10">
        <f>报价及预中标!L31/4</f>
        <v>0</v>
      </c>
      <c r="F37" s="9">
        <v>1.7</v>
      </c>
      <c r="G37" s="9">
        <v>1.7</v>
      </c>
      <c r="H37" s="75">
        <v>1</v>
      </c>
      <c r="I37" s="75">
        <v>1</v>
      </c>
      <c r="J37" s="75">
        <v>1</v>
      </c>
      <c r="K37" s="75">
        <v>0.3</v>
      </c>
      <c r="L37" s="75">
        <v>1</v>
      </c>
      <c r="M37" s="75">
        <v>1</v>
      </c>
      <c r="N37" s="75">
        <v>1</v>
      </c>
      <c r="O37" s="75">
        <v>1</v>
      </c>
      <c r="P37" s="75">
        <v>1</v>
      </c>
      <c r="Q37" s="9">
        <v>1.7</v>
      </c>
    </row>
    <row r="38" spans="1:17" ht="15" customHeight="1" x14ac:dyDescent="0.25">
      <c r="A38" s="84"/>
      <c r="B38" s="75">
        <v>31</v>
      </c>
      <c r="C38" s="75">
        <f t="shared" si="0"/>
        <v>0</v>
      </c>
      <c r="D38" s="75">
        <f t="array" aca="1" ref="D38" ca="1">INDIRECT(ADDRESS(B38+ROW($D$7),MATCH($D$7,$F$7:$Q$7,0)+5))</f>
        <v>0.3</v>
      </c>
      <c r="E38" s="10">
        <f>报价及预中标!L32/4</f>
        <v>0</v>
      </c>
      <c r="F38" s="9">
        <v>1.7</v>
      </c>
      <c r="G38" s="9">
        <v>1.7</v>
      </c>
      <c r="H38" s="75">
        <v>1</v>
      </c>
      <c r="I38" s="75">
        <v>1</v>
      </c>
      <c r="J38" s="75">
        <v>1</v>
      </c>
      <c r="K38" s="75">
        <v>0.3</v>
      </c>
      <c r="L38" s="75">
        <v>1</v>
      </c>
      <c r="M38" s="75">
        <v>1</v>
      </c>
      <c r="N38" s="75">
        <v>1</v>
      </c>
      <c r="O38" s="75">
        <v>1</v>
      </c>
      <c r="P38" s="75">
        <v>1</v>
      </c>
      <c r="Q38" s="9">
        <v>1.7</v>
      </c>
    </row>
    <row r="39" spans="1:17" ht="15" customHeight="1" x14ac:dyDescent="0.25">
      <c r="A39" s="85"/>
      <c r="B39" s="75">
        <v>32</v>
      </c>
      <c r="C39" s="75">
        <f t="shared" si="0"/>
        <v>0</v>
      </c>
      <c r="D39" s="75">
        <f t="array" aca="1" ref="D39" ca="1">INDIRECT(ADDRESS(B39+ROW($D$7),MATCH($D$7,$F$7:$Q$7,0)+5))</f>
        <v>0.3</v>
      </c>
      <c r="E39" s="10">
        <f>报价及预中标!L33/4</f>
        <v>0</v>
      </c>
      <c r="F39" s="9">
        <v>1.7</v>
      </c>
      <c r="G39" s="9">
        <v>1.7</v>
      </c>
      <c r="H39" s="75">
        <v>1</v>
      </c>
      <c r="I39" s="75">
        <v>1</v>
      </c>
      <c r="J39" s="75">
        <v>1</v>
      </c>
      <c r="K39" s="75">
        <v>0.3</v>
      </c>
      <c r="L39" s="75">
        <v>1</v>
      </c>
      <c r="M39" s="75">
        <v>1</v>
      </c>
      <c r="N39" s="75">
        <v>1</v>
      </c>
      <c r="O39" s="75">
        <v>1</v>
      </c>
      <c r="P39" s="75">
        <v>1</v>
      </c>
      <c r="Q39" s="9">
        <v>1.7</v>
      </c>
    </row>
    <row r="40" spans="1:17" ht="15" customHeight="1" x14ac:dyDescent="0.25">
      <c r="A40" s="83">
        <v>9</v>
      </c>
      <c r="B40" s="75">
        <v>33</v>
      </c>
      <c r="C40" s="75">
        <f t="shared" ref="C40:C71" si="1">IF(E40&lt;0,1,0)</f>
        <v>0</v>
      </c>
      <c r="D40" s="75">
        <f t="array" aca="1" ref="D40" ca="1">INDIRECT(ADDRESS(B40+ROW($D$7),MATCH($D$7,$F$7:$Q$7,0)+5))</f>
        <v>0.3</v>
      </c>
      <c r="E40" s="10">
        <f>报价及预中标!L34/4</f>
        <v>0</v>
      </c>
      <c r="F40" s="9">
        <v>1.7</v>
      </c>
      <c r="G40" s="9">
        <v>1.7</v>
      </c>
      <c r="H40" s="75">
        <v>1</v>
      </c>
      <c r="I40" s="75">
        <v>1</v>
      </c>
      <c r="J40" s="75">
        <v>1</v>
      </c>
      <c r="K40" s="75">
        <v>0.3</v>
      </c>
      <c r="L40" s="75">
        <v>1</v>
      </c>
      <c r="M40" s="75">
        <v>1</v>
      </c>
      <c r="N40" s="75">
        <v>1</v>
      </c>
      <c r="O40" s="75">
        <v>1</v>
      </c>
      <c r="P40" s="75">
        <v>1</v>
      </c>
      <c r="Q40" s="9">
        <v>1.7</v>
      </c>
    </row>
    <row r="41" spans="1:17" ht="15" customHeight="1" x14ac:dyDescent="0.25">
      <c r="A41" s="84"/>
      <c r="B41" s="75">
        <v>34</v>
      </c>
      <c r="C41" s="75">
        <f t="shared" si="1"/>
        <v>0</v>
      </c>
      <c r="D41" s="75">
        <f t="array" aca="1" ref="D41" ca="1">INDIRECT(ADDRESS(B41+ROW($D$7),MATCH($D$7,$F$7:$Q$7,0)+5))</f>
        <v>0.3</v>
      </c>
      <c r="E41" s="10">
        <f>报价及预中标!L35/4</f>
        <v>0</v>
      </c>
      <c r="F41" s="9">
        <v>1.7</v>
      </c>
      <c r="G41" s="9">
        <v>1.7</v>
      </c>
      <c r="H41" s="75">
        <v>1</v>
      </c>
      <c r="I41" s="75">
        <v>1</v>
      </c>
      <c r="J41" s="75">
        <v>1</v>
      </c>
      <c r="K41" s="75">
        <v>0.3</v>
      </c>
      <c r="L41" s="75">
        <v>1</v>
      </c>
      <c r="M41" s="75">
        <v>1</v>
      </c>
      <c r="N41" s="75">
        <v>1</v>
      </c>
      <c r="O41" s="75">
        <v>1</v>
      </c>
      <c r="P41" s="75">
        <v>1</v>
      </c>
      <c r="Q41" s="9">
        <v>1.7</v>
      </c>
    </row>
    <row r="42" spans="1:17" ht="15" customHeight="1" x14ac:dyDescent="0.25">
      <c r="A42" s="84"/>
      <c r="B42" s="75">
        <v>35</v>
      </c>
      <c r="C42" s="75">
        <f t="shared" si="1"/>
        <v>0</v>
      </c>
      <c r="D42" s="75">
        <f t="array" aca="1" ref="D42" ca="1">INDIRECT(ADDRESS(B42+ROW($D$7),MATCH($D$7,$F$7:$Q$7,0)+5))</f>
        <v>0.3</v>
      </c>
      <c r="E42" s="10">
        <f>报价及预中标!L36/4</f>
        <v>0</v>
      </c>
      <c r="F42" s="9">
        <v>1.7</v>
      </c>
      <c r="G42" s="9">
        <v>1.7</v>
      </c>
      <c r="H42" s="75">
        <v>1</v>
      </c>
      <c r="I42" s="75">
        <v>1</v>
      </c>
      <c r="J42" s="75">
        <v>1</v>
      </c>
      <c r="K42" s="75">
        <v>0.3</v>
      </c>
      <c r="L42" s="75">
        <v>1</v>
      </c>
      <c r="M42" s="75">
        <v>1</v>
      </c>
      <c r="N42" s="75">
        <v>1</v>
      </c>
      <c r="O42" s="75">
        <v>1</v>
      </c>
      <c r="P42" s="75">
        <v>1</v>
      </c>
      <c r="Q42" s="9">
        <v>1.7</v>
      </c>
    </row>
    <row r="43" spans="1:17" ht="15" customHeight="1" x14ac:dyDescent="0.25">
      <c r="A43" s="85"/>
      <c r="B43" s="75">
        <v>36</v>
      </c>
      <c r="C43" s="75">
        <f t="shared" si="1"/>
        <v>0</v>
      </c>
      <c r="D43" s="75">
        <f t="array" aca="1" ref="D43" ca="1">INDIRECT(ADDRESS(B43+ROW($D$7),MATCH($D$7,$F$7:$Q$7,0)+5))</f>
        <v>0.3</v>
      </c>
      <c r="E43" s="10">
        <f>报价及预中标!L37/4</f>
        <v>0</v>
      </c>
      <c r="F43" s="9">
        <v>1.7</v>
      </c>
      <c r="G43" s="9">
        <v>1.7</v>
      </c>
      <c r="H43" s="75">
        <v>1</v>
      </c>
      <c r="I43" s="75">
        <v>1</v>
      </c>
      <c r="J43" s="75">
        <v>1</v>
      </c>
      <c r="K43" s="75">
        <v>0.3</v>
      </c>
      <c r="L43" s="75">
        <v>1</v>
      </c>
      <c r="M43" s="75">
        <v>1</v>
      </c>
      <c r="N43" s="75">
        <v>1</v>
      </c>
      <c r="O43" s="75">
        <v>1</v>
      </c>
      <c r="P43" s="75">
        <v>1</v>
      </c>
      <c r="Q43" s="9">
        <v>1.7</v>
      </c>
    </row>
    <row r="44" spans="1:17" ht="15" customHeight="1" x14ac:dyDescent="0.25">
      <c r="A44" s="83">
        <v>10</v>
      </c>
      <c r="B44" s="75">
        <v>37</v>
      </c>
      <c r="C44" s="75">
        <f t="shared" si="1"/>
        <v>0</v>
      </c>
      <c r="D44" s="75">
        <f t="array" aca="1" ref="D44" ca="1">INDIRECT(ADDRESS(B44+ROW($D$7),MATCH($D$7,$F$7:$Q$7,0)+5))</f>
        <v>0.3</v>
      </c>
      <c r="E44" s="10">
        <f>报价及预中标!L38/4</f>
        <v>0</v>
      </c>
      <c r="F44" s="9">
        <v>0.3</v>
      </c>
      <c r="G44" s="9">
        <v>0.3</v>
      </c>
      <c r="H44" s="75">
        <v>0.3</v>
      </c>
      <c r="I44" s="75">
        <v>0.3</v>
      </c>
      <c r="J44" s="75">
        <v>0.3</v>
      </c>
      <c r="K44" s="75">
        <v>0.3</v>
      </c>
      <c r="L44" s="75">
        <v>1</v>
      </c>
      <c r="M44" s="75">
        <v>1</v>
      </c>
      <c r="N44" s="75">
        <v>0.3</v>
      </c>
      <c r="O44" s="75">
        <v>0.3</v>
      </c>
      <c r="P44" s="75">
        <v>0.3</v>
      </c>
      <c r="Q44" s="9">
        <v>0.3</v>
      </c>
    </row>
    <row r="45" spans="1:17" ht="15" customHeight="1" x14ac:dyDescent="0.25">
      <c r="A45" s="84"/>
      <c r="B45" s="75">
        <v>38</v>
      </c>
      <c r="C45" s="75">
        <f t="shared" si="1"/>
        <v>0</v>
      </c>
      <c r="D45" s="75">
        <f t="array" aca="1" ref="D45" ca="1">INDIRECT(ADDRESS(B45+ROW($D$7),MATCH($D$7,$F$7:$Q$7,0)+5))</f>
        <v>0.3</v>
      </c>
      <c r="E45" s="10">
        <f>报价及预中标!L39/4</f>
        <v>0</v>
      </c>
      <c r="F45" s="9">
        <v>0.3</v>
      </c>
      <c r="G45" s="9">
        <v>0.3</v>
      </c>
      <c r="H45" s="75">
        <v>0.3</v>
      </c>
      <c r="I45" s="75">
        <v>0.3</v>
      </c>
      <c r="J45" s="75">
        <v>0.3</v>
      </c>
      <c r="K45" s="75">
        <v>0.3</v>
      </c>
      <c r="L45" s="75">
        <v>1</v>
      </c>
      <c r="M45" s="75">
        <v>1</v>
      </c>
      <c r="N45" s="75">
        <v>0.3</v>
      </c>
      <c r="O45" s="75">
        <v>0.3</v>
      </c>
      <c r="P45" s="75">
        <v>0.3</v>
      </c>
      <c r="Q45" s="9">
        <v>0.3</v>
      </c>
    </row>
    <row r="46" spans="1:17" ht="15" customHeight="1" x14ac:dyDescent="0.25">
      <c r="A46" s="84"/>
      <c r="B46" s="75">
        <v>39</v>
      </c>
      <c r="C46" s="75">
        <f t="shared" si="1"/>
        <v>0</v>
      </c>
      <c r="D46" s="75">
        <f t="array" aca="1" ref="D46" ca="1">INDIRECT(ADDRESS(B46+ROW($D$7),MATCH($D$7,$F$7:$Q$7,0)+5))</f>
        <v>0.3</v>
      </c>
      <c r="E46" s="10">
        <f>报价及预中标!L40/4</f>
        <v>0</v>
      </c>
      <c r="F46" s="9">
        <v>0.3</v>
      </c>
      <c r="G46" s="9">
        <v>0.3</v>
      </c>
      <c r="H46" s="75">
        <v>0.3</v>
      </c>
      <c r="I46" s="75">
        <v>0.3</v>
      </c>
      <c r="J46" s="75">
        <v>0.3</v>
      </c>
      <c r="K46" s="75">
        <v>0.3</v>
      </c>
      <c r="L46" s="75">
        <v>1</v>
      </c>
      <c r="M46" s="75">
        <v>1</v>
      </c>
      <c r="N46" s="75">
        <v>0.3</v>
      </c>
      <c r="O46" s="75">
        <v>0.3</v>
      </c>
      <c r="P46" s="75">
        <v>0.3</v>
      </c>
      <c r="Q46" s="9">
        <v>0.3</v>
      </c>
    </row>
    <row r="47" spans="1:17" ht="15" customHeight="1" x14ac:dyDescent="0.25">
      <c r="A47" s="85"/>
      <c r="B47" s="75">
        <v>40</v>
      </c>
      <c r="C47" s="75">
        <f t="shared" si="1"/>
        <v>0</v>
      </c>
      <c r="D47" s="75">
        <f t="array" aca="1" ref="D47" ca="1">INDIRECT(ADDRESS(B47+ROW($D$7),MATCH($D$7,$F$7:$Q$7,0)+5))</f>
        <v>0.3</v>
      </c>
      <c r="E47" s="10">
        <f>报价及预中标!L41/4</f>
        <v>0</v>
      </c>
      <c r="F47" s="9">
        <v>0.3</v>
      </c>
      <c r="G47" s="9">
        <v>0.3</v>
      </c>
      <c r="H47" s="75">
        <v>0.3</v>
      </c>
      <c r="I47" s="75">
        <v>0.3</v>
      </c>
      <c r="J47" s="75">
        <v>0.3</v>
      </c>
      <c r="K47" s="75">
        <v>0.3</v>
      </c>
      <c r="L47" s="75">
        <v>1</v>
      </c>
      <c r="M47" s="75">
        <v>1</v>
      </c>
      <c r="N47" s="75">
        <v>0.3</v>
      </c>
      <c r="O47" s="75">
        <v>0.3</v>
      </c>
      <c r="P47" s="75">
        <v>0.3</v>
      </c>
      <c r="Q47" s="9">
        <v>0.3</v>
      </c>
    </row>
    <row r="48" spans="1:17" ht="15" customHeight="1" x14ac:dyDescent="0.25">
      <c r="A48" s="83">
        <v>11</v>
      </c>
      <c r="B48" s="75">
        <v>41</v>
      </c>
      <c r="C48" s="75">
        <f t="shared" si="1"/>
        <v>0</v>
      </c>
      <c r="D48" s="75">
        <f t="array" aca="1" ref="D48" ca="1">INDIRECT(ADDRESS(B48+ROW($D$7),MATCH($D$7,$F$7:$Q$7,0)+5))</f>
        <v>0.3</v>
      </c>
      <c r="E48" s="10">
        <f>报价及预中标!L42/4</f>
        <v>0</v>
      </c>
      <c r="F48" s="9">
        <v>0.1</v>
      </c>
      <c r="G48" s="9">
        <v>0.1</v>
      </c>
      <c r="H48" s="75">
        <v>0.1</v>
      </c>
      <c r="I48" s="75">
        <v>0.1</v>
      </c>
      <c r="J48" s="75">
        <v>0.1</v>
      </c>
      <c r="K48" s="75">
        <v>0.3</v>
      </c>
      <c r="L48" s="75">
        <v>1</v>
      </c>
      <c r="M48" s="75">
        <v>1</v>
      </c>
      <c r="N48" s="75">
        <v>0.1</v>
      </c>
      <c r="O48" s="75">
        <v>0.1</v>
      </c>
      <c r="P48" s="75">
        <v>0.1</v>
      </c>
      <c r="Q48" s="9">
        <v>0.1</v>
      </c>
    </row>
    <row r="49" spans="1:17" ht="15" customHeight="1" x14ac:dyDescent="0.25">
      <c r="A49" s="84"/>
      <c r="B49" s="75">
        <v>42</v>
      </c>
      <c r="C49" s="75">
        <f t="shared" si="1"/>
        <v>0</v>
      </c>
      <c r="D49" s="75">
        <f t="array" aca="1" ref="D49" ca="1">INDIRECT(ADDRESS(B49+ROW($D$7),MATCH($D$7,$F$7:$Q$7,0)+5))</f>
        <v>0.3</v>
      </c>
      <c r="E49" s="10">
        <f>报价及预中标!L43/4</f>
        <v>0</v>
      </c>
      <c r="F49" s="9">
        <v>0.1</v>
      </c>
      <c r="G49" s="9">
        <v>0.1</v>
      </c>
      <c r="H49" s="75">
        <v>0.1</v>
      </c>
      <c r="I49" s="75">
        <v>0.1</v>
      </c>
      <c r="J49" s="75">
        <v>0.1</v>
      </c>
      <c r="K49" s="75">
        <v>0.3</v>
      </c>
      <c r="L49" s="75">
        <v>1</v>
      </c>
      <c r="M49" s="75">
        <v>1</v>
      </c>
      <c r="N49" s="75">
        <v>0.1</v>
      </c>
      <c r="O49" s="75">
        <v>0.1</v>
      </c>
      <c r="P49" s="75">
        <v>0.1</v>
      </c>
      <c r="Q49" s="9">
        <v>0.1</v>
      </c>
    </row>
    <row r="50" spans="1:17" ht="15" customHeight="1" x14ac:dyDescent="0.25">
      <c r="A50" s="84"/>
      <c r="B50" s="75">
        <v>43</v>
      </c>
      <c r="C50" s="75">
        <f t="shared" si="1"/>
        <v>0</v>
      </c>
      <c r="D50" s="75">
        <f t="array" aca="1" ref="D50" ca="1">INDIRECT(ADDRESS(B50+ROW($D$7),MATCH($D$7,$F$7:$Q$7,0)+5))</f>
        <v>0.3</v>
      </c>
      <c r="E50" s="10">
        <f>报价及预中标!L44/4</f>
        <v>0</v>
      </c>
      <c r="F50" s="9">
        <v>0.1</v>
      </c>
      <c r="G50" s="9">
        <v>0.1</v>
      </c>
      <c r="H50" s="75">
        <v>0.1</v>
      </c>
      <c r="I50" s="75">
        <v>0.1</v>
      </c>
      <c r="J50" s="75">
        <v>0.1</v>
      </c>
      <c r="K50" s="75">
        <v>0.3</v>
      </c>
      <c r="L50" s="75">
        <v>1</v>
      </c>
      <c r="M50" s="75">
        <v>1</v>
      </c>
      <c r="N50" s="75">
        <v>0.1</v>
      </c>
      <c r="O50" s="75">
        <v>0.1</v>
      </c>
      <c r="P50" s="75">
        <v>0.1</v>
      </c>
      <c r="Q50" s="9">
        <v>0.1</v>
      </c>
    </row>
    <row r="51" spans="1:17" ht="15" customHeight="1" x14ac:dyDescent="0.25">
      <c r="A51" s="85"/>
      <c r="B51" s="75">
        <v>44</v>
      </c>
      <c r="C51" s="75">
        <f t="shared" si="1"/>
        <v>0</v>
      </c>
      <c r="D51" s="75">
        <f t="array" aca="1" ref="D51" ca="1">INDIRECT(ADDRESS(B51+ROW($D$7),MATCH($D$7,$F$7:$Q$7,0)+5))</f>
        <v>0.3</v>
      </c>
      <c r="E51" s="10">
        <f>报价及预中标!L45/4</f>
        <v>0</v>
      </c>
      <c r="F51" s="9">
        <v>0.1</v>
      </c>
      <c r="G51" s="9">
        <v>0.1</v>
      </c>
      <c r="H51" s="75">
        <v>0.1</v>
      </c>
      <c r="I51" s="75">
        <v>0.1</v>
      </c>
      <c r="J51" s="75">
        <v>0.1</v>
      </c>
      <c r="K51" s="75">
        <v>0.3</v>
      </c>
      <c r="L51" s="75">
        <v>1</v>
      </c>
      <c r="M51" s="75">
        <v>1</v>
      </c>
      <c r="N51" s="75">
        <v>0.1</v>
      </c>
      <c r="O51" s="75">
        <v>0.1</v>
      </c>
      <c r="P51" s="75">
        <v>0.1</v>
      </c>
      <c r="Q51" s="9">
        <v>0.1</v>
      </c>
    </row>
    <row r="52" spans="1:17" ht="15" customHeight="1" x14ac:dyDescent="0.25">
      <c r="A52" s="83">
        <v>12</v>
      </c>
      <c r="B52" s="75">
        <v>45</v>
      </c>
      <c r="C52" s="75">
        <f t="shared" si="1"/>
        <v>0</v>
      </c>
      <c r="D52" s="75">
        <f t="array" aca="1" ref="D52" ca="1">INDIRECT(ADDRESS(B52+ROW($D$7),MATCH($D$7,$F$7:$Q$7,0)+5))</f>
        <v>0.3</v>
      </c>
      <c r="E52" s="10">
        <f>报价及预中标!L46/4</f>
        <v>0</v>
      </c>
      <c r="F52" s="9">
        <v>0.1</v>
      </c>
      <c r="G52" s="9">
        <v>0.1</v>
      </c>
      <c r="H52" s="75">
        <v>0.1</v>
      </c>
      <c r="I52" s="75">
        <v>0.1</v>
      </c>
      <c r="J52" s="75">
        <v>0.1</v>
      </c>
      <c r="K52" s="75">
        <v>0.3</v>
      </c>
      <c r="L52" s="75">
        <v>1</v>
      </c>
      <c r="M52" s="75">
        <v>1</v>
      </c>
      <c r="N52" s="75">
        <v>0.1</v>
      </c>
      <c r="O52" s="75">
        <v>0.1</v>
      </c>
      <c r="P52" s="75">
        <v>0.1</v>
      </c>
      <c r="Q52" s="9">
        <v>0.1</v>
      </c>
    </row>
    <row r="53" spans="1:17" ht="15" customHeight="1" x14ac:dyDescent="0.25">
      <c r="A53" s="84"/>
      <c r="B53" s="75">
        <v>46</v>
      </c>
      <c r="C53" s="75">
        <f t="shared" si="1"/>
        <v>0</v>
      </c>
      <c r="D53" s="75">
        <f t="array" aca="1" ref="D53" ca="1">INDIRECT(ADDRESS(B53+ROW($D$7),MATCH($D$7,$F$7:$Q$7,0)+5))</f>
        <v>0.3</v>
      </c>
      <c r="E53" s="10">
        <f>报价及预中标!L47/4</f>
        <v>0</v>
      </c>
      <c r="F53" s="9">
        <v>0.1</v>
      </c>
      <c r="G53" s="9">
        <v>0.1</v>
      </c>
      <c r="H53" s="75">
        <v>0.1</v>
      </c>
      <c r="I53" s="75">
        <v>0.1</v>
      </c>
      <c r="J53" s="75">
        <v>0.1</v>
      </c>
      <c r="K53" s="75">
        <v>0.3</v>
      </c>
      <c r="L53" s="75">
        <v>1</v>
      </c>
      <c r="M53" s="75">
        <v>1</v>
      </c>
      <c r="N53" s="75">
        <v>0.1</v>
      </c>
      <c r="O53" s="75">
        <v>0.1</v>
      </c>
      <c r="P53" s="75">
        <v>0.1</v>
      </c>
      <c r="Q53" s="9">
        <v>0.1</v>
      </c>
    </row>
    <row r="54" spans="1:17" ht="15" customHeight="1" x14ac:dyDescent="0.25">
      <c r="A54" s="84"/>
      <c r="B54" s="75">
        <v>47</v>
      </c>
      <c r="C54" s="75">
        <f t="shared" si="1"/>
        <v>0</v>
      </c>
      <c r="D54" s="75">
        <f t="array" aca="1" ref="D54" ca="1">INDIRECT(ADDRESS(B54+ROW($D$7),MATCH($D$7,$F$7:$Q$7,0)+5))</f>
        <v>0.3</v>
      </c>
      <c r="E54" s="10">
        <f>报价及预中标!L48/4</f>
        <v>0</v>
      </c>
      <c r="F54" s="9">
        <v>0.1</v>
      </c>
      <c r="G54" s="9">
        <v>0.1</v>
      </c>
      <c r="H54" s="75">
        <v>0.1</v>
      </c>
      <c r="I54" s="75">
        <v>0.1</v>
      </c>
      <c r="J54" s="75">
        <v>0.1</v>
      </c>
      <c r="K54" s="75">
        <v>0.3</v>
      </c>
      <c r="L54" s="75">
        <v>1</v>
      </c>
      <c r="M54" s="75">
        <v>1</v>
      </c>
      <c r="N54" s="75">
        <v>0.1</v>
      </c>
      <c r="O54" s="75">
        <v>0.1</v>
      </c>
      <c r="P54" s="75">
        <v>0.1</v>
      </c>
      <c r="Q54" s="9">
        <v>0.1</v>
      </c>
    </row>
    <row r="55" spans="1:17" ht="15" customHeight="1" x14ac:dyDescent="0.25">
      <c r="A55" s="85"/>
      <c r="B55" s="75">
        <v>48</v>
      </c>
      <c r="C55" s="75">
        <f t="shared" si="1"/>
        <v>1</v>
      </c>
      <c r="D55" s="75">
        <f t="array" aca="1" ref="D55" ca="1">INDIRECT(ADDRESS(B55+ROW($D$7),MATCH($D$7,$F$7:$Q$7,0)+5))</f>
        <v>0.3</v>
      </c>
      <c r="E55" s="10">
        <f>报价及预中标!L49/4</f>
        <v>-23.75</v>
      </c>
      <c r="F55" s="9">
        <v>0.1</v>
      </c>
      <c r="G55" s="9">
        <v>0.1</v>
      </c>
      <c r="H55" s="75">
        <v>0.1</v>
      </c>
      <c r="I55" s="75">
        <v>0.1</v>
      </c>
      <c r="J55" s="75">
        <v>0.1</v>
      </c>
      <c r="K55" s="75">
        <v>0.3</v>
      </c>
      <c r="L55" s="75">
        <v>1</v>
      </c>
      <c r="M55" s="75">
        <v>1</v>
      </c>
      <c r="N55" s="75">
        <v>0.1</v>
      </c>
      <c r="O55" s="75">
        <v>0.1</v>
      </c>
      <c r="P55" s="75">
        <v>0.1</v>
      </c>
      <c r="Q55" s="9">
        <v>0.1</v>
      </c>
    </row>
    <row r="56" spans="1:17" ht="15" customHeight="1" x14ac:dyDescent="0.25">
      <c r="A56" s="83">
        <v>13</v>
      </c>
      <c r="B56" s="75">
        <v>49</v>
      </c>
      <c r="C56" s="75">
        <f t="shared" si="1"/>
        <v>1</v>
      </c>
      <c r="D56" s="75">
        <f t="array" aca="1" ref="D56" ca="1">INDIRECT(ADDRESS(B56+ROW($D$7),MATCH($D$7,$F$7:$Q$7,0)+5))</f>
        <v>1</v>
      </c>
      <c r="E56" s="10">
        <f>报价及预中标!L50/4</f>
        <v>-23.75</v>
      </c>
      <c r="F56" s="9">
        <v>0.1</v>
      </c>
      <c r="G56" s="9">
        <v>0.1</v>
      </c>
      <c r="H56" s="75">
        <v>0.1</v>
      </c>
      <c r="I56" s="75">
        <v>0.1</v>
      </c>
      <c r="J56" s="75">
        <v>0.1</v>
      </c>
      <c r="K56" s="75">
        <v>1</v>
      </c>
      <c r="L56" s="75">
        <v>1</v>
      </c>
      <c r="M56" s="75">
        <v>1</v>
      </c>
      <c r="N56" s="75">
        <v>0.1</v>
      </c>
      <c r="O56" s="75">
        <v>0.1</v>
      </c>
      <c r="P56" s="75">
        <v>0.1</v>
      </c>
      <c r="Q56" s="9">
        <v>0.1</v>
      </c>
    </row>
    <row r="57" spans="1:17" ht="15" customHeight="1" x14ac:dyDescent="0.25">
      <c r="A57" s="84"/>
      <c r="B57" s="75">
        <v>50</v>
      </c>
      <c r="C57" s="75">
        <f t="shared" si="1"/>
        <v>1</v>
      </c>
      <c r="D57" s="75">
        <f t="array" aca="1" ref="D57" ca="1">INDIRECT(ADDRESS(B57+ROW($D$7),MATCH($D$7,$F$7:$Q$7,0)+5))</f>
        <v>1</v>
      </c>
      <c r="E57" s="10">
        <f>报价及预中标!L51/4</f>
        <v>-23.75</v>
      </c>
      <c r="F57" s="9">
        <v>0.1</v>
      </c>
      <c r="G57" s="9">
        <v>0.1</v>
      </c>
      <c r="H57" s="75">
        <v>0.1</v>
      </c>
      <c r="I57" s="75">
        <v>0.1</v>
      </c>
      <c r="J57" s="75">
        <v>0.1</v>
      </c>
      <c r="K57" s="75">
        <v>1</v>
      </c>
      <c r="L57" s="75">
        <v>1</v>
      </c>
      <c r="M57" s="75">
        <v>1</v>
      </c>
      <c r="N57" s="75">
        <v>0.1</v>
      </c>
      <c r="O57" s="75">
        <v>0.1</v>
      </c>
      <c r="P57" s="75">
        <v>0.1</v>
      </c>
      <c r="Q57" s="9">
        <v>0.1</v>
      </c>
    </row>
    <row r="58" spans="1:17" ht="15" customHeight="1" x14ac:dyDescent="0.25">
      <c r="A58" s="84"/>
      <c r="B58" s="75">
        <v>51</v>
      </c>
      <c r="C58" s="75">
        <f t="shared" si="1"/>
        <v>1</v>
      </c>
      <c r="D58" s="75">
        <f t="array" aca="1" ref="D58" ca="1">INDIRECT(ADDRESS(B58+ROW($D$7),MATCH($D$7,$F$7:$Q$7,0)+5))</f>
        <v>1</v>
      </c>
      <c r="E58" s="10">
        <f>报价及预中标!L52/4</f>
        <v>-23.75</v>
      </c>
      <c r="F58" s="9">
        <v>0.1</v>
      </c>
      <c r="G58" s="9">
        <v>0.1</v>
      </c>
      <c r="H58" s="75">
        <v>0.1</v>
      </c>
      <c r="I58" s="75">
        <v>0.1</v>
      </c>
      <c r="J58" s="75">
        <v>0.1</v>
      </c>
      <c r="K58" s="75">
        <v>1</v>
      </c>
      <c r="L58" s="75">
        <v>1</v>
      </c>
      <c r="M58" s="75">
        <v>1</v>
      </c>
      <c r="N58" s="75">
        <v>0.1</v>
      </c>
      <c r="O58" s="75">
        <v>0.1</v>
      </c>
      <c r="P58" s="75">
        <v>0.1</v>
      </c>
      <c r="Q58" s="9">
        <v>0.1</v>
      </c>
    </row>
    <row r="59" spans="1:17" ht="15" customHeight="1" x14ac:dyDescent="0.25">
      <c r="A59" s="85"/>
      <c r="B59" s="75">
        <v>52</v>
      </c>
      <c r="C59" s="75">
        <f t="shared" si="1"/>
        <v>1</v>
      </c>
      <c r="D59" s="75">
        <f t="array" aca="1" ref="D59" ca="1">INDIRECT(ADDRESS(B59+ROW($D$7),MATCH($D$7,$F$7:$Q$7,0)+5))</f>
        <v>1</v>
      </c>
      <c r="E59" s="10">
        <f>报价及预中标!L53/4</f>
        <v>-20.23</v>
      </c>
      <c r="F59" s="9">
        <v>0.1</v>
      </c>
      <c r="G59" s="9">
        <v>0.1</v>
      </c>
      <c r="H59" s="75">
        <v>0.1</v>
      </c>
      <c r="I59" s="75">
        <v>0.1</v>
      </c>
      <c r="J59" s="75">
        <v>0.1</v>
      </c>
      <c r="K59" s="75">
        <v>1</v>
      </c>
      <c r="L59" s="75">
        <v>1</v>
      </c>
      <c r="M59" s="75">
        <v>1</v>
      </c>
      <c r="N59" s="75">
        <v>0.1</v>
      </c>
      <c r="O59" s="75">
        <v>0.1</v>
      </c>
      <c r="P59" s="75">
        <v>0.1</v>
      </c>
      <c r="Q59" s="9">
        <v>0.1</v>
      </c>
    </row>
    <row r="60" spans="1:17" ht="15" customHeight="1" x14ac:dyDescent="0.25">
      <c r="A60" s="83">
        <v>14</v>
      </c>
      <c r="B60" s="75">
        <v>53</v>
      </c>
      <c r="C60" s="75">
        <f t="shared" si="1"/>
        <v>1</v>
      </c>
      <c r="D60" s="75">
        <f t="array" aca="1" ref="D60" ca="1">INDIRECT(ADDRESS(B60+ROW($D$7),MATCH($D$7,$F$7:$Q$7,0)+5))</f>
        <v>1</v>
      </c>
      <c r="E60" s="10">
        <f>报价及预中标!L54/4</f>
        <v>-20.23</v>
      </c>
      <c r="F60" s="9">
        <v>0.1</v>
      </c>
      <c r="G60" s="9">
        <v>0.1</v>
      </c>
      <c r="H60" s="75">
        <v>0.1</v>
      </c>
      <c r="I60" s="75">
        <v>0.1</v>
      </c>
      <c r="J60" s="75">
        <v>0.1</v>
      </c>
      <c r="K60" s="75">
        <v>1</v>
      </c>
      <c r="L60" s="75">
        <v>1</v>
      </c>
      <c r="M60" s="75">
        <v>1</v>
      </c>
      <c r="N60" s="75">
        <v>0.1</v>
      </c>
      <c r="O60" s="75">
        <v>0.1</v>
      </c>
      <c r="P60" s="75">
        <v>0.1</v>
      </c>
      <c r="Q60" s="9">
        <v>0.1</v>
      </c>
    </row>
    <row r="61" spans="1:17" ht="15" customHeight="1" x14ac:dyDescent="0.25">
      <c r="A61" s="84"/>
      <c r="B61" s="75">
        <v>54</v>
      </c>
      <c r="C61" s="75">
        <f t="shared" si="1"/>
        <v>1</v>
      </c>
      <c r="D61" s="75">
        <f t="array" aca="1" ref="D61" ca="1">INDIRECT(ADDRESS(B61+ROW($D$7),MATCH($D$7,$F$7:$Q$7,0)+5))</f>
        <v>1</v>
      </c>
      <c r="E61" s="10">
        <f>报价及预中标!L55/4</f>
        <v>-20.23</v>
      </c>
      <c r="F61" s="9">
        <v>0.1</v>
      </c>
      <c r="G61" s="9">
        <v>0.1</v>
      </c>
      <c r="H61" s="75">
        <v>0.1</v>
      </c>
      <c r="I61" s="75">
        <v>0.1</v>
      </c>
      <c r="J61" s="75">
        <v>0.1</v>
      </c>
      <c r="K61" s="75">
        <v>1</v>
      </c>
      <c r="L61" s="75">
        <v>1</v>
      </c>
      <c r="M61" s="75">
        <v>1</v>
      </c>
      <c r="N61" s="75">
        <v>0.1</v>
      </c>
      <c r="O61" s="75">
        <v>0.1</v>
      </c>
      <c r="P61" s="75">
        <v>0.1</v>
      </c>
      <c r="Q61" s="9">
        <v>0.1</v>
      </c>
    </row>
    <row r="62" spans="1:17" ht="15" customHeight="1" x14ac:dyDescent="0.25">
      <c r="A62" s="84"/>
      <c r="B62" s="75">
        <v>55</v>
      </c>
      <c r="C62" s="75">
        <f t="shared" si="1"/>
        <v>1</v>
      </c>
      <c r="D62" s="75">
        <f t="array" aca="1" ref="D62" ca="1">INDIRECT(ADDRESS(B62+ROW($D$7),MATCH($D$7,$F$7:$Q$7,0)+5))</f>
        <v>1</v>
      </c>
      <c r="E62" s="10">
        <f>报价及预中标!L56/4</f>
        <v>-20.23</v>
      </c>
      <c r="F62" s="9">
        <v>0.1</v>
      </c>
      <c r="G62" s="9">
        <v>0.1</v>
      </c>
      <c r="H62" s="75">
        <v>0.1</v>
      </c>
      <c r="I62" s="75">
        <v>0.1</v>
      </c>
      <c r="J62" s="75">
        <v>0.1</v>
      </c>
      <c r="K62" s="75">
        <v>1</v>
      </c>
      <c r="L62" s="75">
        <v>1</v>
      </c>
      <c r="M62" s="75">
        <v>1</v>
      </c>
      <c r="N62" s="75">
        <v>0.1</v>
      </c>
      <c r="O62" s="75">
        <v>0.1</v>
      </c>
      <c r="P62" s="75">
        <v>0.1</v>
      </c>
      <c r="Q62" s="9">
        <v>0.1</v>
      </c>
    </row>
    <row r="63" spans="1:17" ht="15" customHeight="1" x14ac:dyDescent="0.25">
      <c r="A63" s="85"/>
      <c r="B63" s="75">
        <v>56</v>
      </c>
      <c r="C63" s="75">
        <f t="shared" si="1"/>
        <v>0</v>
      </c>
      <c r="D63" s="75">
        <f t="array" aca="1" ref="D63" ca="1">INDIRECT(ADDRESS(B63+ROW($D$7),MATCH($D$7,$F$7:$Q$7,0)+5))</f>
        <v>1</v>
      </c>
      <c r="E63" s="10">
        <f>报价及预中标!L57/4</f>
        <v>0</v>
      </c>
      <c r="F63" s="9">
        <v>0.1</v>
      </c>
      <c r="G63" s="9">
        <v>0.1</v>
      </c>
      <c r="H63" s="75">
        <v>0.1</v>
      </c>
      <c r="I63" s="75">
        <v>0.1</v>
      </c>
      <c r="J63" s="75">
        <v>0.1</v>
      </c>
      <c r="K63" s="75">
        <v>1</v>
      </c>
      <c r="L63" s="75">
        <v>1</v>
      </c>
      <c r="M63" s="75">
        <v>1</v>
      </c>
      <c r="N63" s="75">
        <v>0.1</v>
      </c>
      <c r="O63" s="75">
        <v>0.1</v>
      </c>
      <c r="P63" s="75">
        <v>0.1</v>
      </c>
      <c r="Q63" s="9">
        <v>0.1</v>
      </c>
    </row>
    <row r="64" spans="1:17" ht="15" customHeight="1" x14ac:dyDescent="0.25">
      <c r="A64" s="83">
        <v>15</v>
      </c>
      <c r="B64" s="75">
        <v>57</v>
      </c>
      <c r="C64" s="75">
        <f t="shared" si="1"/>
        <v>0</v>
      </c>
      <c r="D64" s="75">
        <f t="array" aca="1" ref="D64" ca="1">INDIRECT(ADDRESS(B64+ROW($D$7),MATCH($D$7,$F$7:$Q$7,0)+5))</f>
        <v>1</v>
      </c>
      <c r="E64" s="10">
        <f>报价及预中标!L58/4</f>
        <v>0</v>
      </c>
      <c r="F64" s="9">
        <v>0.3</v>
      </c>
      <c r="G64" s="9">
        <v>0.3</v>
      </c>
      <c r="H64" s="75">
        <v>0.3</v>
      </c>
      <c r="I64" s="75">
        <v>0.3</v>
      </c>
      <c r="J64" s="75">
        <v>0.3</v>
      </c>
      <c r="K64" s="75">
        <v>1</v>
      </c>
      <c r="L64" s="75">
        <v>1</v>
      </c>
      <c r="M64" s="75">
        <v>1</v>
      </c>
      <c r="N64" s="75">
        <v>0.3</v>
      </c>
      <c r="O64" s="75">
        <v>0.3</v>
      </c>
      <c r="P64" s="75">
        <v>0.3</v>
      </c>
      <c r="Q64" s="9">
        <v>0.3</v>
      </c>
    </row>
    <row r="65" spans="1:17" ht="15" customHeight="1" x14ac:dyDescent="0.25">
      <c r="A65" s="84"/>
      <c r="B65" s="75">
        <v>58</v>
      </c>
      <c r="C65" s="75">
        <f t="shared" si="1"/>
        <v>0</v>
      </c>
      <c r="D65" s="75">
        <f t="array" aca="1" ref="D65" ca="1">INDIRECT(ADDRESS(B65+ROW($D$7),MATCH($D$7,$F$7:$Q$7,0)+5))</f>
        <v>1</v>
      </c>
      <c r="E65" s="10">
        <f>报价及预中标!L59/4</f>
        <v>0</v>
      </c>
      <c r="F65" s="9">
        <v>0.3</v>
      </c>
      <c r="G65" s="9">
        <v>0.3</v>
      </c>
      <c r="H65" s="75">
        <v>0.3</v>
      </c>
      <c r="I65" s="75">
        <v>0.3</v>
      </c>
      <c r="J65" s="75">
        <v>0.3</v>
      </c>
      <c r="K65" s="75">
        <v>1</v>
      </c>
      <c r="L65" s="75">
        <v>1</v>
      </c>
      <c r="M65" s="75">
        <v>1</v>
      </c>
      <c r="N65" s="75">
        <v>0.3</v>
      </c>
      <c r="O65" s="75">
        <v>0.3</v>
      </c>
      <c r="P65" s="75">
        <v>0.3</v>
      </c>
      <c r="Q65" s="9">
        <v>0.3</v>
      </c>
    </row>
    <row r="66" spans="1:17" ht="15" customHeight="1" x14ac:dyDescent="0.25">
      <c r="A66" s="84"/>
      <c r="B66" s="75">
        <v>59</v>
      </c>
      <c r="C66" s="75">
        <f t="shared" si="1"/>
        <v>0</v>
      </c>
      <c r="D66" s="75">
        <f t="array" aca="1" ref="D66" ca="1">INDIRECT(ADDRESS(B66+ROW($D$7),MATCH($D$7,$F$7:$Q$7,0)+5))</f>
        <v>1</v>
      </c>
      <c r="E66" s="10">
        <f>报价及预中标!L60/4</f>
        <v>0</v>
      </c>
      <c r="F66" s="9">
        <v>0.3</v>
      </c>
      <c r="G66" s="9">
        <v>0.3</v>
      </c>
      <c r="H66" s="75">
        <v>0.3</v>
      </c>
      <c r="I66" s="75">
        <v>0.3</v>
      </c>
      <c r="J66" s="75">
        <v>0.3</v>
      </c>
      <c r="K66" s="75">
        <v>1</v>
      </c>
      <c r="L66" s="75">
        <v>1</v>
      </c>
      <c r="M66" s="75">
        <v>1</v>
      </c>
      <c r="N66" s="75">
        <v>0.3</v>
      </c>
      <c r="O66" s="75">
        <v>0.3</v>
      </c>
      <c r="P66" s="75">
        <v>0.3</v>
      </c>
      <c r="Q66" s="9">
        <v>0.3</v>
      </c>
    </row>
    <row r="67" spans="1:17" ht="15" customHeight="1" x14ac:dyDescent="0.25">
      <c r="A67" s="85"/>
      <c r="B67" s="75">
        <v>60</v>
      </c>
      <c r="C67" s="75">
        <f t="shared" si="1"/>
        <v>0</v>
      </c>
      <c r="D67" s="75">
        <f t="array" aca="1" ref="D67" ca="1">INDIRECT(ADDRESS(B67+ROW($D$7),MATCH($D$7,$F$7:$Q$7,0)+5))</f>
        <v>1</v>
      </c>
      <c r="E67" s="10">
        <f>报价及预中标!L61/4</f>
        <v>0</v>
      </c>
      <c r="F67" s="9">
        <v>0.3</v>
      </c>
      <c r="G67" s="9">
        <v>0.3</v>
      </c>
      <c r="H67" s="75">
        <v>0.3</v>
      </c>
      <c r="I67" s="75">
        <v>0.3</v>
      </c>
      <c r="J67" s="75">
        <v>0.3</v>
      </c>
      <c r="K67" s="75">
        <v>1</v>
      </c>
      <c r="L67" s="75">
        <v>1</v>
      </c>
      <c r="M67" s="75">
        <v>1</v>
      </c>
      <c r="N67" s="75">
        <v>0.3</v>
      </c>
      <c r="O67" s="75">
        <v>0.3</v>
      </c>
      <c r="P67" s="75">
        <v>0.3</v>
      </c>
      <c r="Q67" s="9">
        <v>0.3</v>
      </c>
    </row>
    <row r="68" spans="1:17" ht="15" customHeight="1" x14ac:dyDescent="0.25">
      <c r="A68" s="83">
        <v>16</v>
      </c>
      <c r="B68" s="75">
        <v>61</v>
      </c>
      <c r="C68" s="75">
        <f t="shared" si="1"/>
        <v>1</v>
      </c>
      <c r="D68" s="75">
        <f t="array" aca="1" ref="D68" ca="1">INDIRECT(ADDRESS(B68+ROW($D$7),MATCH($D$7,$F$7:$Q$7,0)+5))</f>
        <v>1.7</v>
      </c>
      <c r="E68" s="10">
        <f>报价及预中标!L62/4</f>
        <v>-1.7875000000000001</v>
      </c>
      <c r="F68" s="9">
        <v>2</v>
      </c>
      <c r="G68" s="9">
        <v>2</v>
      </c>
      <c r="H68" s="75">
        <v>1</v>
      </c>
      <c r="I68" s="75">
        <v>1</v>
      </c>
      <c r="J68" s="75">
        <v>1</v>
      </c>
      <c r="K68" s="75">
        <v>1.7</v>
      </c>
      <c r="L68" s="75">
        <v>1.7</v>
      </c>
      <c r="M68" s="75">
        <v>1.7</v>
      </c>
      <c r="N68" s="75">
        <v>1.7</v>
      </c>
      <c r="O68" s="75">
        <v>1.7</v>
      </c>
      <c r="P68" s="75">
        <v>1.7</v>
      </c>
      <c r="Q68" s="9">
        <v>2</v>
      </c>
    </row>
    <row r="69" spans="1:17" ht="15" customHeight="1" x14ac:dyDescent="0.25">
      <c r="A69" s="84"/>
      <c r="B69" s="75">
        <v>62</v>
      </c>
      <c r="C69" s="75">
        <f t="shared" si="1"/>
        <v>1</v>
      </c>
      <c r="D69" s="75">
        <f t="array" aca="1" ref="D69" ca="1">INDIRECT(ADDRESS(B69+ROW($D$7),MATCH($D$7,$F$7:$Q$7,0)+5))</f>
        <v>1.7</v>
      </c>
      <c r="E69" s="10">
        <f>报价及预中标!L63/4</f>
        <v>-1.7875000000000001</v>
      </c>
      <c r="F69" s="9">
        <v>2</v>
      </c>
      <c r="G69" s="9">
        <v>2</v>
      </c>
      <c r="H69" s="75">
        <v>1</v>
      </c>
      <c r="I69" s="75">
        <v>1</v>
      </c>
      <c r="J69" s="75">
        <v>1</v>
      </c>
      <c r="K69" s="75">
        <v>1.7</v>
      </c>
      <c r="L69" s="75">
        <v>1.7</v>
      </c>
      <c r="M69" s="75">
        <v>1.7</v>
      </c>
      <c r="N69" s="75">
        <v>1.7</v>
      </c>
      <c r="O69" s="75">
        <v>1.7</v>
      </c>
      <c r="P69" s="75">
        <v>1.7</v>
      </c>
      <c r="Q69" s="9">
        <v>2</v>
      </c>
    </row>
    <row r="70" spans="1:17" ht="15" customHeight="1" x14ac:dyDescent="0.25">
      <c r="A70" s="84"/>
      <c r="B70" s="75">
        <v>63</v>
      </c>
      <c r="C70" s="75">
        <f t="shared" si="1"/>
        <v>1</v>
      </c>
      <c r="D70" s="75">
        <f t="array" aca="1" ref="D70" ca="1">INDIRECT(ADDRESS(B70+ROW($D$7),MATCH($D$7,$F$7:$Q$7,0)+5))</f>
        <v>1.7</v>
      </c>
      <c r="E70" s="10">
        <f>报价及预中标!L64/4</f>
        <v>-1.7875000000000001</v>
      </c>
      <c r="F70" s="9">
        <v>2</v>
      </c>
      <c r="G70" s="9">
        <v>2</v>
      </c>
      <c r="H70" s="75">
        <v>1</v>
      </c>
      <c r="I70" s="75">
        <v>1</v>
      </c>
      <c r="J70" s="75">
        <v>1</v>
      </c>
      <c r="K70" s="75">
        <v>1.7</v>
      </c>
      <c r="L70" s="75">
        <v>1.7</v>
      </c>
      <c r="M70" s="75">
        <v>1.7</v>
      </c>
      <c r="N70" s="75">
        <v>1.7</v>
      </c>
      <c r="O70" s="75">
        <v>1.7</v>
      </c>
      <c r="P70" s="75">
        <v>1.7</v>
      </c>
      <c r="Q70" s="9">
        <v>2</v>
      </c>
    </row>
    <row r="71" spans="1:17" ht="15" customHeight="1" x14ac:dyDescent="0.25">
      <c r="A71" s="85"/>
      <c r="B71" s="75">
        <v>64</v>
      </c>
      <c r="C71" s="75">
        <f t="shared" si="1"/>
        <v>0</v>
      </c>
      <c r="D71" s="75">
        <f t="array" aca="1" ref="D71" ca="1">INDIRECT(ADDRESS(B71+ROW($D$7),MATCH($D$7,$F$7:$Q$7,0)+5))</f>
        <v>1.7</v>
      </c>
      <c r="E71" s="10">
        <f>报价及预中标!L65/4</f>
        <v>0</v>
      </c>
      <c r="F71" s="9">
        <v>2</v>
      </c>
      <c r="G71" s="9">
        <v>2</v>
      </c>
      <c r="H71" s="75">
        <v>1</v>
      </c>
      <c r="I71" s="75">
        <v>1</v>
      </c>
      <c r="J71" s="75">
        <v>1</v>
      </c>
      <c r="K71" s="75">
        <v>1.7</v>
      </c>
      <c r="L71" s="75">
        <v>1.7</v>
      </c>
      <c r="M71" s="75">
        <v>1.7</v>
      </c>
      <c r="N71" s="75">
        <v>1.7</v>
      </c>
      <c r="O71" s="75">
        <v>1.7</v>
      </c>
      <c r="P71" s="75">
        <v>1.7</v>
      </c>
      <c r="Q71" s="9">
        <v>2</v>
      </c>
    </row>
    <row r="72" spans="1:17" ht="15" customHeight="1" x14ac:dyDescent="0.25">
      <c r="A72" s="83">
        <v>17</v>
      </c>
      <c r="B72" s="75">
        <v>65</v>
      </c>
      <c r="C72" s="75">
        <f t="shared" ref="C72:C103" si="2">IF(E72&lt;0,1,0)</f>
        <v>0</v>
      </c>
      <c r="D72" s="75">
        <f t="array" aca="1" ref="D72" ca="1">INDIRECT(ADDRESS(B72+ROW($D$7),MATCH($D$7,$F$7:$Q$7,0)+5))</f>
        <v>2</v>
      </c>
      <c r="E72" s="10">
        <f>报价及预中标!L66/4</f>
        <v>0</v>
      </c>
      <c r="F72" s="9">
        <v>2</v>
      </c>
      <c r="G72" s="9">
        <v>2</v>
      </c>
      <c r="H72" s="75">
        <v>2</v>
      </c>
      <c r="I72" s="75">
        <v>2</v>
      </c>
      <c r="J72" s="75">
        <v>2</v>
      </c>
      <c r="K72" s="75">
        <v>2</v>
      </c>
      <c r="L72" s="75">
        <v>2</v>
      </c>
      <c r="M72" s="75">
        <v>2</v>
      </c>
      <c r="N72" s="75">
        <v>2</v>
      </c>
      <c r="O72" s="75">
        <v>2</v>
      </c>
      <c r="P72" s="75">
        <v>2</v>
      </c>
      <c r="Q72" s="9">
        <v>2</v>
      </c>
    </row>
    <row r="73" spans="1:17" ht="15" customHeight="1" x14ac:dyDescent="0.25">
      <c r="A73" s="84"/>
      <c r="B73" s="75">
        <v>66</v>
      </c>
      <c r="C73" s="75">
        <f t="shared" si="2"/>
        <v>0</v>
      </c>
      <c r="D73" s="75">
        <f t="array" aca="1" ref="D73" ca="1">INDIRECT(ADDRESS(B73+ROW($D$7),MATCH($D$7,$F$7:$Q$7,0)+5))</f>
        <v>2</v>
      </c>
      <c r="E73" s="10">
        <f>报价及预中标!L67/4</f>
        <v>0</v>
      </c>
      <c r="F73" s="9">
        <v>2</v>
      </c>
      <c r="G73" s="9">
        <v>2</v>
      </c>
      <c r="H73" s="75">
        <v>2</v>
      </c>
      <c r="I73" s="75">
        <v>2</v>
      </c>
      <c r="J73" s="75">
        <v>2</v>
      </c>
      <c r="K73" s="75">
        <v>2</v>
      </c>
      <c r="L73" s="75">
        <v>2</v>
      </c>
      <c r="M73" s="75">
        <v>2</v>
      </c>
      <c r="N73" s="75">
        <v>2</v>
      </c>
      <c r="O73" s="75">
        <v>2</v>
      </c>
      <c r="P73" s="75">
        <v>2</v>
      </c>
      <c r="Q73" s="9">
        <v>2</v>
      </c>
    </row>
    <row r="74" spans="1:17" ht="15" customHeight="1" x14ac:dyDescent="0.25">
      <c r="A74" s="84"/>
      <c r="B74" s="75">
        <v>67</v>
      </c>
      <c r="C74" s="75">
        <f t="shared" si="2"/>
        <v>0</v>
      </c>
      <c r="D74" s="75">
        <f t="array" aca="1" ref="D74" ca="1">INDIRECT(ADDRESS(B74+ROW($D$7),MATCH($D$7,$F$7:$Q$7,0)+5))</f>
        <v>2</v>
      </c>
      <c r="E74" s="10">
        <f>报价及预中标!L68/4</f>
        <v>0</v>
      </c>
      <c r="F74" s="9">
        <v>2</v>
      </c>
      <c r="G74" s="9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9">
        <v>2</v>
      </c>
    </row>
    <row r="75" spans="1:17" ht="15" customHeight="1" x14ac:dyDescent="0.25">
      <c r="A75" s="85"/>
      <c r="B75" s="75">
        <v>68</v>
      </c>
      <c r="C75" s="75">
        <f t="shared" si="2"/>
        <v>0</v>
      </c>
      <c r="D75" s="75">
        <f t="array" aca="1" ref="D75" ca="1">INDIRECT(ADDRESS(B75+ROW($D$7),MATCH($D$7,$F$7:$Q$7,0)+5))</f>
        <v>2</v>
      </c>
      <c r="E75" s="10">
        <f>报价及预中标!L69/4</f>
        <v>0</v>
      </c>
      <c r="F75" s="9">
        <v>2</v>
      </c>
      <c r="G75" s="9">
        <v>2</v>
      </c>
      <c r="H75" s="75">
        <v>2</v>
      </c>
      <c r="I75" s="75">
        <v>2</v>
      </c>
      <c r="J75" s="75">
        <v>2</v>
      </c>
      <c r="K75" s="75">
        <v>2</v>
      </c>
      <c r="L75" s="75">
        <v>2</v>
      </c>
      <c r="M75" s="75">
        <v>2</v>
      </c>
      <c r="N75" s="75">
        <v>2</v>
      </c>
      <c r="O75" s="75">
        <v>2</v>
      </c>
      <c r="P75" s="75">
        <v>2</v>
      </c>
      <c r="Q75" s="9">
        <v>2</v>
      </c>
    </row>
    <row r="76" spans="1:17" ht="15" customHeight="1" x14ac:dyDescent="0.25">
      <c r="A76" s="83">
        <v>18</v>
      </c>
      <c r="B76" s="75">
        <v>69</v>
      </c>
      <c r="C76" s="75">
        <f t="shared" si="2"/>
        <v>0</v>
      </c>
      <c r="D76" s="75">
        <f t="array" aca="1" ref="D76" ca="1">INDIRECT(ADDRESS(B76+ROW($D$7),MATCH($D$7,$F$7:$Q$7,0)+5))</f>
        <v>2</v>
      </c>
      <c r="E76" s="10">
        <f>报价及预中标!L70/4</f>
        <v>0</v>
      </c>
      <c r="F76" s="9">
        <v>2</v>
      </c>
      <c r="G76" s="9">
        <v>2</v>
      </c>
      <c r="H76" s="75">
        <v>2</v>
      </c>
      <c r="I76" s="75">
        <v>2</v>
      </c>
      <c r="J76" s="75">
        <v>2</v>
      </c>
      <c r="K76" s="75">
        <v>2</v>
      </c>
      <c r="L76" s="75">
        <v>2</v>
      </c>
      <c r="M76" s="75">
        <v>2</v>
      </c>
      <c r="N76" s="75">
        <v>2</v>
      </c>
      <c r="O76" s="75">
        <v>2</v>
      </c>
      <c r="P76" s="75">
        <v>2</v>
      </c>
      <c r="Q76" s="9">
        <v>2</v>
      </c>
    </row>
    <row r="77" spans="1:17" ht="15" customHeight="1" x14ac:dyDescent="0.25">
      <c r="A77" s="84"/>
      <c r="B77" s="75">
        <v>70</v>
      </c>
      <c r="C77" s="75">
        <f t="shared" si="2"/>
        <v>0</v>
      </c>
      <c r="D77" s="75">
        <f t="array" aca="1" ref="D77" ca="1">INDIRECT(ADDRESS(B77+ROW($D$7),MATCH($D$7,$F$7:$Q$7,0)+5))</f>
        <v>2</v>
      </c>
      <c r="E77" s="10">
        <f>报价及预中标!L71/4</f>
        <v>0</v>
      </c>
      <c r="F77" s="9">
        <v>2</v>
      </c>
      <c r="G77" s="9">
        <v>2</v>
      </c>
      <c r="H77" s="75">
        <v>2</v>
      </c>
      <c r="I77" s="75">
        <v>2</v>
      </c>
      <c r="J77" s="75">
        <v>2</v>
      </c>
      <c r="K77" s="75">
        <v>2</v>
      </c>
      <c r="L77" s="75">
        <v>2</v>
      </c>
      <c r="M77" s="75">
        <v>2</v>
      </c>
      <c r="N77" s="75">
        <v>2</v>
      </c>
      <c r="O77" s="75">
        <v>2</v>
      </c>
      <c r="P77" s="75">
        <v>2</v>
      </c>
      <c r="Q77" s="9">
        <v>2</v>
      </c>
    </row>
    <row r="78" spans="1:17" ht="15" customHeight="1" x14ac:dyDescent="0.25">
      <c r="A78" s="84"/>
      <c r="B78" s="75">
        <v>71</v>
      </c>
      <c r="C78" s="75">
        <f t="shared" si="2"/>
        <v>0</v>
      </c>
      <c r="D78" s="75">
        <f t="array" aca="1" ref="D78" ca="1">INDIRECT(ADDRESS(B78+ROW($D$7),MATCH($D$7,$F$7:$Q$7,0)+5))</f>
        <v>2</v>
      </c>
      <c r="E78" s="10">
        <f>报价及预中标!L72/4</f>
        <v>0</v>
      </c>
      <c r="F78" s="9">
        <v>2</v>
      </c>
      <c r="G78" s="9">
        <v>2</v>
      </c>
      <c r="H78" s="75">
        <v>2</v>
      </c>
      <c r="I78" s="75">
        <v>2</v>
      </c>
      <c r="J78" s="75">
        <v>2</v>
      </c>
      <c r="K78" s="75">
        <v>2</v>
      </c>
      <c r="L78" s="75">
        <v>2</v>
      </c>
      <c r="M78" s="75">
        <v>2</v>
      </c>
      <c r="N78" s="75">
        <v>2</v>
      </c>
      <c r="O78" s="75">
        <v>2</v>
      </c>
      <c r="P78" s="75">
        <v>2</v>
      </c>
      <c r="Q78" s="9">
        <v>2</v>
      </c>
    </row>
    <row r="79" spans="1:17" ht="15" customHeight="1" x14ac:dyDescent="0.25">
      <c r="A79" s="85"/>
      <c r="B79" s="75">
        <v>72</v>
      </c>
      <c r="C79" s="75">
        <f t="shared" si="2"/>
        <v>0</v>
      </c>
      <c r="D79" s="75">
        <f t="array" aca="1" ref="D79" ca="1">INDIRECT(ADDRESS(B79+ROW($D$7),MATCH($D$7,$F$7:$Q$7,0)+5))</f>
        <v>2</v>
      </c>
      <c r="E79" s="10">
        <f>报价及预中标!L73/4</f>
        <v>0</v>
      </c>
      <c r="F79" s="9">
        <v>2</v>
      </c>
      <c r="G79" s="9">
        <v>2</v>
      </c>
      <c r="H79" s="75">
        <v>2</v>
      </c>
      <c r="I79" s="75">
        <v>2</v>
      </c>
      <c r="J79" s="75">
        <v>2</v>
      </c>
      <c r="K79" s="75">
        <v>2</v>
      </c>
      <c r="L79" s="75">
        <v>2</v>
      </c>
      <c r="M79" s="75">
        <v>2</v>
      </c>
      <c r="N79" s="75">
        <v>2</v>
      </c>
      <c r="O79" s="75">
        <v>2</v>
      </c>
      <c r="P79" s="75">
        <v>2</v>
      </c>
      <c r="Q79" s="9">
        <v>2</v>
      </c>
    </row>
    <row r="80" spans="1:17" ht="15" customHeight="1" x14ac:dyDescent="0.25">
      <c r="A80" s="83">
        <v>19</v>
      </c>
      <c r="B80" s="75">
        <v>73</v>
      </c>
      <c r="C80" s="75">
        <f t="shared" si="2"/>
        <v>0</v>
      </c>
      <c r="D80" s="75">
        <f t="array" aca="1" ref="D80" ca="1">INDIRECT(ADDRESS(B80+ROW($D$7),MATCH($D$7,$F$7:$Q$7,0)+5))</f>
        <v>2</v>
      </c>
      <c r="E80" s="10">
        <f>报价及预中标!L74/4</f>
        <v>0</v>
      </c>
      <c r="F80" s="9">
        <v>2</v>
      </c>
      <c r="G80" s="9">
        <v>2</v>
      </c>
      <c r="H80" s="75">
        <v>2</v>
      </c>
      <c r="I80" s="75">
        <v>2</v>
      </c>
      <c r="J80" s="75">
        <v>2</v>
      </c>
      <c r="K80" s="75">
        <v>2</v>
      </c>
      <c r="L80" s="75">
        <v>2</v>
      </c>
      <c r="M80" s="75">
        <v>2</v>
      </c>
      <c r="N80" s="75">
        <v>2</v>
      </c>
      <c r="O80" s="75">
        <v>2</v>
      </c>
      <c r="P80" s="75">
        <v>2</v>
      </c>
      <c r="Q80" s="9">
        <v>2</v>
      </c>
    </row>
    <row r="81" spans="1:17" ht="15" customHeight="1" x14ac:dyDescent="0.25">
      <c r="A81" s="84"/>
      <c r="B81" s="75">
        <v>74</v>
      </c>
      <c r="C81" s="75">
        <f t="shared" si="2"/>
        <v>0</v>
      </c>
      <c r="D81" s="75">
        <f t="array" aca="1" ref="D81" ca="1">INDIRECT(ADDRESS(B81+ROW($D$7),MATCH($D$7,$F$7:$Q$7,0)+5))</f>
        <v>2</v>
      </c>
      <c r="E81" s="10">
        <f>报价及预中标!L75/4</f>
        <v>0</v>
      </c>
      <c r="F81" s="9">
        <v>2</v>
      </c>
      <c r="G81" s="9">
        <v>2</v>
      </c>
      <c r="H81" s="75">
        <v>2</v>
      </c>
      <c r="I81" s="75">
        <v>2</v>
      </c>
      <c r="J81" s="75">
        <v>2</v>
      </c>
      <c r="K81" s="75">
        <v>2</v>
      </c>
      <c r="L81" s="75">
        <v>2</v>
      </c>
      <c r="M81" s="75">
        <v>2</v>
      </c>
      <c r="N81" s="75">
        <v>2</v>
      </c>
      <c r="O81" s="75">
        <v>2</v>
      </c>
      <c r="P81" s="75">
        <v>2</v>
      </c>
      <c r="Q81" s="9">
        <v>2</v>
      </c>
    </row>
    <row r="82" spans="1:17" ht="15" customHeight="1" x14ac:dyDescent="0.25">
      <c r="A82" s="84"/>
      <c r="B82" s="75">
        <v>75</v>
      </c>
      <c r="C82" s="75">
        <f t="shared" si="2"/>
        <v>0</v>
      </c>
      <c r="D82" s="75">
        <f t="array" aca="1" ref="D82" ca="1">INDIRECT(ADDRESS(B82+ROW($D$7),MATCH($D$7,$F$7:$Q$7,0)+5))</f>
        <v>2</v>
      </c>
      <c r="E82" s="10">
        <f>报价及预中标!L76/4</f>
        <v>0</v>
      </c>
      <c r="F82" s="9">
        <v>2</v>
      </c>
      <c r="G82" s="9">
        <v>2</v>
      </c>
      <c r="H82" s="75">
        <v>2</v>
      </c>
      <c r="I82" s="75">
        <v>2</v>
      </c>
      <c r="J82" s="75">
        <v>2</v>
      </c>
      <c r="K82" s="75">
        <v>2</v>
      </c>
      <c r="L82" s="75">
        <v>2</v>
      </c>
      <c r="M82" s="75">
        <v>2</v>
      </c>
      <c r="N82" s="75">
        <v>2</v>
      </c>
      <c r="O82" s="75">
        <v>2</v>
      </c>
      <c r="P82" s="75">
        <v>2</v>
      </c>
      <c r="Q82" s="9">
        <v>2</v>
      </c>
    </row>
    <row r="83" spans="1:17" ht="15" customHeight="1" x14ac:dyDescent="0.25">
      <c r="A83" s="85"/>
      <c r="B83" s="75">
        <v>76</v>
      </c>
      <c r="C83" s="75">
        <f t="shared" si="2"/>
        <v>0</v>
      </c>
      <c r="D83" s="75">
        <f t="array" aca="1" ref="D83" ca="1">INDIRECT(ADDRESS(B83+ROW($D$7),MATCH($D$7,$F$7:$Q$7,0)+5))</f>
        <v>2</v>
      </c>
      <c r="E83" s="10">
        <f>报价及预中标!L77/4</f>
        <v>0</v>
      </c>
      <c r="F83" s="9">
        <v>2</v>
      </c>
      <c r="G83" s="9">
        <v>2</v>
      </c>
      <c r="H83" s="75">
        <v>2</v>
      </c>
      <c r="I83" s="75">
        <v>2</v>
      </c>
      <c r="J83" s="75">
        <v>2</v>
      </c>
      <c r="K83" s="75">
        <v>2</v>
      </c>
      <c r="L83" s="75">
        <v>2</v>
      </c>
      <c r="M83" s="75">
        <v>2</v>
      </c>
      <c r="N83" s="75">
        <v>2</v>
      </c>
      <c r="O83" s="75">
        <v>2</v>
      </c>
      <c r="P83" s="75">
        <v>2</v>
      </c>
      <c r="Q83" s="9">
        <v>2</v>
      </c>
    </row>
    <row r="84" spans="1:17" ht="15" customHeight="1" x14ac:dyDescent="0.25">
      <c r="A84" s="83">
        <v>20</v>
      </c>
      <c r="B84" s="75">
        <v>77</v>
      </c>
      <c r="C84" s="75">
        <f t="shared" si="2"/>
        <v>0</v>
      </c>
      <c r="D84" s="75">
        <f t="array" aca="1" ref="D84" ca="1">INDIRECT(ADDRESS(B84+ROW($D$7),MATCH($D$7,$F$7:$Q$7,0)+5))</f>
        <v>2</v>
      </c>
      <c r="E84" s="10">
        <f>报价及预中标!L78/4</f>
        <v>0</v>
      </c>
      <c r="F84" s="9">
        <v>1.7</v>
      </c>
      <c r="G84" s="9">
        <v>1.7</v>
      </c>
      <c r="H84" s="75">
        <v>2</v>
      </c>
      <c r="I84" s="75">
        <v>2</v>
      </c>
      <c r="J84" s="75">
        <v>2</v>
      </c>
      <c r="K84" s="75">
        <v>2</v>
      </c>
      <c r="L84" s="75">
        <v>2</v>
      </c>
      <c r="M84" s="75">
        <v>2</v>
      </c>
      <c r="N84" s="75">
        <v>1.7</v>
      </c>
      <c r="O84" s="75">
        <v>1.7</v>
      </c>
      <c r="P84" s="75">
        <v>1.7</v>
      </c>
      <c r="Q84" s="9">
        <v>1.7</v>
      </c>
    </row>
    <row r="85" spans="1:17" ht="15" customHeight="1" x14ac:dyDescent="0.25">
      <c r="A85" s="84"/>
      <c r="B85" s="75">
        <v>78</v>
      </c>
      <c r="C85" s="75">
        <f t="shared" si="2"/>
        <v>0</v>
      </c>
      <c r="D85" s="75">
        <f t="array" aca="1" ref="D85" ca="1">INDIRECT(ADDRESS(B85+ROW($D$7),MATCH($D$7,$F$7:$Q$7,0)+5))</f>
        <v>2</v>
      </c>
      <c r="E85" s="10">
        <f>报价及预中标!L79/4</f>
        <v>0</v>
      </c>
      <c r="F85" s="9">
        <v>1.7</v>
      </c>
      <c r="G85" s="9">
        <v>1.7</v>
      </c>
      <c r="H85" s="75">
        <v>2</v>
      </c>
      <c r="I85" s="75">
        <v>2</v>
      </c>
      <c r="J85" s="75">
        <v>2</v>
      </c>
      <c r="K85" s="75">
        <v>2</v>
      </c>
      <c r="L85" s="75">
        <v>2</v>
      </c>
      <c r="M85" s="75">
        <v>2</v>
      </c>
      <c r="N85" s="75">
        <v>1.7</v>
      </c>
      <c r="O85" s="75">
        <v>1.7</v>
      </c>
      <c r="P85" s="75">
        <v>1.7</v>
      </c>
      <c r="Q85" s="9">
        <v>1.7</v>
      </c>
    </row>
    <row r="86" spans="1:17" ht="15" customHeight="1" x14ac:dyDescent="0.25">
      <c r="A86" s="84"/>
      <c r="B86" s="75">
        <v>79</v>
      </c>
      <c r="C86" s="75">
        <f t="shared" si="2"/>
        <v>0</v>
      </c>
      <c r="D86" s="75">
        <f t="array" aca="1" ref="D86" ca="1">INDIRECT(ADDRESS(B86+ROW($D$7),MATCH($D$7,$F$7:$Q$7,0)+5))</f>
        <v>2</v>
      </c>
      <c r="E86" s="10">
        <f>报价及预中标!L80/4</f>
        <v>0</v>
      </c>
      <c r="F86" s="9">
        <v>1.7</v>
      </c>
      <c r="G86" s="9">
        <v>1.7</v>
      </c>
      <c r="H86" s="75">
        <v>2</v>
      </c>
      <c r="I86" s="75">
        <v>2</v>
      </c>
      <c r="J86" s="75">
        <v>2</v>
      </c>
      <c r="K86" s="75">
        <v>2</v>
      </c>
      <c r="L86" s="75">
        <v>2</v>
      </c>
      <c r="M86" s="75">
        <v>2</v>
      </c>
      <c r="N86" s="75">
        <v>1.7</v>
      </c>
      <c r="O86" s="75">
        <v>1.7</v>
      </c>
      <c r="P86" s="75">
        <v>1.7</v>
      </c>
      <c r="Q86" s="9">
        <v>1.7</v>
      </c>
    </row>
    <row r="87" spans="1:17" ht="15" customHeight="1" x14ac:dyDescent="0.25">
      <c r="A87" s="85"/>
      <c r="B87" s="75">
        <v>80</v>
      </c>
      <c r="C87" s="75">
        <f t="shared" si="2"/>
        <v>0</v>
      </c>
      <c r="D87" s="75">
        <f t="array" aca="1" ref="D87" ca="1">INDIRECT(ADDRESS(B87+ROW($D$7),MATCH($D$7,$F$7:$Q$7,0)+5))</f>
        <v>2</v>
      </c>
      <c r="E87" s="10">
        <f>报价及预中标!L81/4</f>
        <v>0</v>
      </c>
      <c r="F87" s="9">
        <v>1.7</v>
      </c>
      <c r="G87" s="9">
        <v>1.7</v>
      </c>
      <c r="H87" s="75">
        <v>2</v>
      </c>
      <c r="I87" s="75">
        <v>2</v>
      </c>
      <c r="J87" s="75">
        <v>2</v>
      </c>
      <c r="K87" s="75">
        <v>2</v>
      </c>
      <c r="L87" s="75">
        <v>2</v>
      </c>
      <c r="M87" s="75">
        <v>2</v>
      </c>
      <c r="N87" s="75">
        <v>1.7</v>
      </c>
      <c r="O87" s="75">
        <v>1.7</v>
      </c>
      <c r="P87" s="75">
        <v>1.7</v>
      </c>
      <c r="Q87" s="9">
        <v>1.7</v>
      </c>
    </row>
    <row r="88" spans="1:17" ht="15" customHeight="1" x14ac:dyDescent="0.25">
      <c r="A88" s="83">
        <v>21</v>
      </c>
      <c r="B88" s="75">
        <v>81</v>
      </c>
      <c r="C88" s="75">
        <f t="shared" si="2"/>
        <v>0</v>
      </c>
      <c r="D88" s="75">
        <f t="array" aca="1" ref="D88" ca="1">INDIRECT(ADDRESS(B88+ROW($D$7),MATCH($D$7,$F$7:$Q$7,0)+5))</f>
        <v>2</v>
      </c>
      <c r="E88" s="10">
        <f>报价及预中标!L82/4</f>
        <v>0</v>
      </c>
      <c r="F88" s="9">
        <v>1.7</v>
      </c>
      <c r="G88" s="9">
        <v>1.7</v>
      </c>
      <c r="H88" s="75">
        <v>1.7</v>
      </c>
      <c r="I88" s="75">
        <v>1.7</v>
      </c>
      <c r="J88" s="75">
        <v>1.7</v>
      </c>
      <c r="K88" s="75">
        <v>2</v>
      </c>
      <c r="L88" s="75">
        <v>2</v>
      </c>
      <c r="M88" s="75">
        <v>2</v>
      </c>
      <c r="N88" s="75">
        <v>1.7</v>
      </c>
      <c r="O88" s="75">
        <v>1.7</v>
      </c>
      <c r="P88" s="75">
        <v>1.7</v>
      </c>
      <c r="Q88" s="9">
        <v>1.7</v>
      </c>
    </row>
    <row r="89" spans="1:17" ht="15" customHeight="1" x14ac:dyDescent="0.25">
      <c r="A89" s="84"/>
      <c r="B89" s="75">
        <v>82</v>
      </c>
      <c r="C89" s="75">
        <f t="shared" si="2"/>
        <v>0</v>
      </c>
      <c r="D89" s="75">
        <f t="array" aca="1" ref="D89" ca="1">INDIRECT(ADDRESS(B89+ROW($D$7),MATCH($D$7,$F$7:$Q$7,0)+5))</f>
        <v>2</v>
      </c>
      <c r="E89" s="10">
        <f>报价及预中标!L83/4</f>
        <v>0</v>
      </c>
      <c r="F89" s="9">
        <v>1.7</v>
      </c>
      <c r="G89" s="9">
        <v>1.7</v>
      </c>
      <c r="H89" s="75">
        <v>1.7</v>
      </c>
      <c r="I89" s="75">
        <v>1.7</v>
      </c>
      <c r="J89" s="75">
        <v>1.7</v>
      </c>
      <c r="K89" s="75">
        <v>2</v>
      </c>
      <c r="L89" s="75">
        <v>2</v>
      </c>
      <c r="M89" s="75">
        <v>2</v>
      </c>
      <c r="N89" s="75">
        <v>1.7</v>
      </c>
      <c r="O89" s="75">
        <v>1.7</v>
      </c>
      <c r="P89" s="75">
        <v>1.7</v>
      </c>
      <c r="Q89" s="9">
        <v>1.7</v>
      </c>
    </row>
    <row r="90" spans="1:17" ht="15" customHeight="1" x14ac:dyDescent="0.25">
      <c r="A90" s="84"/>
      <c r="B90" s="75">
        <v>83</v>
      </c>
      <c r="C90" s="75">
        <f t="shared" si="2"/>
        <v>0</v>
      </c>
      <c r="D90" s="75">
        <f t="array" aca="1" ref="D90" ca="1">INDIRECT(ADDRESS(B90+ROW($D$7),MATCH($D$7,$F$7:$Q$7,0)+5))</f>
        <v>2</v>
      </c>
      <c r="E90" s="10">
        <f>报价及预中标!L84/4</f>
        <v>0</v>
      </c>
      <c r="F90" s="9">
        <v>1.7</v>
      </c>
      <c r="G90" s="9">
        <v>1.7</v>
      </c>
      <c r="H90" s="75">
        <v>1.7</v>
      </c>
      <c r="I90" s="75">
        <v>1.7</v>
      </c>
      <c r="J90" s="75">
        <v>1.7</v>
      </c>
      <c r="K90" s="75">
        <v>2</v>
      </c>
      <c r="L90" s="75">
        <v>2</v>
      </c>
      <c r="M90" s="75">
        <v>2</v>
      </c>
      <c r="N90" s="75">
        <v>1.7</v>
      </c>
      <c r="O90" s="75">
        <v>1.7</v>
      </c>
      <c r="P90" s="75">
        <v>1.7</v>
      </c>
      <c r="Q90" s="9">
        <v>1.7</v>
      </c>
    </row>
    <row r="91" spans="1:17" ht="15" customHeight="1" x14ac:dyDescent="0.25">
      <c r="A91" s="85"/>
      <c r="B91" s="75">
        <v>84</v>
      </c>
      <c r="C91" s="75">
        <f t="shared" si="2"/>
        <v>0</v>
      </c>
      <c r="D91" s="75">
        <f t="array" aca="1" ref="D91" ca="1">INDIRECT(ADDRESS(B91+ROW($D$7),MATCH($D$7,$F$7:$Q$7,0)+5))</f>
        <v>2</v>
      </c>
      <c r="E91" s="10">
        <f>报价及预中标!L85/4</f>
        <v>0</v>
      </c>
      <c r="F91" s="9">
        <v>1.7</v>
      </c>
      <c r="G91" s="9">
        <v>1.7</v>
      </c>
      <c r="H91" s="75">
        <v>1.7</v>
      </c>
      <c r="I91" s="75">
        <v>1.7</v>
      </c>
      <c r="J91" s="75">
        <v>1.7</v>
      </c>
      <c r="K91" s="75">
        <v>2</v>
      </c>
      <c r="L91" s="75">
        <v>2</v>
      </c>
      <c r="M91" s="75">
        <v>2</v>
      </c>
      <c r="N91" s="75">
        <v>1.7</v>
      </c>
      <c r="O91" s="75">
        <v>1.7</v>
      </c>
      <c r="P91" s="75">
        <v>1.7</v>
      </c>
      <c r="Q91" s="9">
        <v>1.7</v>
      </c>
    </row>
    <row r="92" spans="1:17" ht="15" customHeight="1" x14ac:dyDescent="0.25">
      <c r="A92" s="83">
        <v>22</v>
      </c>
      <c r="B92" s="75">
        <v>85</v>
      </c>
      <c r="C92" s="75">
        <f t="shared" si="2"/>
        <v>0</v>
      </c>
      <c r="D92" s="75">
        <f t="array" aca="1" ref="D92" ca="1">INDIRECT(ADDRESS(B92+ROW($D$7),MATCH($D$7,$F$7:$Q$7,0)+5))</f>
        <v>2</v>
      </c>
      <c r="E92" s="10">
        <f>报价及预中标!L86/4</f>
        <v>0</v>
      </c>
      <c r="F92" s="9">
        <v>1</v>
      </c>
      <c r="G92" s="9">
        <v>1</v>
      </c>
      <c r="H92" s="75">
        <v>1.7</v>
      </c>
      <c r="I92" s="75">
        <v>1.7</v>
      </c>
      <c r="J92" s="75">
        <v>1.7</v>
      </c>
      <c r="K92" s="75">
        <v>2</v>
      </c>
      <c r="L92" s="75">
        <v>2</v>
      </c>
      <c r="M92" s="75">
        <v>2</v>
      </c>
      <c r="N92" s="75">
        <v>1</v>
      </c>
      <c r="O92" s="75">
        <v>1</v>
      </c>
      <c r="P92" s="75">
        <v>1</v>
      </c>
      <c r="Q92" s="9">
        <v>1</v>
      </c>
    </row>
    <row r="93" spans="1:17" ht="15" customHeight="1" x14ac:dyDescent="0.25">
      <c r="A93" s="84"/>
      <c r="B93" s="75">
        <v>86</v>
      </c>
      <c r="C93" s="75">
        <f t="shared" si="2"/>
        <v>0</v>
      </c>
      <c r="D93" s="75">
        <f t="array" aca="1" ref="D93" ca="1">INDIRECT(ADDRESS(B93+ROW($D$7),MATCH($D$7,$F$7:$Q$7,0)+5))</f>
        <v>2</v>
      </c>
      <c r="E93" s="10">
        <f>报价及预中标!L87/4</f>
        <v>0</v>
      </c>
      <c r="F93" s="9">
        <v>1</v>
      </c>
      <c r="G93" s="9">
        <v>1</v>
      </c>
      <c r="H93" s="75">
        <v>1.7</v>
      </c>
      <c r="I93" s="75">
        <v>1.7</v>
      </c>
      <c r="J93" s="75">
        <v>1.7</v>
      </c>
      <c r="K93" s="75">
        <v>2</v>
      </c>
      <c r="L93" s="75">
        <v>2</v>
      </c>
      <c r="M93" s="75">
        <v>2</v>
      </c>
      <c r="N93" s="75">
        <v>1</v>
      </c>
      <c r="O93" s="75">
        <v>1</v>
      </c>
      <c r="P93" s="75">
        <v>1</v>
      </c>
      <c r="Q93" s="9">
        <v>1</v>
      </c>
    </row>
    <row r="94" spans="1:17" ht="15" customHeight="1" x14ac:dyDescent="0.25">
      <c r="A94" s="84"/>
      <c r="B94" s="75">
        <v>87</v>
      </c>
      <c r="C94" s="75">
        <f t="shared" si="2"/>
        <v>0</v>
      </c>
      <c r="D94" s="75">
        <f t="array" aca="1" ref="D94" ca="1">INDIRECT(ADDRESS(B94+ROW($D$7),MATCH($D$7,$F$7:$Q$7,0)+5))</f>
        <v>2</v>
      </c>
      <c r="E94" s="10">
        <f>报价及预中标!L88/4</f>
        <v>0</v>
      </c>
      <c r="F94" s="9">
        <v>1</v>
      </c>
      <c r="G94" s="9">
        <v>1</v>
      </c>
      <c r="H94" s="75">
        <v>1.7</v>
      </c>
      <c r="I94" s="75">
        <v>1.7</v>
      </c>
      <c r="J94" s="75">
        <v>1.7</v>
      </c>
      <c r="K94" s="75">
        <v>2</v>
      </c>
      <c r="L94" s="75">
        <v>2</v>
      </c>
      <c r="M94" s="75">
        <v>2</v>
      </c>
      <c r="N94" s="75">
        <v>1</v>
      </c>
      <c r="O94" s="75">
        <v>1</v>
      </c>
      <c r="P94" s="75">
        <v>1</v>
      </c>
      <c r="Q94" s="9">
        <v>1</v>
      </c>
    </row>
    <row r="95" spans="1:17" ht="15" customHeight="1" x14ac:dyDescent="0.25">
      <c r="A95" s="85"/>
      <c r="B95" s="75">
        <v>88</v>
      </c>
      <c r="C95" s="75">
        <f t="shared" si="2"/>
        <v>0</v>
      </c>
      <c r="D95" s="75">
        <f t="array" aca="1" ref="D95" ca="1">INDIRECT(ADDRESS(B95+ROW($D$7),MATCH($D$7,$F$7:$Q$7,0)+5))</f>
        <v>2</v>
      </c>
      <c r="E95" s="10">
        <f>报价及预中标!L89/4</f>
        <v>0</v>
      </c>
      <c r="F95" s="9">
        <v>1</v>
      </c>
      <c r="G95" s="9">
        <v>1</v>
      </c>
      <c r="H95" s="75">
        <v>1.7</v>
      </c>
      <c r="I95" s="75">
        <v>1.7</v>
      </c>
      <c r="J95" s="75">
        <v>1.7</v>
      </c>
      <c r="K95" s="75">
        <v>2</v>
      </c>
      <c r="L95" s="75">
        <v>2</v>
      </c>
      <c r="M95" s="75">
        <v>2</v>
      </c>
      <c r="N95" s="75">
        <v>1</v>
      </c>
      <c r="O95" s="75">
        <v>1</v>
      </c>
      <c r="P95" s="75">
        <v>1</v>
      </c>
      <c r="Q95" s="9">
        <v>1</v>
      </c>
    </row>
    <row r="96" spans="1:17" ht="15" customHeight="1" x14ac:dyDescent="0.25">
      <c r="A96" s="83">
        <v>23</v>
      </c>
      <c r="B96" s="75">
        <v>89</v>
      </c>
      <c r="C96" s="75">
        <f t="shared" si="2"/>
        <v>0</v>
      </c>
      <c r="D96" s="75">
        <f t="array" aca="1" ref="D96" ca="1">INDIRECT(ADDRESS(B96+ROW($D$7),MATCH($D$7,$F$7:$Q$7,0)+5))</f>
        <v>1.7</v>
      </c>
      <c r="E96" s="10">
        <f>报价及预中标!L90/4</f>
        <v>0</v>
      </c>
      <c r="F96" s="9">
        <v>1</v>
      </c>
      <c r="G96" s="9">
        <v>1</v>
      </c>
      <c r="H96" s="75">
        <v>1</v>
      </c>
      <c r="I96" s="75">
        <v>1</v>
      </c>
      <c r="J96" s="75">
        <v>1</v>
      </c>
      <c r="K96" s="75">
        <v>1.7</v>
      </c>
      <c r="L96" s="75">
        <v>1.7</v>
      </c>
      <c r="M96" s="75">
        <v>1.7</v>
      </c>
      <c r="N96" s="75">
        <v>1</v>
      </c>
      <c r="O96" s="75">
        <v>1</v>
      </c>
      <c r="P96" s="75">
        <v>1</v>
      </c>
      <c r="Q96" s="9">
        <v>1</v>
      </c>
    </row>
    <row r="97" spans="1:17" ht="15" customHeight="1" x14ac:dyDescent="0.25">
      <c r="A97" s="84"/>
      <c r="B97" s="75">
        <v>90</v>
      </c>
      <c r="C97" s="75">
        <f t="shared" si="2"/>
        <v>0</v>
      </c>
      <c r="D97" s="75">
        <f t="array" aca="1" ref="D97" ca="1">INDIRECT(ADDRESS(B97+ROW($D$7),MATCH($D$7,$F$7:$Q$7,0)+5))</f>
        <v>1.7</v>
      </c>
      <c r="E97" s="10">
        <f>报价及预中标!L91/4</f>
        <v>0</v>
      </c>
      <c r="F97" s="9">
        <v>1</v>
      </c>
      <c r="G97" s="9">
        <v>1</v>
      </c>
      <c r="H97" s="75">
        <v>1</v>
      </c>
      <c r="I97" s="75">
        <v>1</v>
      </c>
      <c r="J97" s="75">
        <v>1</v>
      </c>
      <c r="K97" s="75">
        <v>1.7</v>
      </c>
      <c r="L97" s="75">
        <v>1.7</v>
      </c>
      <c r="M97" s="75">
        <v>1.7</v>
      </c>
      <c r="N97" s="75">
        <v>1</v>
      </c>
      <c r="O97" s="75">
        <v>1</v>
      </c>
      <c r="P97" s="75">
        <v>1</v>
      </c>
      <c r="Q97" s="9">
        <v>1</v>
      </c>
    </row>
    <row r="98" spans="1:17" ht="15" customHeight="1" x14ac:dyDescent="0.25">
      <c r="A98" s="84"/>
      <c r="B98" s="75">
        <v>91</v>
      </c>
      <c r="C98" s="75">
        <f t="shared" si="2"/>
        <v>0</v>
      </c>
      <c r="D98" s="75">
        <f t="array" aca="1" ref="D98" ca="1">INDIRECT(ADDRESS(B98+ROW($D$7),MATCH($D$7,$F$7:$Q$7,0)+5))</f>
        <v>1.7</v>
      </c>
      <c r="E98" s="10">
        <f>报价及预中标!L92/4</f>
        <v>0</v>
      </c>
      <c r="F98" s="9">
        <v>1</v>
      </c>
      <c r="G98" s="9">
        <v>1</v>
      </c>
      <c r="H98" s="75">
        <v>1</v>
      </c>
      <c r="I98" s="75">
        <v>1</v>
      </c>
      <c r="J98" s="75">
        <v>1</v>
      </c>
      <c r="K98" s="75">
        <v>1.7</v>
      </c>
      <c r="L98" s="75">
        <v>1.7</v>
      </c>
      <c r="M98" s="75">
        <v>1.7</v>
      </c>
      <c r="N98" s="75">
        <v>1</v>
      </c>
      <c r="O98" s="75">
        <v>1</v>
      </c>
      <c r="P98" s="75">
        <v>1</v>
      </c>
      <c r="Q98" s="9">
        <v>1</v>
      </c>
    </row>
    <row r="99" spans="1:17" ht="15" customHeight="1" x14ac:dyDescent="0.25">
      <c r="A99" s="85"/>
      <c r="B99" s="75">
        <v>92</v>
      </c>
      <c r="C99" s="75">
        <f t="shared" si="2"/>
        <v>0</v>
      </c>
      <c r="D99" s="75">
        <f t="array" aca="1" ref="D99" ca="1">INDIRECT(ADDRESS(B99+ROW($D$7),MATCH($D$7,$F$7:$Q$7,0)+5))</f>
        <v>1.7</v>
      </c>
      <c r="E99" s="10">
        <f>报价及预中标!L93/4</f>
        <v>0</v>
      </c>
      <c r="F99" s="9">
        <v>1</v>
      </c>
      <c r="G99" s="9">
        <v>1</v>
      </c>
      <c r="H99" s="75">
        <v>1</v>
      </c>
      <c r="I99" s="75">
        <v>1</v>
      </c>
      <c r="J99" s="75">
        <v>1</v>
      </c>
      <c r="K99" s="75">
        <v>1.7</v>
      </c>
      <c r="L99" s="75">
        <v>1.7</v>
      </c>
      <c r="M99" s="75">
        <v>1.7</v>
      </c>
      <c r="N99" s="75">
        <v>1</v>
      </c>
      <c r="O99" s="75">
        <v>1</v>
      </c>
      <c r="P99" s="75">
        <v>1</v>
      </c>
      <c r="Q99" s="9">
        <v>1</v>
      </c>
    </row>
    <row r="100" spans="1:17" ht="15" customHeight="1" x14ac:dyDescent="0.25">
      <c r="A100" s="83">
        <v>24</v>
      </c>
      <c r="B100" s="75">
        <v>93</v>
      </c>
      <c r="C100" s="75">
        <f t="shared" si="2"/>
        <v>0</v>
      </c>
      <c r="D100" s="75">
        <f t="array" aca="1" ref="D100" ca="1">INDIRECT(ADDRESS(B100+ROW($D$7),MATCH($D$7,$F$7:$Q$7,0)+5))</f>
        <v>1</v>
      </c>
      <c r="E100" s="10">
        <f>报价及预中标!L94/4</f>
        <v>0</v>
      </c>
      <c r="F100" s="9">
        <v>1</v>
      </c>
      <c r="G100" s="9">
        <v>1</v>
      </c>
      <c r="H100" s="75">
        <v>1</v>
      </c>
      <c r="I100" s="75">
        <v>1</v>
      </c>
      <c r="J100" s="75">
        <v>1</v>
      </c>
      <c r="K100" s="75">
        <v>1</v>
      </c>
      <c r="L100" s="75">
        <v>1</v>
      </c>
      <c r="M100" s="75">
        <v>1</v>
      </c>
      <c r="N100" s="75">
        <v>1</v>
      </c>
      <c r="O100" s="75">
        <v>1</v>
      </c>
      <c r="P100" s="75">
        <v>1</v>
      </c>
      <c r="Q100" s="9">
        <v>1</v>
      </c>
    </row>
    <row r="101" spans="1:17" ht="15" customHeight="1" x14ac:dyDescent="0.25">
      <c r="A101" s="84"/>
      <c r="B101" s="75">
        <v>94</v>
      </c>
      <c r="C101" s="75">
        <f t="shared" si="2"/>
        <v>0</v>
      </c>
      <c r="D101" s="75">
        <f t="array" aca="1" ref="D101" ca="1">INDIRECT(ADDRESS(B101+ROW($D$7),MATCH($D$7,$F$7:$Q$7,0)+5))</f>
        <v>1</v>
      </c>
      <c r="E101" s="10">
        <f>报价及预中标!L95/4</f>
        <v>0</v>
      </c>
      <c r="F101" s="9">
        <v>1</v>
      </c>
      <c r="G101" s="9">
        <v>1</v>
      </c>
      <c r="H101" s="75">
        <v>1</v>
      </c>
      <c r="I101" s="75">
        <v>1</v>
      </c>
      <c r="J101" s="75">
        <v>1</v>
      </c>
      <c r="K101" s="75">
        <v>1</v>
      </c>
      <c r="L101" s="75">
        <v>1</v>
      </c>
      <c r="M101" s="75">
        <v>1</v>
      </c>
      <c r="N101" s="75">
        <v>1</v>
      </c>
      <c r="O101" s="75">
        <v>1</v>
      </c>
      <c r="P101" s="75">
        <v>1</v>
      </c>
      <c r="Q101" s="9">
        <v>1</v>
      </c>
    </row>
    <row r="102" spans="1:17" ht="15" customHeight="1" x14ac:dyDescent="0.25">
      <c r="A102" s="84"/>
      <c r="B102" s="75">
        <v>95</v>
      </c>
      <c r="C102" s="75">
        <f t="shared" si="2"/>
        <v>0</v>
      </c>
      <c r="D102" s="75">
        <f t="array" aca="1" ref="D102" ca="1">INDIRECT(ADDRESS(B102+ROW($D$7),MATCH($D$7,$F$7:$Q$7,0)+5))</f>
        <v>1</v>
      </c>
      <c r="E102" s="10">
        <f>报价及预中标!L96/4</f>
        <v>0</v>
      </c>
      <c r="F102" s="9">
        <v>1</v>
      </c>
      <c r="G102" s="9">
        <v>1</v>
      </c>
      <c r="H102" s="75">
        <v>1</v>
      </c>
      <c r="I102" s="75">
        <v>1</v>
      </c>
      <c r="J102" s="75">
        <v>1</v>
      </c>
      <c r="K102" s="75">
        <v>1</v>
      </c>
      <c r="L102" s="75">
        <v>1</v>
      </c>
      <c r="M102" s="75">
        <v>1</v>
      </c>
      <c r="N102" s="75">
        <v>1</v>
      </c>
      <c r="O102" s="75">
        <v>1</v>
      </c>
      <c r="P102" s="75">
        <v>1</v>
      </c>
      <c r="Q102" s="9">
        <v>1</v>
      </c>
    </row>
    <row r="103" spans="1:17" ht="15" customHeight="1" x14ac:dyDescent="0.25">
      <c r="A103" s="85"/>
      <c r="B103" s="75">
        <v>96</v>
      </c>
      <c r="C103" s="75">
        <f t="shared" si="2"/>
        <v>0</v>
      </c>
      <c r="D103" s="75">
        <f t="array" aca="1" ref="D103" ca="1">INDIRECT(ADDRESS(B103+ROW($D$7),MATCH($D$7,$F$7:$Q$7,0)+5))</f>
        <v>1</v>
      </c>
      <c r="E103" s="10">
        <f>报价及预中标!L97/4</f>
        <v>0</v>
      </c>
      <c r="F103" s="12">
        <v>1</v>
      </c>
      <c r="G103" s="12">
        <v>1</v>
      </c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2">
        <v>1</v>
      </c>
    </row>
  </sheetData>
  <mergeCells count="29">
    <mergeCell ref="F6:Q6"/>
    <mergeCell ref="A68:A71"/>
    <mergeCell ref="C6:C7"/>
    <mergeCell ref="A24:A27"/>
    <mergeCell ref="A40:A43"/>
    <mergeCell ref="A52:A55"/>
    <mergeCell ref="A100:A103"/>
    <mergeCell ref="A20:A23"/>
    <mergeCell ref="A72:A75"/>
    <mergeCell ref="A44:A47"/>
    <mergeCell ref="A96:A99"/>
    <mergeCell ref="A28:A31"/>
    <mergeCell ref="A92:A95"/>
    <mergeCell ref="E6:E7"/>
    <mergeCell ref="A80:A83"/>
    <mergeCell ref="B6:B7"/>
    <mergeCell ref="A76:A79"/>
    <mergeCell ref="A32:A35"/>
    <mergeCell ref="A8:A11"/>
    <mergeCell ref="A6:A7"/>
    <mergeCell ref="A16:A19"/>
    <mergeCell ref="A84:A87"/>
    <mergeCell ref="A56:A59"/>
    <mergeCell ref="A12:A15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2026-06-04T05:31:14Z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