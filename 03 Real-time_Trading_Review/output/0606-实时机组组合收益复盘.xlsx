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1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3499862666707358"/>
      </left>
      <right/>
      <top/>
      <bottom/>
      <diagonal/>
    </border>
  </borders>
  <cellStyleXfs count="3">
    <xf numFmtId="0" fontId="0" fillId="0" borderId="0"/>
    <xf numFmtId="9" fontId="7" fillId="0" borderId="0" applyAlignment="1">
      <alignment vertical="center"/>
    </xf>
    <xf numFmtId="0" fontId="2" fillId="0" borderId="0"/>
  </cellStyleXfs>
  <cellXfs count="93"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6" fillId="0" borderId="0" pivotButton="0" quotePrefix="0" xfId="0"/>
    <xf numFmtId="0" fontId="9" fillId="6" borderId="39" applyAlignment="1" pivotButton="0" quotePrefix="0" xfId="0">
      <alignment horizontal="center" vertical="center" wrapText="1"/>
    </xf>
    <xf numFmtId="0" fontId="9" fillId="6" borderId="40" applyAlignment="1" pivotButton="0" quotePrefix="0" xfId="0">
      <alignment horizontal="center" vertical="center" wrapText="1"/>
    </xf>
    <xf numFmtId="0" fontId="9" fillId="6" borderId="34" applyAlignment="1" pivotButton="0" quotePrefix="0" xfId="0">
      <alignment horizontal="center" vertical="center" wrapText="1"/>
    </xf>
    <xf numFmtId="0" fontId="10" fillId="6" borderId="41" applyAlignment="1" pivotButton="0" quotePrefix="0" xfId="0">
      <alignment horizontal="center" vertical="center" wrapText="1"/>
    </xf>
    <xf numFmtId="0" fontId="10" fillId="7" borderId="33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0" fillId="7" borderId="34" applyAlignment="1" pivotButton="0" quotePrefix="0" xfId="0">
      <alignment horizontal="center" vertical="center" wrapText="1"/>
    </xf>
    <xf numFmtId="0" fontId="10" fillId="6" borderId="42" applyAlignment="1" pivotButton="0" quotePrefix="0" xfId="0">
      <alignment horizontal="center" vertical="center" wrapText="1"/>
    </xf>
    <xf numFmtId="0" fontId="10" fillId="6" borderId="33" applyAlignment="1" pivotButton="0" quotePrefix="0" xfId="0">
      <alignment horizontal="center" vertical="center" wrapText="1"/>
    </xf>
    <xf numFmtId="0" fontId="10" fillId="7" borderId="35" applyAlignment="1" pivotButton="0" quotePrefix="0" xfId="0">
      <alignment horizontal="center" vertical="center" wrapText="1"/>
    </xf>
    <xf numFmtId="0" fontId="10" fillId="6" borderId="36" applyAlignment="1" pivotButton="0" quotePrefix="0" xfId="0">
      <alignment horizontal="center" vertical="center" wrapText="1"/>
    </xf>
    <xf numFmtId="0" fontId="10" fillId="7" borderId="36" applyAlignment="1" pivotButton="0" quotePrefix="0" xfId="0">
      <alignment horizontal="center" vertical="center" wrapText="1"/>
    </xf>
    <xf numFmtId="0" fontId="10" fillId="6" borderId="37" applyAlignment="1" pivotButton="0" quotePrefix="0" xfId="0">
      <alignment horizontal="center" vertical="center" wrapText="1"/>
    </xf>
    <xf numFmtId="0" fontId="10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64" fontId="1" fillId="0" borderId="31" pivotButton="0" quotePrefix="0" xfId="2"/>
    <xf numFmtId="0" fontId="0" fillId="3" borderId="1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11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164" fontId="1" fillId="0" borderId="31" pivotButton="0" quotePrefix="0" xfId="2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/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zh-CN" alt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0.3</v>
                </pt>
                <pt idx="25">
                  <v>0.3</v>
                </pt>
                <pt idx="26">
                  <v>0.3</v>
                </pt>
                <pt idx="27">
                  <v>0.3</v>
                </pt>
                <pt idx="28">
                  <v>0.3</v>
                </pt>
                <pt idx="29">
                  <v>0.3</v>
                </pt>
                <pt idx="30">
                  <v>0.3</v>
                </pt>
                <pt idx="31">
                  <v>0.3</v>
                </pt>
                <pt idx="32">
                  <v>0.3</v>
                </pt>
                <pt idx="33">
                  <v>0.3</v>
                </pt>
                <pt idx="34">
                  <v>0.3</v>
                </pt>
                <pt idx="35">
                  <v>0.3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0.3</v>
                </pt>
                <pt idx="41">
                  <v>0.3</v>
                </pt>
                <pt idx="42">
                  <v>0.3</v>
                </pt>
                <pt idx="43">
                  <v>0.3</v>
                </pt>
                <pt idx="44">
                  <v>0.3</v>
                </pt>
                <pt idx="45">
                  <v>0.3</v>
                </pt>
                <pt idx="46">
                  <v>0.3</v>
                </pt>
                <pt idx="47">
                  <v>0.3</v>
                </pt>
                <pt idx="48">
                  <v>1</v>
                </pt>
                <pt idx="49">
                  <v>1</v>
                </pt>
                <pt idx="50">
                  <v>1</v>
                </pt>
                <pt idx="51">
                  <v>1</v>
                </pt>
                <pt idx="52">
                  <v>1</v>
                </pt>
                <pt idx="53">
                  <v>1</v>
                </pt>
                <pt idx="54">
                  <v>1</v>
                </pt>
                <pt idx="55">
                  <v>1</v>
                </pt>
                <pt idx="56">
                  <v>1</v>
                </pt>
                <pt idx="57">
                  <v>1</v>
                </pt>
                <pt idx="58">
                  <v>1</v>
                </pt>
                <pt idx="59">
                  <v>1</v>
                </pt>
                <pt idx="60">
                  <v>1.7</v>
                </pt>
                <pt idx="61">
                  <v>1.7</v>
                </pt>
                <pt idx="62">
                  <v>1.7</v>
                </pt>
                <pt idx="63">
                  <v>1.7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1.7</v>
                </pt>
                <pt idx="89">
                  <v>1.7</v>
                </pt>
                <pt idx="90">
                  <v>1.7</v>
                </pt>
                <pt idx="91">
                  <v>1.7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4" sqref="A4:Q4"/>
    </sheetView>
  </sheetViews>
  <sheetFormatPr baseColWidth="8" defaultColWidth="9" defaultRowHeight="13.8"/>
  <cols>
    <col width="11.77734375" customWidth="1" style="88" min="1" max="17"/>
  </cols>
  <sheetData>
    <row r="1">
      <c r="A1" s="81" t="inlineStr">
        <is>
          <t>储能每日充放测算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78" t="n"/>
      <c r="K1" s="78" t="n"/>
      <c r="L1" s="78" t="n"/>
      <c r="M1" s="78" t="n"/>
      <c r="N1" s="78" t="n"/>
      <c r="O1" s="78" t="n"/>
      <c r="P1" s="78" t="n"/>
      <c r="Q1" s="79" t="n"/>
    </row>
    <row r="2" ht="20.4" customHeight="1" s="88">
      <c r="A2" s="77" t="inlineStr">
        <is>
          <t>充电支出</t>
        </is>
      </c>
      <c r="B2" s="78" t="n"/>
      <c r="C2" s="78" t="n"/>
      <c r="D2" s="78" t="n"/>
      <c r="E2" s="78" t="n"/>
      <c r="F2" s="78" t="n"/>
      <c r="G2" s="78" t="n"/>
      <c r="H2" s="78" t="n"/>
      <c r="I2" s="78" t="n"/>
      <c r="J2" s="78" t="n"/>
      <c r="K2" s="79" t="n"/>
      <c r="L2" s="80" t="inlineStr">
        <is>
          <t>放电收入</t>
        </is>
      </c>
      <c r="M2" s="78" t="n"/>
      <c r="N2" s="79" t="n"/>
      <c r="O2" s="51" t="inlineStr">
        <is>
          <t>现货收益</t>
        </is>
      </c>
      <c r="P2" s="82" t="inlineStr">
        <is>
          <t>其他</t>
        </is>
      </c>
      <c r="Q2" s="79" t="n"/>
    </row>
    <row r="3" ht="27.6" customHeight="1" s="88">
      <c r="A3" s="43" t="inlineStr">
        <is>
          <t>充电均价
(元/MWh)</t>
        </is>
      </c>
      <c r="B3" s="43" t="inlineStr">
        <is>
          <t>充电电量(MWh)</t>
        </is>
      </c>
      <c r="C3" s="43" t="inlineStr">
        <is>
          <t>交易充电
费用(元)</t>
        </is>
      </c>
      <c r="D3" s="43" t="inlineStr">
        <is>
          <t>优发优购(元)</t>
        </is>
      </c>
      <c r="E3" s="43" t="inlineStr">
        <is>
          <t>上网线损(元)</t>
        </is>
      </c>
      <c r="F3" s="43" t="inlineStr">
        <is>
          <t>输配电费(元)</t>
        </is>
      </c>
      <c r="G3" s="43" t="inlineStr">
        <is>
          <t>政府基金(元)</t>
        </is>
      </c>
      <c r="H3" s="43" t="inlineStr">
        <is>
          <t>系统运行(元)</t>
        </is>
      </c>
      <c r="I3" s="43" t="inlineStr">
        <is>
          <t>容量分摊(元)</t>
        </is>
      </c>
      <c r="J3" s="43" t="inlineStr">
        <is>
          <t>容量分摊
系数</t>
        </is>
      </c>
      <c r="K3" s="43" t="inlineStr">
        <is>
          <t>充电总
费用(元)</t>
        </is>
      </c>
      <c r="L3" s="47" t="inlineStr">
        <is>
          <t>放电均价
(元/MWh)</t>
        </is>
      </c>
      <c r="M3" s="47" t="inlineStr">
        <is>
          <t>放电电量(MWh)</t>
        </is>
      </c>
      <c r="N3" s="47" t="inlineStr">
        <is>
          <t>放电电费
(元)</t>
        </is>
      </c>
      <c r="O3" s="51" t="inlineStr">
        <is>
          <t>（元）</t>
        </is>
      </c>
      <c r="P3" s="82" t="inlineStr">
        <is>
          <t>综合效率</t>
        </is>
      </c>
      <c r="Q3" s="53" t="inlineStr">
        <is>
          <t>充放价差
(元/MWh)</t>
        </is>
      </c>
    </row>
    <row r="4" ht="22.2" customHeight="1" s="88">
      <c r="A4" s="44">
        <f>报价及预中标!B26</f>
        <v/>
      </c>
      <c r="B4" s="44">
        <f>报价及预中标!B25</f>
        <v/>
      </c>
      <c r="C4" s="44">
        <f>A4*B4</f>
        <v/>
      </c>
      <c r="D4" s="44">
        <f>$B$4*I12</f>
        <v/>
      </c>
      <c r="E4" s="44">
        <f>$B$4*I13</f>
        <v/>
      </c>
      <c r="F4" s="44">
        <f>B4*(1-P4)*I8</f>
        <v/>
      </c>
      <c r="G4" s="44">
        <f>B4*(1-P4)*I9</f>
        <v/>
      </c>
      <c r="H4" s="44">
        <f>$B$4*I14</f>
        <v/>
      </c>
      <c r="I4" s="44">
        <f>B4*J4*70.5</f>
        <v/>
      </c>
      <c r="J4" s="44">
        <f>容量分摊系数!G3</f>
        <v/>
      </c>
      <c r="K4" s="48">
        <f>C4+D4+E4+F4+G4+H4+I4</f>
        <v/>
      </c>
      <c r="L4" s="44">
        <f>报价及预中标!D26</f>
        <v/>
      </c>
      <c r="M4" s="44">
        <f>报价及预中标!D25</f>
        <v/>
      </c>
      <c r="N4" s="48">
        <f>L4*M4</f>
        <v/>
      </c>
      <c r="O4" s="48">
        <f>N4+K4</f>
        <v/>
      </c>
      <c r="P4" s="52">
        <f>-M4/B4</f>
        <v/>
      </c>
      <c r="Q4" s="44">
        <f>L4-A4</f>
        <v/>
      </c>
    </row>
    <row r="6">
      <c r="A6" s="87" t="inlineStr">
        <is>
          <t>说明</t>
        </is>
      </c>
      <c r="B6" s="45" t="inlineStr">
        <is>
          <t>根据预测电价，输入充电均价，放电均价。根据充电时段计算出对于的容量分摊系数，计入容量分摊。</t>
        </is>
      </c>
      <c r="C6" s="45" t="n"/>
      <c r="K6" s="49">
        <f>K3</f>
        <v/>
      </c>
    </row>
    <row r="7">
      <c r="A7" s="87" t="n">
        <v>1</v>
      </c>
      <c r="B7" s="46" t="inlineStr">
        <is>
          <t>充电均价（元 / MWh）输入限制：-100 至 800；</t>
        </is>
      </c>
      <c r="C7" s="46" t="n"/>
      <c r="K7">
        <f>C3</f>
        <v/>
      </c>
    </row>
    <row r="8">
      <c r="A8" s="87" t="n">
        <v>2</v>
      </c>
      <c r="B8" s="46" t="inlineStr">
        <is>
          <t xml:space="preserve">输配电价（元 / MWh）设置：收取损耗部分输配电价； </t>
        </is>
      </c>
      <c r="C8" s="46" t="n"/>
      <c r="I8" s="50" t="n">
        <v>191.9</v>
      </c>
      <c r="J8" t="inlineStr">
        <is>
          <t>政府核定</t>
        </is>
      </c>
      <c r="K8">
        <f>D3</f>
        <v/>
      </c>
    </row>
    <row r="9">
      <c r="A9" s="87" t="n">
        <v>3</v>
      </c>
      <c r="B9" s="46" t="inlineStr">
        <is>
          <t>政府基金（元 /M Wh）设置：收取损耗部分输配电价；</t>
        </is>
      </c>
      <c r="C9" s="46" t="n"/>
      <c r="I9" s="50" t="n">
        <v>27.168</v>
      </c>
      <c r="J9" t="inlineStr">
        <is>
          <t>政府核定</t>
        </is>
      </c>
      <c r="K9">
        <f>E3</f>
        <v/>
      </c>
    </row>
    <row r="10">
      <c r="A10" s="87" t="n">
        <v>4</v>
      </c>
      <c r="B10" s="46" t="inlineStr">
        <is>
          <t>综合效率设置：60% 至 100%；</t>
        </is>
      </c>
      <c r="C10" s="46" t="n"/>
      <c r="K10">
        <f>F3</f>
        <v/>
      </c>
    </row>
    <row r="11">
      <c r="A11" s="87" t="n">
        <v>5</v>
      </c>
      <c r="B11" s="46" t="inlineStr">
        <is>
          <t>放电均价（元 / MWh）输入限制：100 至 1500；</t>
        </is>
      </c>
      <c r="C11" s="46" t="n"/>
      <c r="K11">
        <f>G3</f>
        <v/>
      </c>
    </row>
    <row r="12">
      <c r="A12" s="87" t="n">
        <v>6</v>
      </c>
      <c r="B12" s="46" t="inlineStr">
        <is>
          <t>优发优购曲线匹配偏差标准：暂以上月替代；</t>
        </is>
      </c>
      <c r="C12" s="46" t="n"/>
      <c r="I12" s="50" t="n">
        <v>3.5</v>
      </c>
      <c r="J12" t="inlineStr">
        <is>
          <t>上月均值</t>
        </is>
      </c>
      <c r="K12">
        <f>H3</f>
        <v/>
      </c>
    </row>
    <row r="13">
      <c r="A13" s="87" t="n">
        <v>7</v>
      </c>
      <c r="B13" s="46" t="inlineStr">
        <is>
          <t>上网环节线损费用；</t>
        </is>
      </c>
      <c r="C13" s="46" t="n"/>
      <c r="I13" s="50" t="n">
        <v>3.3</v>
      </c>
      <c r="J13" t="inlineStr">
        <is>
          <t>上月均值</t>
        </is>
      </c>
      <c r="K13">
        <f>I3</f>
        <v/>
      </c>
    </row>
    <row r="14">
      <c r="A14" s="87" t="n">
        <v>8</v>
      </c>
      <c r="B14" s="46" t="inlineStr">
        <is>
          <t>系统运行费用；</t>
        </is>
      </c>
      <c r="C14" s="46" t="n"/>
      <c r="I14" s="50" t="n">
        <v>-2.9</v>
      </c>
      <c r="J14" t="inlineStr">
        <is>
          <t>上月均值</t>
        </is>
      </c>
    </row>
    <row r="15">
      <c r="A15" s="87" t="n">
        <v>9</v>
      </c>
      <c r="B15" s="46" t="inlineStr">
        <is>
          <t xml:space="preserve"> 容量分摊：按季度分为4种类型，详见附表；</t>
        </is>
      </c>
      <c r="C15" s="46" t="n"/>
    </row>
    <row r="16">
      <c r="A16" s="87" t="n">
        <v>10</v>
      </c>
      <c r="B16" s="46" t="inlineStr">
        <is>
          <t>根据选择的充电时段，计算容量分摊系数。</t>
        </is>
      </c>
      <c r="C16" s="46" t="n"/>
      <c r="N16" s="87" t="n"/>
      <c r="O16" s="87" t="n"/>
    </row>
    <row r="17">
      <c r="N17" s="87" t="n"/>
      <c r="O17" s="87" t="n"/>
    </row>
    <row r="18">
      <c r="N18" s="87" t="n"/>
      <c r="O18" s="87" t="n"/>
    </row>
    <row r="19">
      <c r="N19" s="87" t="n"/>
      <c r="O19" s="87" t="n"/>
      <c r="P19" s="58" t="n"/>
    </row>
    <row r="20">
      <c r="M20" s="58" t="n"/>
      <c r="N20" s="87" t="n"/>
      <c r="O20" s="87" t="n"/>
    </row>
    <row r="21">
      <c r="N21" s="87" t="n"/>
      <c r="O21" s="8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38" min="1" max="1"/>
    <col width="16.33203125" customWidth="1" style="38" min="2" max="2"/>
    <col width="21.33203125" customWidth="1" style="38" min="3" max="5"/>
    <col width="10" customWidth="1" style="38" min="6" max="7"/>
    <col width="18.5546875" customWidth="1" style="14" min="8" max="8"/>
    <col width="21.44140625" customWidth="1" style="38" min="9" max="9"/>
    <col width="19.5546875" customWidth="1" style="15" min="10" max="10"/>
    <col width="19.5546875" customWidth="1" style="38" min="11" max="11"/>
    <col width="24.5546875" customWidth="1" style="15" min="12" max="13"/>
    <col width="10" customWidth="1" style="38" min="14" max="14"/>
    <col width="10" customWidth="1" style="38" min="15" max="16384"/>
  </cols>
  <sheetData>
    <row r="1">
      <c r="A1" s="38" t="inlineStr">
        <is>
          <t>假设</t>
        </is>
      </c>
      <c r="G1" s="38" t="inlineStr">
        <is>
          <t>时点序号</t>
        </is>
      </c>
      <c r="I1" s="38" t="inlineStr">
        <is>
          <t>时点</t>
        </is>
      </c>
      <c r="J1" s="15" t="inlineStr">
        <is>
          <t>统一结算日前</t>
        </is>
      </c>
      <c r="K1" s="38" t="inlineStr">
        <is>
          <t>节点日前电价</t>
        </is>
      </c>
      <c r="L1" s="15" t="inlineStr">
        <is>
          <t>真实充电中标</t>
        </is>
      </c>
      <c r="M1" s="15" t="inlineStr">
        <is>
          <t>真实放电中标</t>
        </is>
      </c>
      <c r="N1" s="38" t="inlineStr">
        <is>
          <t>充放电曲线</t>
        </is>
      </c>
    </row>
    <row r="2">
      <c r="A2" s="38" t="inlineStr">
        <is>
          <t>1. 中标按最大值中标，如[-100,-95],按-100中标，[0,95]，按95中标</t>
        </is>
      </c>
      <c r="G2" s="39" t="n">
        <v>1</v>
      </c>
      <c r="H2" s="14" t="inlineStr">
        <is>
          <t>20250606 0015</t>
        </is>
      </c>
      <c r="I2" s="38">
        <f>RIGHT(H2,4)</f>
        <v/>
      </c>
      <c r="J2" t="n">
        <v>453.8</v>
      </c>
      <c r="K2" t="n">
        <v>453.8</v>
      </c>
      <c r="L2" s="15">
        <f>IF(N2&lt;=0, N2, 0)</f>
        <v/>
      </c>
      <c r="M2" s="15">
        <f>IF(N2&gt;=0, N2, 0)</f>
        <v/>
      </c>
      <c r="N2" s="38" t="n">
        <v>0</v>
      </c>
    </row>
    <row r="3">
      <c r="G3" s="39" t="n">
        <v>2</v>
      </c>
      <c r="H3" s="14" t="inlineStr">
        <is>
          <t>20250606 0030</t>
        </is>
      </c>
      <c r="I3" s="38">
        <f>RIGHT(H3,4)</f>
        <v/>
      </c>
      <c r="J3" t="n">
        <v>447.6</v>
      </c>
      <c r="K3" t="n">
        <v>447.6</v>
      </c>
      <c r="L3" s="15">
        <f>IF(N3&lt;=0, N3, 0)</f>
        <v/>
      </c>
      <c r="M3" s="15">
        <f>IF(N3&gt;=0, N3, 0)</f>
        <v/>
      </c>
      <c r="N3" s="38" t="n">
        <v>0</v>
      </c>
    </row>
    <row r="4">
      <c r="G4" s="39" t="n">
        <v>3</v>
      </c>
      <c r="H4" s="14" t="inlineStr">
        <is>
          <t>20250606 0045</t>
        </is>
      </c>
      <c r="I4" s="38">
        <f>RIGHT(H4,4)</f>
        <v/>
      </c>
      <c r="J4" t="n">
        <v>456.04</v>
      </c>
      <c r="K4" t="n">
        <v>456.04</v>
      </c>
      <c r="L4" s="15">
        <f>IF(N4&lt;=0, N4, 0)</f>
        <v/>
      </c>
      <c r="M4" s="15">
        <f>IF(N4&gt;=0, N4, 0)</f>
        <v/>
      </c>
      <c r="N4" s="38" t="n">
        <v>0</v>
      </c>
    </row>
    <row r="5">
      <c r="A5" s="16" t="inlineStr">
        <is>
          <t>序号</t>
        </is>
      </c>
      <c r="B5" s="17" t="inlineStr">
        <is>
          <t>类型</t>
        </is>
      </c>
      <c r="C5" s="17" t="inlineStr">
        <is>
          <t>开始出力（MW）</t>
        </is>
      </c>
      <c r="D5" s="17" t="inlineStr">
        <is>
          <t>结束出力（MW）</t>
        </is>
      </c>
      <c r="E5" s="40" t="inlineStr">
        <is>
          <t>报价（元/MWh）</t>
        </is>
      </c>
      <c r="G5" s="39" t="n">
        <v>4</v>
      </c>
      <c r="H5" s="14" t="inlineStr">
        <is>
          <t>20250606 0100</t>
        </is>
      </c>
      <c r="I5" s="38">
        <f>RIGHT(H5,4)</f>
        <v/>
      </c>
      <c r="J5" t="n">
        <v>456.8</v>
      </c>
      <c r="K5" t="n">
        <v>456.8</v>
      </c>
      <c r="L5" s="15">
        <f>IF(N5&lt;=0, N5, 0)</f>
        <v/>
      </c>
      <c r="M5" s="15">
        <f>IF(N5&gt;=0, N5, 0)</f>
        <v/>
      </c>
      <c r="N5" s="38" t="n">
        <v>0</v>
      </c>
    </row>
    <row r="6">
      <c r="A6" s="18" t="n">
        <v>1</v>
      </c>
      <c r="B6" s="15" t="inlineStr">
        <is>
          <t>充电</t>
        </is>
      </c>
      <c r="C6" s="15" t="n">
        <v>-100</v>
      </c>
      <c r="D6" s="15" t="n">
        <v>-95</v>
      </c>
      <c r="E6" s="54" t="n">
        <v>0</v>
      </c>
      <c r="G6" s="39" t="n">
        <v>5</v>
      </c>
      <c r="H6" s="14" t="inlineStr">
        <is>
          <t>20250606 0115</t>
        </is>
      </c>
      <c r="I6" s="38">
        <f>RIGHT(H6,4)</f>
        <v/>
      </c>
      <c r="J6" t="n">
        <v>436</v>
      </c>
      <c r="K6" t="n">
        <v>436</v>
      </c>
      <c r="L6" s="15">
        <f>IF(N6&lt;=0, N6, 0)</f>
        <v/>
      </c>
      <c r="M6" s="15">
        <f>IF(N6&gt;=0, N6, 0)</f>
        <v/>
      </c>
      <c r="N6" s="38" t="n">
        <v>0</v>
      </c>
    </row>
    <row r="7">
      <c r="A7" s="18" t="n">
        <v>2</v>
      </c>
      <c r="B7" s="15" t="inlineStr">
        <is>
          <t>充电</t>
        </is>
      </c>
      <c r="C7" s="15" t="n">
        <v>-95</v>
      </c>
      <c r="D7" s="15" t="n">
        <v>0</v>
      </c>
      <c r="E7" s="41" t="n">
        <v>100</v>
      </c>
      <c r="G7" s="39" t="n">
        <v>6</v>
      </c>
      <c r="H7" s="14" t="inlineStr">
        <is>
          <t>20250606 0130</t>
        </is>
      </c>
      <c r="I7" s="38">
        <f>RIGHT(H7,4)</f>
        <v/>
      </c>
      <c r="J7" t="n">
        <v>421.4</v>
      </c>
      <c r="K7" t="n">
        <v>421.4</v>
      </c>
      <c r="L7" s="15">
        <f>IF(N7&lt;=0, N7, 0)</f>
        <v/>
      </c>
      <c r="M7" s="15">
        <f>IF(N7&gt;=0, N7, 0)</f>
        <v/>
      </c>
      <c r="N7" s="38" t="n">
        <v>0</v>
      </c>
    </row>
    <row r="8">
      <c r="A8" s="18" t="n">
        <v>3</v>
      </c>
      <c r="B8" s="15" t="inlineStr">
        <is>
          <t>充电</t>
        </is>
      </c>
      <c r="C8" s="15" t="n"/>
      <c r="D8" s="15" t="n"/>
      <c r="E8" s="41" t="n"/>
      <c r="G8" s="39" t="n">
        <v>7</v>
      </c>
      <c r="H8" s="14" t="inlineStr">
        <is>
          <t>20250606 0145</t>
        </is>
      </c>
      <c r="I8" s="38">
        <f>RIGHT(H8,4)</f>
        <v/>
      </c>
      <c r="J8" t="n">
        <v>403.125</v>
      </c>
      <c r="K8" t="n">
        <v>403.125</v>
      </c>
      <c r="L8" s="15">
        <f>IF(N8&lt;=0, N8, 0)</f>
        <v/>
      </c>
      <c r="M8" s="15">
        <f>IF(N8&gt;=0, N8, 0)</f>
        <v/>
      </c>
      <c r="N8" s="38" t="n">
        <v>0</v>
      </c>
    </row>
    <row r="9">
      <c r="A9" s="18" t="n">
        <v>4</v>
      </c>
      <c r="B9" s="15" t="inlineStr">
        <is>
          <t>充电</t>
        </is>
      </c>
      <c r="C9" s="15" t="n"/>
      <c r="D9" s="15" t="n"/>
      <c r="E9" s="41" t="n"/>
      <c r="G9" s="39" t="n">
        <v>8</v>
      </c>
      <c r="H9" s="14" t="inlineStr">
        <is>
          <t>20250606 0200</t>
        </is>
      </c>
      <c r="I9" s="38">
        <f>RIGHT(H9,4)</f>
        <v/>
      </c>
      <c r="J9" t="n">
        <v>400</v>
      </c>
      <c r="K9" t="n">
        <v>400</v>
      </c>
      <c r="L9" s="15">
        <f>IF(N9&lt;=0, N9, 0)</f>
        <v/>
      </c>
      <c r="M9" s="15">
        <f>IF(N9&gt;=0, N9, 0)</f>
        <v/>
      </c>
      <c r="N9" s="38" t="n">
        <v>0</v>
      </c>
    </row>
    <row r="10">
      <c r="A10" s="18" t="n">
        <v>5</v>
      </c>
      <c r="B10" s="15" t="inlineStr">
        <is>
          <t>充电</t>
        </is>
      </c>
      <c r="C10" s="15" t="n"/>
      <c r="D10" s="15" t="n"/>
      <c r="E10" s="41" t="n"/>
      <c r="G10" s="39" t="n">
        <v>9</v>
      </c>
      <c r="H10" s="14" t="inlineStr">
        <is>
          <t>20250606 0215</t>
        </is>
      </c>
      <c r="I10" s="38">
        <f>RIGHT(H10,4)</f>
        <v/>
      </c>
      <c r="J10" t="n">
        <v>397.093</v>
      </c>
      <c r="K10" t="n">
        <v>397.093</v>
      </c>
      <c r="L10" s="15">
        <f>IF(N10&lt;=0, N10, 0)</f>
        <v/>
      </c>
      <c r="M10" s="15">
        <f>IF(N10&gt;=0, N10, 0)</f>
        <v/>
      </c>
      <c r="N10" s="38" t="n">
        <v>0</v>
      </c>
    </row>
    <row r="11">
      <c r="A11" s="18" t="n">
        <v>6</v>
      </c>
      <c r="B11" s="15" t="inlineStr">
        <is>
          <t>放电</t>
        </is>
      </c>
      <c r="C11" s="15" t="n">
        <v>0</v>
      </c>
      <c r="D11" s="15" t="n">
        <v>95</v>
      </c>
      <c r="E11" s="41" t="n">
        <v>250</v>
      </c>
      <c r="G11" s="39" t="n">
        <v>10</v>
      </c>
      <c r="H11" s="14" t="inlineStr">
        <is>
          <t>20250606 0230</t>
        </is>
      </c>
      <c r="I11" s="38">
        <f>RIGHT(H11,4)</f>
        <v/>
      </c>
      <c r="J11" t="n">
        <v>404</v>
      </c>
      <c r="K11" t="n">
        <v>404</v>
      </c>
      <c r="L11" s="15">
        <f>IF(N11&lt;=0, N11, 0)</f>
        <v/>
      </c>
      <c r="M11" s="15">
        <f>IF(N11&gt;=0, N11, 0)</f>
        <v/>
      </c>
      <c r="N11" s="38" t="n">
        <v>0</v>
      </c>
    </row>
    <row r="12">
      <c r="A12" s="18" t="n">
        <v>7</v>
      </c>
      <c r="B12" s="15" t="inlineStr">
        <is>
          <t>放电</t>
        </is>
      </c>
      <c r="C12" s="15" t="n">
        <v>95</v>
      </c>
      <c r="D12" s="15" t="n">
        <v>100</v>
      </c>
      <c r="E12" s="54" t="n">
        <v>300</v>
      </c>
      <c r="G12" s="39" t="n">
        <v>11</v>
      </c>
      <c r="H12" s="14" t="inlineStr">
        <is>
          <t>20250606 0245</t>
        </is>
      </c>
      <c r="I12" s="38">
        <f>RIGHT(H12,4)</f>
        <v/>
      </c>
      <c r="J12" t="n">
        <v>409.028</v>
      </c>
      <c r="K12" t="n">
        <v>409.028</v>
      </c>
      <c r="L12" s="15">
        <f>IF(N12&lt;=0, N12, 0)</f>
        <v/>
      </c>
      <c r="M12" s="15">
        <f>IF(N12&gt;=0, N12, 0)</f>
        <v/>
      </c>
      <c r="N12" s="38" t="n">
        <v>0</v>
      </c>
    </row>
    <row r="13">
      <c r="A13" s="18" t="n">
        <v>8</v>
      </c>
      <c r="B13" s="15" t="inlineStr">
        <is>
          <t>放电</t>
        </is>
      </c>
      <c r="C13" s="15" t="n"/>
      <c r="D13" s="15" t="n"/>
      <c r="E13" s="54" t="n"/>
      <c r="G13" s="39" t="n">
        <v>12</v>
      </c>
      <c r="H13" s="14" t="inlineStr">
        <is>
          <t>20250606 0300</t>
        </is>
      </c>
      <c r="I13" s="38">
        <f>RIGHT(H13,4)</f>
        <v/>
      </c>
      <c r="J13" t="n">
        <v>409</v>
      </c>
      <c r="K13" t="n">
        <v>409</v>
      </c>
      <c r="L13" s="15">
        <f>IF(N13&lt;=0, N13, 0)</f>
        <v/>
      </c>
      <c r="M13" s="15">
        <f>IF(N13&gt;=0, N13, 0)</f>
        <v/>
      </c>
      <c r="N13" s="38" t="n">
        <v>0</v>
      </c>
    </row>
    <row r="14">
      <c r="A14" s="18" t="n">
        <v>9</v>
      </c>
      <c r="B14" s="15" t="inlineStr">
        <is>
          <t>放电</t>
        </is>
      </c>
      <c r="C14" s="15" t="n"/>
      <c r="D14" s="15" t="n"/>
      <c r="E14" s="41" t="n"/>
      <c r="G14" s="39" t="n">
        <v>13</v>
      </c>
      <c r="H14" s="14" t="inlineStr">
        <is>
          <t>20250606 0315</t>
        </is>
      </c>
      <c r="I14" s="38">
        <f>RIGHT(H14,4)</f>
        <v/>
      </c>
      <c r="J14" t="n">
        <v>406</v>
      </c>
      <c r="K14" t="n">
        <v>406</v>
      </c>
      <c r="L14" s="15">
        <f>IF(N14&lt;=0, N14, 0)</f>
        <v/>
      </c>
      <c r="M14" s="15">
        <f>IF(N14&gt;=0, N14, 0)</f>
        <v/>
      </c>
      <c r="N14" s="38" t="n">
        <v>0</v>
      </c>
    </row>
    <row r="15">
      <c r="A15" s="19" t="n">
        <v>10</v>
      </c>
      <c r="B15" s="20" t="inlineStr">
        <is>
          <t>放电</t>
        </is>
      </c>
      <c r="C15" s="20" t="n"/>
      <c r="D15" s="20" t="n"/>
      <c r="E15" s="42" t="n"/>
      <c r="G15" s="39" t="n">
        <v>14</v>
      </c>
      <c r="H15" s="14" t="inlineStr">
        <is>
          <t>20250606 0330</t>
        </is>
      </c>
      <c r="I15" s="38">
        <f>RIGHT(H15,4)</f>
        <v/>
      </c>
      <c r="J15" t="n">
        <v>406.667</v>
      </c>
      <c r="K15" t="n">
        <v>406.667</v>
      </c>
      <c r="L15" s="15">
        <f>IF(N15&lt;=0, N15, 0)</f>
        <v/>
      </c>
      <c r="M15" s="15">
        <f>IF(N15&gt;=0, N15, 0)</f>
        <v/>
      </c>
      <c r="N15" s="38" t="n">
        <v>0</v>
      </c>
    </row>
    <row r="16">
      <c r="G16" s="39" t="n">
        <v>15</v>
      </c>
      <c r="H16" s="14" t="inlineStr">
        <is>
          <t>20250606 0345</t>
        </is>
      </c>
      <c r="I16" s="38">
        <f>RIGHT(H16,4)</f>
        <v/>
      </c>
      <c r="J16" t="n">
        <v>417</v>
      </c>
      <c r="K16" t="n">
        <v>417</v>
      </c>
      <c r="L16" s="15">
        <f>IF(N16&lt;=0, N16, 0)</f>
        <v/>
      </c>
      <c r="M16" s="15">
        <f>IF(N16&gt;=0, N16, 0)</f>
        <v/>
      </c>
      <c r="N16" s="38" t="n">
        <v>0</v>
      </c>
    </row>
    <row r="17">
      <c r="G17" s="39" t="n">
        <v>16</v>
      </c>
      <c r="H17" s="14" t="inlineStr">
        <is>
          <t>20250606 0400</t>
        </is>
      </c>
      <c r="I17" s="38">
        <f>RIGHT(H17,4)</f>
        <v/>
      </c>
      <c r="J17" t="n">
        <v>411.6</v>
      </c>
      <c r="K17" t="n">
        <v>411.6</v>
      </c>
      <c r="L17" s="15">
        <f>IF(N17&lt;=0, N17, 0)</f>
        <v/>
      </c>
      <c r="M17" s="15">
        <f>IF(N17&gt;=0, N17, 0)</f>
        <v/>
      </c>
      <c r="N17" s="38" t="n">
        <v>0</v>
      </c>
    </row>
    <row r="18">
      <c r="A18" s="21" t="inlineStr">
        <is>
          <t>初始电量（MWh)</t>
        </is>
      </c>
      <c r="B18" s="22" t="n">
        <v>0</v>
      </c>
      <c r="G18" s="39" t="n">
        <v>17</v>
      </c>
      <c r="H18" s="14" t="inlineStr">
        <is>
          <t>20250606 0415</t>
        </is>
      </c>
      <c r="I18" s="38">
        <f>RIGHT(H18,4)</f>
        <v/>
      </c>
      <c r="J18" t="n">
        <v>412.692</v>
      </c>
      <c r="K18" t="n">
        <v>412.692</v>
      </c>
      <c r="L18" s="15">
        <f>IF(N18&lt;=0, N18, 0)</f>
        <v/>
      </c>
      <c r="M18" s="15">
        <f>IF(N18&gt;=0, N18, 0)</f>
        <v/>
      </c>
      <c r="N18" s="38" t="n">
        <v>0</v>
      </c>
    </row>
    <row r="19">
      <c r="A19" s="23" t="inlineStr">
        <is>
          <t>额定装机（MW）</t>
        </is>
      </c>
      <c r="B19" s="24" t="n">
        <v>100</v>
      </c>
      <c r="G19" s="39" t="n">
        <v>18</v>
      </c>
      <c r="H19" s="14" t="inlineStr">
        <is>
          <t>20250606 0430</t>
        </is>
      </c>
      <c r="I19" s="38">
        <f>RIGHT(H19,4)</f>
        <v/>
      </c>
      <c r="J19" t="n">
        <v>419</v>
      </c>
      <c r="K19" t="n">
        <v>419</v>
      </c>
      <c r="L19" s="15">
        <f>IF(N19&lt;=0, N19, 0)</f>
        <v/>
      </c>
      <c r="M19" s="15">
        <f>IF(N19&gt;=0, N19, 0)</f>
        <v/>
      </c>
      <c r="N19" s="38" t="n">
        <v>0</v>
      </c>
    </row>
    <row r="20">
      <c r="A20" s="23" t="inlineStr">
        <is>
          <t>最大电量（MWh)</t>
        </is>
      </c>
      <c r="B20" s="24" t="n">
        <v>180</v>
      </c>
      <c r="G20" s="39" t="n">
        <v>19</v>
      </c>
      <c r="H20" s="14" t="inlineStr">
        <is>
          <t>20250606 0445</t>
        </is>
      </c>
      <c r="I20" s="38">
        <f>RIGHT(H20,4)</f>
        <v/>
      </c>
      <c r="J20" t="n">
        <v>399.211</v>
      </c>
      <c r="K20" t="n">
        <v>399.211</v>
      </c>
      <c r="L20" s="15">
        <f>IF(N20&lt;=0, N20, 0)</f>
        <v/>
      </c>
      <c r="M20" s="15">
        <f>IF(N20&gt;=0, N20, 0)</f>
        <v/>
      </c>
      <c r="N20" s="38" t="n">
        <v>0</v>
      </c>
    </row>
    <row r="21">
      <c r="A21" s="25" t="inlineStr">
        <is>
          <t>综合使用效率</t>
        </is>
      </c>
      <c r="B21" s="26" t="n">
        <v>0.9</v>
      </c>
      <c r="G21" s="39" t="n">
        <v>20</v>
      </c>
      <c r="H21" s="14" t="inlineStr">
        <is>
          <t>20250606 0500</t>
        </is>
      </c>
      <c r="I21" s="38">
        <f>RIGHT(H21,4)</f>
        <v/>
      </c>
      <c r="J21" t="n">
        <v>394</v>
      </c>
      <c r="K21" t="n">
        <v>394</v>
      </c>
      <c r="L21" s="15">
        <f>IF(N21&lt;=0, N21, 0)</f>
        <v/>
      </c>
      <c r="M21" s="15">
        <f>IF(N21&gt;=0, N21, 0)</f>
        <v/>
      </c>
      <c r="N21" s="38" t="n">
        <v>0</v>
      </c>
    </row>
    <row r="22">
      <c r="G22" s="39" t="n">
        <v>21</v>
      </c>
      <c r="H22" s="14" t="inlineStr">
        <is>
          <t>20250606 0515</t>
        </is>
      </c>
      <c r="I22" s="38">
        <f>RIGHT(H22,4)</f>
        <v/>
      </c>
      <c r="J22" t="n">
        <v>390</v>
      </c>
      <c r="K22" t="n">
        <v>390</v>
      </c>
      <c r="L22" s="15">
        <f>IF(N22&lt;=0, N22, 0)</f>
        <v/>
      </c>
      <c r="M22" s="15">
        <f>IF(N22&gt;=0, N22, 0)</f>
        <v/>
      </c>
      <c r="N22" s="38" t="n">
        <v>0</v>
      </c>
    </row>
    <row r="23">
      <c r="G23" s="39" t="n">
        <v>22</v>
      </c>
      <c r="H23" s="14" t="inlineStr">
        <is>
          <t>20250606 0530</t>
        </is>
      </c>
      <c r="I23" s="38">
        <f>RIGHT(H23,4)</f>
        <v/>
      </c>
      <c r="J23" t="n">
        <v>400.909</v>
      </c>
      <c r="K23" t="n">
        <v>400.909</v>
      </c>
      <c r="L23" s="15">
        <f>IF(N23&lt;=0, N23, 0)</f>
        <v/>
      </c>
      <c r="M23" s="15">
        <f>IF(N23&gt;=0, N23, 0)</f>
        <v/>
      </c>
      <c r="N23" s="38" t="n">
        <v>0</v>
      </c>
    </row>
    <row r="24">
      <c r="G24" s="39" t="n">
        <v>23</v>
      </c>
      <c r="H24" s="14" t="inlineStr">
        <is>
          <t>20250606 0545</t>
        </is>
      </c>
      <c r="I24" s="38">
        <f>RIGHT(H24,4)</f>
        <v/>
      </c>
      <c r="J24" t="n">
        <v>406</v>
      </c>
      <c r="K24" t="n">
        <v>406</v>
      </c>
      <c r="L24" s="15">
        <f>IF(N24&lt;=0, N24, 0)</f>
        <v/>
      </c>
      <c r="M24" s="15">
        <f>IF(N24&gt;=0, N24, 0)</f>
        <v/>
      </c>
      <c r="N24" s="38" t="n">
        <v>0</v>
      </c>
    </row>
    <row r="25">
      <c r="A25" s="27" t="inlineStr">
        <is>
          <t>充电电量（MWh)</t>
        </is>
      </c>
      <c r="B25" s="28">
        <f>SUM(L:L)/4</f>
        <v/>
      </c>
      <c r="C25" s="28" t="inlineStr">
        <is>
          <t>放电电量（MWh)</t>
        </is>
      </c>
      <c r="D25" s="29">
        <f>SUM(M:M)/4</f>
        <v/>
      </c>
      <c r="G25" s="39" t="n">
        <v>24</v>
      </c>
      <c r="H25" s="14" t="inlineStr">
        <is>
          <t>20250606 0600</t>
        </is>
      </c>
      <c r="I25" s="38">
        <f>RIGHT(H25,4)</f>
        <v/>
      </c>
      <c r="J25" t="n">
        <v>401.634</v>
      </c>
      <c r="K25" t="n">
        <v>401.634</v>
      </c>
      <c r="L25" s="15">
        <f>IF(N25&lt;=0, N25, 0)</f>
        <v/>
      </c>
      <c r="M25" s="15">
        <f>IF(N25&gt;=0, N25, 0)</f>
        <v/>
      </c>
      <c r="N25" s="38" t="n">
        <v>0</v>
      </c>
    </row>
    <row r="26">
      <c r="A26" s="30" t="inlineStr">
        <is>
          <t>充电均价(元/MWh）</t>
        </is>
      </c>
      <c r="B26" s="31">
        <f>B27/B25</f>
        <v/>
      </c>
      <c r="C26" s="38" t="inlineStr">
        <is>
          <t>放电均价(元/MWh）</t>
        </is>
      </c>
      <c r="D26" s="32">
        <f>D27/D25</f>
        <v/>
      </c>
      <c r="G26" s="39" t="n">
        <v>25</v>
      </c>
      <c r="H26" s="14" t="inlineStr">
        <is>
          <t>20250606 0615</t>
        </is>
      </c>
      <c r="I26" s="38">
        <f>RIGHT(H26,4)</f>
        <v/>
      </c>
      <c r="J26" t="n">
        <v>395.222</v>
      </c>
      <c r="K26" t="n">
        <v>395.222</v>
      </c>
      <c r="L26" s="15">
        <f>IF(N26&lt;=0, N26, 0)</f>
        <v/>
      </c>
      <c r="M26" s="15">
        <f>IF(N26&gt;=0, N26, 0)</f>
        <v/>
      </c>
      <c r="N26" s="38" t="n">
        <v>0</v>
      </c>
    </row>
    <row r="27">
      <c r="A27" s="30" t="inlineStr">
        <is>
          <t>充电费用（元,正数代表收入）</t>
        </is>
      </c>
      <c r="B27" s="33">
        <f>SUMPRODUCT(J:J,L:L)/4</f>
        <v/>
      </c>
      <c r="C27" s="38" t="inlineStr">
        <is>
          <t>放电收益（元,正数代表收入）</t>
        </is>
      </c>
      <c r="D27" s="34">
        <f t="array" ref="D27">SUMPRODUCT(K:K,M:M)/4</f>
        <v/>
      </c>
      <c r="G27" s="39" t="n">
        <v>26</v>
      </c>
      <c r="H27" s="14" t="inlineStr">
        <is>
          <t>20250606 0630</t>
        </is>
      </c>
      <c r="I27" s="38">
        <f>RIGHT(H27,4)</f>
        <v/>
      </c>
      <c r="J27" t="n">
        <v>391.25</v>
      </c>
      <c r="K27" t="n">
        <v>391.25</v>
      </c>
      <c r="L27" s="15">
        <f>IF(N27&lt;=0, N27, 0)</f>
        <v/>
      </c>
      <c r="M27" s="15">
        <f>IF(N27&gt;=0, N27, 0)</f>
        <v/>
      </c>
      <c r="N27" s="38" t="n">
        <v>0</v>
      </c>
    </row>
    <row r="28">
      <c r="A28" s="35" t="inlineStr">
        <is>
          <t>充放电价差(元/MWh）</t>
        </is>
      </c>
      <c r="B28" s="92">
        <f>D26-B26</f>
        <v/>
      </c>
      <c r="C28" s="36" t="inlineStr">
        <is>
          <t>充放电收益(元/MWh）</t>
        </is>
      </c>
      <c r="D28" s="37">
        <f>D27+B27</f>
        <v/>
      </c>
      <c r="G28" s="39" t="n">
        <v>27</v>
      </c>
      <c r="H28" s="14" t="inlineStr">
        <is>
          <t>20250606 0645</t>
        </is>
      </c>
      <c r="I28" s="38">
        <f>RIGHT(H28,4)</f>
        <v/>
      </c>
      <c r="J28" t="n">
        <v>388.531</v>
      </c>
      <c r="K28" t="n">
        <v>388.531</v>
      </c>
      <c r="L28" s="15">
        <f>IF(N28&lt;=0, N28, 0)</f>
        <v/>
      </c>
      <c r="M28" s="15">
        <f>IF(N28&gt;=0, N28, 0)</f>
        <v/>
      </c>
      <c r="N28" s="38" t="n">
        <v>0</v>
      </c>
    </row>
    <row r="29">
      <c r="G29" s="39" t="n">
        <v>28</v>
      </c>
      <c r="H29" s="14" t="inlineStr">
        <is>
          <t>20250606 0700</t>
        </is>
      </c>
      <c r="I29" s="38">
        <f>RIGHT(H29,4)</f>
        <v/>
      </c>
      <c r="J29" t="n">
        <v>419</v>
      </c>
      <c r="K29" t="n">
        <v>419</v>
      </c>
      <c r="L29" s="15">
        <f>IF(N29&lt;=0, N29, 0)</f>
        <v/>
      </c>
      <c r="M29" s="15">
        <f>IF(N29&gt;=0, N29, 0)</f>
        <v/>
      </c>
      <c r="N29" s="38" t="n">
        <v>0</v>
      </c>
    </row>
    <row r="30">
      <c r="D30" s="56">
        <f>充放测算!O4</f>
        <v/>
      </c>
      <c r="G30" s="39" t="n">
        <v>29</v>
      </c>
      <c r="H30" s="14" t="inlineStr">
        <is>
          <t>20250606 0715</t>
        </is>
      </c>
      <c r="I30" s="38">
        <f>RIGHT(H30,4)</f>
        <v/>
      </c>
      <c r="J30" t="n">
        <v>421.103</v>
      </c>
      <c r="K30" t="n">
        <v>421.103</v>
      </c>
      <c r="L30" s="15">
        <f>IF(N30&lt;=0, N30, 0)</f>
        <v/>
      </c>
      <c r="M30" s="15">
        <f>IF(N30&gt;=0, N30, 0)</f>
        <v/>
      </c>
      <c r="N30" s="38" t="n">
        <v>0</v>
      </c>
    </row>
    <row r="31">
      <c r="G31" s="39" t="n">
        <v>30</v>
      </c>
      <c r="H31" s="14" t="inlineStr">
        <is>
          <t>20250606 0730</t>
        </is>
      </c>
      <c r="I31" s="38">
        <f>RIGHT(H31,4)</f>
        <v/>
      </c>
      <c r="J31" t="n">
        <v>420.5</v>
      </c>
      <c r="K31" t="n">
        <v>420.5</v>
      </c>
      <c r="L31" s="15">
        <f>IF(N31&lt;=0, N31, 0)</f>
        <v/>
      </c>
      <c r="M31" s="15">
        <f>IF(N31&gt;=0, N31, 0)</f>
        <v/>
      </c>
      <c r="N31" s="38" t="n">
        <v>0</v>
      </c>
    </row>
    <row r="32">
      <c r="G32" s="39" t="n">
        <v>31</v>
      </c>
      <c r="H32" s="14" t="inlineStr">
        <is>
          <t>20250606 0745</t>
        </is>
      </c>
      <c r="I32" s="38">
        <f>RIGHT(H32,4)</f>
        <v/>
      </c>
      <c r="J32" t="n">
        <v>466.723</v>
      </c>
      <c r="K32" t="n">
        <v>466.723</v>
      </c>
      <c r="L32" s="15">
        <f>IF(N32&lt;=0, N32, 0)</f>
        <v/>
      </c>
      <c r="M32" s="15">
        <f>IF(N32&gt;=0, N32, 0)</f>
        <v/>
      </c>
      <c r="N32" s="38" t="n">
        <v>0</v>
      </c>
    </row>
    <row r="33" ht="16.2" customHeight="1" s="88" thickBot="1">
      <c r="G33" s="39" t="n">
        <v>32</v>
      </c>
      <c r="H33" s="14" t="inlineStr">
        <is>
          <t>20250606 0800</t>
        </is>
      </c>
      <c r="I33" s="38">
        <f>RIGHT(H33,4)</f>
        <v/>
      </c>
      <c r="J33" t="n">
        <v>336.377</v>
      </c>
      <c r="K33" t="n">
        <v>336.377</v>
      </c>
      <c r="L33" s="15">
        <f>IF(N33&lt;=0, N33, 0)</f>
        <v/>
      </c>
      <c r="M33" s="15">
        <f>IF(N33&gt;=0, N33, 0)</f>
        <v/>
      </c>
      <c r="N33" s="38" t="n">
        <v>-100</v>
      </c>
    </row>
    <row r="34">
      <c r="A34" s="59" t="inlineStr">
        <is>
          <t>序号</t>
        </is>
      </c>
      <c r="B34" s="60" t="inlineStr">
        <is>
          <t>类型</t>
        </is>
      </c>
      <c r="C34" s="60" t="inlineStr">
        <is>
          <t>开始出力（MW）</t>
        </is>
      </c>
      <c r="D34" s="60" t="inlineStr">
        <is>
          <t>结束出力（MW）</t>
        </is>
      </c>
      <c r="E34" s="61" t="inlineStr">
        <is>
          <t>报价(元/MWh)</t>
        </is>
      </c>
      <c r="G34" s="39" t="n">
        <v>33</v>
      </c>
      <c r="H34" s="14" t="inlineStr">
        <is>
          <t>20250606 0815</t>
        </is>
      </c>
      <c r="I34" s="38">
        <f>RIGHT(H34,4)</f>
        <v/>
      </c>
      <c r="J34" t="n">
        <v>469.525</v>
      </c>
      <c r="K34" t="n">
        <v>469.525</v>
      </c>
      <c r="L34" s="15">
        <f>IF(N34&lt;=0, N34, 0)</f>
        <v/>
      </c>
      <c r="M34" s="15">
        <f>IF(N34&gt;=0, N34, 0)</f>
        <v/>
      </c>
      <c r="N34" s="38" t="n">
        <v>0</v>
      </c>
    </row>
    <row r="35">
      <c r="A35" s="66" t="n"/>
      <c r="B35" s="62" t="n"/>
      <c r="C35" s="62" t="n"/>
      <c r="D35" s="62" t="n"/>
      <c r="E35" s="67" t="n"/>
      <c r="G35" s="39" t="n">
        <v>34</v>
      </c>
      <c r="H35" s="14" t="inlineStr">
        <is>
          <t>20250606 0830</t>
        </is>
      </c>
      <c r="I35" s="38">
        <f>RIGHT(H35,4)</f>
        <v/>
      </c>
      <c r="J35" t="n">
        <v>524.694</v>
      </c>
      <c r="K35" t="n">
        <v>524.694</v>
      </c>
      <c r="L35" s="15">
        <f>IF(N35&lt;=0, N35, 0)</f>
        <v/>
      </c>
      <c r="M35" s="15">
        <f>IF(N35&gt;=0, N35, 0)</f>
        <v/>
      </c>
      <c r="N35" s="38" t="n">
        <v>0</v>
      </c>
    </row>
    <row r="36" ht="16.2" customHeight="1" s="88" thickBot="1">
      <c r="A36" s="68" t="n">
        <v>1</v>
      </c>
      <c r="B36" s="63" t="inlineStr">
        <is>
          <t>充电</t>
        </is>
      </c>
      <c r="C36" s="63" t="n">
        <v>-100</v>
      </c>
      <c r="D36" s="63" t="n">
        <v>-95</v>
      </c>
      <c r="E36" s="63" t="n">
        <v>0</v>
      </c>
      <c r="G36" s="39" t="n">
        <v>35</v>
      </c>
      <c r="H36" s="14" t="inlineStr">
        <is>
          <t>20250606 0845</t>
        </is>
      </c>
      <c r="I36" s="38">
        <f>RIGHT(H36,4)</f>
        <v/>
      </c>
      <c r="J36" t="n">
        <v>407.184</v>
      </c>
      <c r="K36" t="n">
        <v>407.184</v>
      </c>
      <c r="L36" s="15">
        <f>IF(N36&lt;=0, N36, 0)</f>
        <v/>
      </c>
      <c r="M36" s="15">
        <f>IF(N36&gt;=0, N36, 0)</f>
        <v/>
      </c>
      <c r="N36" s="38" t="n">
        <v>0</v>
      </c>
    </row>
    <row r="37" ht="16.2" customHeight="1" s="88" thickBot="1">
      <c r="A37" s="69" t="n">
        <v>2</v>
      </c>
      <c r="B37" s="64" t="inlineStr">
        <is>
          <t>充电</t>
        </is>
      </c>
      <c r="C37" s="64" t="n">
        <v>-95</v>
      </c>
      <c r="D37" s="64" t="n">
        <v>0</v>
      </c>
      <c r="E37" s="64" t="n">
        <v>150</v>
      </c>
      <c r="G37" s="39" t="n">
        <v>36</v>
      </c>
      <c r="H37" s="14" t="inlineStr">
        <is>
          <t>20250606 0900</t>
        </is>
      </c>
      <c r="I37" s="38">
        <f>RIGHT(H37,4)</f>
        <v/>
      </c>
      <c r="J37" t="n">
        <v>487.508</v>
      </c>
      <c r="K37" t="n">
        <v>487.508</v>
      </c>
      <c r="L37" s="15">
        <f>IF(N37&lt;=0, N37, 0)</f>
        <v/>
      </c>
      <c r="M37" s="15">
        <f>IF(N37&gt;=0, N37, 0)</f>
        <v/>
      </c>
      <c r="N37" s="38" t="n">
        <v>0</v>
      </c>
    </row>
    <row r="38" ht="16.2" customHeight="1" s="88" thickBot="1">
      <c r="A38" s="70" t="n">
        <v>3</v>
      </c>
      <c r="B38" s="65" t="inlineStr">
        <is>
          <t>放电</t>
        </is>
      </c>
      <c r="C38" s="65" t="n">
        <v>0</v>
      </c>
      <c r="D38" s="65" t="n">
        <v>95</v>
      </c>
      <c r="E38" s="65" t="n">
        <v>280</v>
      </c>
      <c r="G38" s="39" t="n">
        <v>37</v>
      </c>
      <c r="H38" s="14" t="inlineStr">
        <is>
          <t>20250606 0915</t>
        </is>
      </c>
      <c r="I38" s="38">
        <f>RIGHT(H38,4)</f>
        <v/>
      </c>
      <c r="J38" t="n">
        <v>507.526</v>
      </c>
      <c r="K38" t="n">
        <v>507.526</v>
      </c>
      <c r="L38" s="15">
        <f>IF(N38&lt;=0, N38, 0)</f>
        <v/>
      </c>
      <c r="M38" s="15">
        <f>IF(N38&gt;=0, N38, 0)</f>
        <v/>
      </c>
      <c r="N38" s="38" t="n">
        <v>0</v>
      </c>
    </row>
    <row r="39" ht="16.2" customHeight="1" s="88" thickBot="1">
      <c r="A39" s="71" t="n">
        <v>4</v>
      </c>
      <c r="B39" s="72" t="inlineStr">
        <is>
          <t>放电</t>
        </is>
      </c>
      <c r="C39" s="72" t="n">
        <v>95</v>
      </c>
      <c r="D39" s="72" t="n">
        <v>100</v>
      </c>
      <c r="E39" s="72" t="n">
        <v>350</v>
      </c>
      <c r="G39" s="39" t="n">
        <v>38</v>
      </c>
      <c r="H39" s="14" t="inlineStr">
        <is>
          <t>20250606 0930</t>
        </is>
      </c>
      <c r="I39" s="38">
        <f>RIGHT(H39,4)</f>
        <v/>
      </c>
      <c r="J39" t="n">
        <v>696.665</v>
      </c>
      <c r="K39" t="n">
        <v>696.665</v>
      </c>
      <c r="L39" s="15">
        <f>IF(N39&lt;=0, N39, 0)</f>
        <v/>
      </c>
      <c r="M39" s="15">
        <f>IF(N39&gt;=0, N39, 0)</f>
        <v/>
      </c>
      <c r="N39" s="38" t="n">
        <v>0</v>
      </c>
    </row>
    <row r="40">
      <c r="G40" s="39" t="n">
        <v>39</v>
      </c>
      <c r="H40" s="14" t="inlineStr">
        <is>
          <t>20250606 0945</t>
        </is>
      </c>
      <c r="I40" s="38">
        <f>RIGHT(H40,4)</f>
        <v/>
      </c>
      <c r="J40" t="n">
        <v>701.333</v>
      </c>
      <c r="K40" t="n">
        <v>701.333</v>
      </c>
      <c r="L40" s="15">
        <f>IF(N40&lt;=0, N40, 0)</f>
        <v/>
      </c>
      <c r="M40" s="15">
        <f>IF(N40&gt;=0, N40, 0)</f>
        <v/>
      </c>
      <c r="N40" s="38" t="n">
        <v>0</v>
      </c>
    </row>
    <row r="41">
      <c r="G41" s="39" t="n">
        <v>40</v>
      </c>
      <c r="H41" s="14" t="inlineStr">
        <is>
          <t>20250606 1000</t>
        </is>
      </c>
      <c r="I41" s="38">
        <f>RIGHT(H41,4)</f>
        <v/>
      </c>
      <c r="J41" t="n">
        <v>598.467</v>
      </c>
      <c r="K41" t="n">
        <v>598.467</v>
      </c>
      <c r="L41" s="15">
        <f>IF(N41&lt;=0, N41, 0)</f>
        <v/>
      </c>
      <c r="M41" s="15">
        <f>IF(N41&gt;=0, N41, 0)</f>
        <v/>
      </c>
      <c r="N41" s="38" t="n">
        <v>0</v>
      </c>
    </row>
    <row r="42">
      <c r="G42" s="39" t="n">
        <v>41</v>
      </c>
      <c r="H42" s="14" t="inlineStr">
        <is>
          <t>20250606 1015</t>
        </is>
      </c>
      <c r="I42" s="38">
        <f>RIGHT(H42,4)</f>
        <v/>
      </c>
      <c r="J42" t="n">
        <v>563.2</v>
      </c>
      <c r="K42" t="n">
        <v>563.2</v>
      </c>
      <c r="L42" s="15">
        <f>IF(N42&lt;=0, N42, 0)</f>
        <v/>
      </c>
      <c r="M42" s="15">
        <f>IF(N42&gt;=0, N42, 0)</f>
        <v/>
      </c>
      <c r="N42" s="38" t="n">
        <v>0</v>
      </c>
    </row>
    <row r="43">
      <c r="G43" s="39" t="n">
        <v>42</v>
      </c>
      <c r="H43" s="14" t="inlineStr">
        <is>
          <t>20250606 1030</t>
        </is>
      </c>
      <c r="I43" s="38">
        <f>RIGHT(H43,4)</f>
        <v/>
      </c>
      <c r="J43" t="n">
        <v>563.8</v>
      </c>
      <c r="K43" t="n">
        <v>563.8</v>
      </c>
      <c r="L43" s="15">
        <f>IF(N43&lt;=0, N43, 0)</f>
        <v/>
      </c>
      <c r="M43" s="15">
        <f>IF(N43&gt;=0, N43, 0)</f>
        <v/>
      </c>
      <c r="N43" s="38" t="n">
        <v>27.01</v>
      </c>
    </row>
    <row r="44">
      <c r="G44" s="39" t="n">
        <v>43</v>
      </c>
      <c r="H44" s="14" t="inlineStr">
        <is>
          <t>20250606 1045</t>
        </is>
      </c>
      <c r="I44" s="38">
        <f>RIGHT(H44,4)</f>
        <v/>
      </c>
      <c r="J44" t="n">
        <v>571.4</v>
      </c>
      <c r="K44" t="n">
        <v>571.4</v>
      </c>
      <c r="L44" s="15">
        <f>IF(N44&lt;=0, N44, 0)</f>
        <v/>
      </c>
      <c r="M44" s="15">
        <f>IF(N44&gt;=0, N44, 0)</f>
        <v/>
      </c>
      <c r="N44" s="38" t="n">
        <v>27.01</v>
      </c>
    </row>
    <row r="45">
      <c r="G45" s="39" t="n">
        <v>44</v>
      </c>
      <c r="H45" s="14" t="inlineStr">
        <is>
          <t>20250606 1100</t>
        </is>
      </c>
      <c r="I45" s="38">
        <f>RIGHT(H45,4)</f>
        <v/>
      </c>
      <c r="J45" t="n">
        <v>507.6</v>
      </c>
      <c r="K45" t="n">
        <v>507.6</v>
      </c>
      <c r="L45" s="15">
        <f>IF(N45&lt;=0, N45, 0)</f>
        <v/>
      </c>
      <c r="M45" s="15">
        <f>IF(N45&gt;=0, N45, 0)</f>
        <v/>
      </c>
      <c r="N45" s="38" t="n">
        <v>27.01</v>
      </c>
    </row>
    <row r="46">
      <c r="G46" s="39" t="n">
        <v>45</v>
      </c>
      <c r="H46" s="14" t="inlineStr">
        <is>
          <t>20250606 1115</t>
        </is>
      </c>
      <c r="I46" s="38">
        <f>RIGHT(H46,4)</f>
        <v/>
      </c>
      <c r="J46" t="n">
        <v>519.6</v>
      </c>
      <c r="K46" t="n">
        <v>519.6</v>
      </c>
      <c r="L46" s="15">
        <f>IF(N46&lt;=0, N46, 0)</f>
        <v/>
      </c>
      <c r="M46" s="15">
        <f>IF(N46&gt;=0, N46, 0)</f>
        <v/>
      </c>
      <c r="N46" s="38" t="n">
        <v>27.01</v>
      </c>
    </row>
    <row r="47">
      <c r="G47" s="39" t="n">
        <v>46</v>
      </c>
      <c r="H47" s="14" t="inlineStr">
        <is>
          <t>20250606 1130</t>
        </is>
      </c>
      <c r="I47" s="38">
        <f>RIGHT(H47,4)</f>
        <v/>
      </c>
      <c r="J47" t="n">
        <v>430.8</v>
      </c>
      <c r="K47" t="n">
        <v>430.8</v>
      </c>
      <c r="L47" s="15">
        <f>IF(N47&lt;=0, N47, 0)</f>
        <v/>
      </c>
      <c r="M47" s="15">
        <f>IF(N47&gt;=0, N47, 0)</f>
        <v/>
      </c>
      <c r="N47" s="38" t="n">
        <v>0</v>
      </c>
    </row>
    <row r="48">
      <c r="G48" s="39" t="n">
        <v>47</v>
      </c>
      <c r="H48" s="14" t="inlineStr">
        <is>
          <t>20250606 1145</t>
        </is>
      </c>
      <c r="I48" s="38">
        <f>RIGHT(H48,4)</f>
        <v/>
      </c>
      <c r="J48" t="n">
        <v>397.025</v>
      </c>
      <c r="K48" t="n">
        <v>397.025</v>
      </c>
      <c r="L48" s="15">
        <f>IF(N48&lt;=0, N48, 0)</f>
        <v/>
      </c>
      <c r="M48" s="15">
        <f>IF(N48&gt;=0, N48, 0)</f>
        <v/>
      </c>
      <c r="N48" s="38" t="n">
        <v>0</v>
      </c>
    </row>
    <row r="49">
      <c r="G49" s="39" t="n">
        <v>48</v>
      </c>
      <c r="H49" s="14" t="inlineStr">
        <is>
          <t>20250606 1200</t>
        </is>
      </c>
      <c r="I49" s="38">
        <f>RIGHT(H49,4)</f>
        <v/>
      </c>
      <c r="J49" t="n">
        <v>370</v>
      </c>
      <c r="K49" t="n">
        <v>370</v>
      </c>
      <c r="L49" s="15">
        <f>IF(N49&lt;=0, N49, 0)</f>
        <v/>
      </c>
      <c r="M49" s="15">
        <f>IF(N49&gt;=0, N49, 0)</f>
        <v/>
      </c>
      <c r="N49" s="38" t="n">
        <v>0</v>
      </c>
    </row>
    <row r="50">
      <c r="G50" s="39" t="n">
        <v>49</v>
      </c>
      <c r="H50" s="14" t="inlineStr">
        <is>
          <t>20250606 1215</t>
        </is>
      </c>
      <c r="I50" s="38">
        <f>RIGHT(H50,4)</f>
        <v/>
      </c>
      <c r="J50" t="n">
        <v>320</v>
      </c>
      <c r="K50" t="n">
        <v>320</v>
      </c>
      <c r="L50" s="15">
        <f>IF(N50&lt;=0, N50, 0)</f>
        <v/>
      </c>
      <c r="M50" s="15">
        <f>IF(N50&gt;=0, N50, 0)</f>
        <v/>
      </c>
      <c r="N50" s="38" t="n">
        <v>0</v>
      </c>
    </row>
    <row r="51">
      <c r="G51" s="39" t="n">
        <v>50</v>
      </c>
      <c r="H51" s="14" t="inlineStr">
        <is>
          <t>20250606 1230</t>
        </is>
      </c>
      <c r="I51" s="38">
        <f>RIGHT(H51,4)</f>
        <v/>
      </c>
      <c r="J51" t="n">
        <v>-80</v>
      </c>
      <c r="K51" t="n">
        <v>-80</v>
      </c>
      <c r="L51" s="15">
        <f>IF(N51&lt;=0, N51, 0)</f>
        <v/>
      </c>
      <c r="M51" s="15">
        <f>IF(N51&gt;=0, N51, 0)</f>
        <v/>
      </c>
      <c r="N51" s="38" t="n">
        <v>0</v>
      </c>
    </row>
    <row r="52">
      <c r="G52" s="39" t="n">
        <v>51</v>
      </c>
      <c r="H52" s="14" t="inlineStr">
        <is>
          <t>20250606 1245</t>
        </is>
      </c>
      <c r="I52" s="38">
        <f>RIGHT(H52,4)</f>
        <v/>
      </c>
      <c r="J52" t="n">
        <v>-80</v>
      </c>
      <c r="K52" t="n">
        <v>-80</v>
      </c>
      <c r="L52" s="15">
        <f>IF(N52&lt;=0, N52, 0)</f>
        <v/>
      </c>
      <c r="M52" s="15">
        <f>IF(N52&gt;=0, N52, 0)</f>
        <v/>
      </c>
      <c r="N52" s="38" t="n">
        <v>0</v>
      </c>
    </row>
    <row r="53">
      <c r="G53" s="39" t="n">
        <v>52</v>
      </c>
      <c r="H53" s="14" t="inlineStr">
        <is>
          <t>20250606 1300</t>
        </is>
      </c>
      <c r="I53" s="38">
        <f>RIGHT(H53,4)</f>
        <v/>
      </c>
      <c r="J53" t="n">
        <v>-76.85899999999999</v>
      </c>
      <c r="K53" t="n">
        <v>-76.85899999999999</v>
      </c>
      <c r="L53" s="15">
        <f>IF(N53&lt;=0, N53, 0)</f>
        <v/>
      </c>
      <c r="M53" s="15">
        <f>IF(N53&gt;=0, N53, 0)</f>
        <v/>
      </c>
      <c r="N53" s="38" t="n">
        <v>0</v>
      </c>
    </row>
    <row r="54">
      <c r="G54" s="39" t="n">
        <v>53</v>
      </c>
      <c r="H54" s="14" t="inlineStr">
        <is>
          <t>20250606 1315</t>
        </is>
      </c>
      <c r="I54" s="38">
        <f>RIGHT(H54,4)</f>
        <v/>
      </c>
      <c r="J54" t="n">
        <v>297.406</v>
      </c>
      <c r="K54" t="n">
        <v>297.406</v>
      </c>
      <c r="L54" s="15">
        <f>IF(N54&lt;=0, N54, 0)</f>
        <v/>
      </c>
      <c r="M54" s="15">
        <f>IF(N54&gt;=0, N54, 0)</f>
        <v/>
      </c>
      <c r="N54" s="38" t="n">
        <v>0</v>
      </c>
    </row>
    <row r="55">
      <c r="G55" s="39" t="n">
        <v>54</v>
      </c>
      <c r="H55" s="14" t="inlineStr">
        <is>
          <t>20250606 1330</t>
        </is>
      </c>
      <c r="I55" s="38">
        <f>RIGHT(H55,4)</f>
        <v/>
      </c>
      <c r="J55" t="n">
        <v>330</v>
      </c>
      <c r="K55" t="n">
        <v>330</v>
      </c>
      <c r="L55" s="15">
        <f>IF(N55&lt;=0, N55, 0)</f>
        <v/>
      </c>
      <c r="M55" s="15">
        <f>IF(N55&gt;=0, N55, 0)</f>
        <v/>
      </c>
      <c r="N55" s="38" t="n">
        <v>0</v>
      </c>
    </row>
    <row r="56">
      <c r="G56" s="39" t="n">
        <v>55</v>
      </c>
      <c r="H56" s="14" t="inlineStr">
        <is>
          <t>20250606 1345</t>
        </is>
      </c>
      <c r="I56" s="38">
        <f>RIGHT(H56,4)</f>
        <v/>
      </c>
      <c r="J56" t="n">
        <v>340</v>
      </c>
      <c r="K56" t="n">
        <v>340</v>
      </c>
      <c r="L56" s="15">
        <f>IF(N56&lt;=0, N56, 0)</f>
        <v/>
      </c>
      <c r="M56" s="15">
        <f>IF(N56&gt;=0, N56, 0)</f>
        <v/>
      </c>
      <c r="N56" s="38" t="n">
        <v>0</v>
      </c>
    </row>
    <row r="57">
      <c r="G57" s="39" t="n">
        <v>56</v>
      </c>
      <c r="H57" s="14" t="inlineStr">
        <is>
          <t>20250606 1400</t>
        </is>
      </c>
      <c r="I57" s="38">
        <f>RIGHT(H57,4)</f>
        <v/>
      </c>
      <c r="J57" t="n">
        <v>391.276</v>
      </c>
      <c r="K57" t="n">
        <v>391.276</v>
      </c>
      <c r="L57" s="15">
        <f>IF(N57&lt;=0, N57, 0)</f>
        <v/>
      </c>
      <c r="M57" s="15">
        <f>IF(N57&gt;=0, N57, 0)</f>
        <v/>
      </c>
      <c r="N57" s="38" t="n">
        <v>0</v>
      </c>
    </row>
    <row r="58">
      <c r="G58" s="39" t="n">
        <v>57</v>
      </c>
      <c r="H58" s="14" t="inlineStr">
        <is>
          <t>20250606 1415</t>
        </is>
      </c>
      <c r="I58" s="38">
        <f>RIGHT(H58,4)</f>
        <v/>
      </c>
      <c r="J58" t="n">
        <v>335</v>
      </c>
      <c r="K58" t="n">
        <v>335</v>
      </c>
      <c r="L58" s="15">
        <f>IF(N58&lt;=0, N58, 0)</f>
        <v/>
      </c>
      <c r="M58" s="15">
        <f>IF(N58&gt;=0, N58, 0)</f>
        <v/>
      </c>
      <c r="N58" s="38" t="n">
        <v>0</v>
      </c>
    </row>
    <row r="59">
      <c r="G59" s="39" t="n">
        <v>58</v>
      </c>
      <c r="H59" s="14" t="inlineStr">
        <is>
          <t>20250606 1430</t>
        </is>
      </c>
      <c r="I59" s="38">
        <f>RIGHT(H59,4)</f>
        <v/>
      </c>
      <c r="J59" t="n">
        <v>349.583</v>
      </c>
      <c r="K59" t="n">
        <v>349.583</v>
      </c>
      <c r="L59" s="15">
        <f>IF(N59&lt;=0, N59, 0)</f>
        <v/>
      </c>
      <c r="M59" s="15">
        <f>IF(N59&gt;=0, N59, 0)</f>
        <v/>
      </c>
      <c r="N59" s="38" t="n">
        <v>0</v>
      </c>
    </row>
    <row r="60">
      <c r="G60" s="39" t="n">
        <v>59</v>
      </c>
      <c r="H60" s="14" t="inlineStr">
        <is>
          <t>20250606 1445</t>
        </is>
      </c>
      <c r="I60" s="38">
        <f>RIGHT(H60,4)</f>
        <v/>
      </c>
      <c r="J60" t="n">
        <v>342</v>
      </c>
      <c r="K60" t="n">
        <v>342</v>
      </c>
      <c r="L60" s="15">
        <f>IF(N60&lt;=0, N60, 0)</f>
        <v/>
      </c>
      <c r="M60" s="15">
        <f>IF(N60&gt;=0, N60, 0)</f>
        <v/>
      </c>
      <c r="N60" s="38" t="n">
        <v>0</v>
      </c>
    </row>
    <row r="61">
      <c r="G61" s="39" t="n">
        <v>60</v>
      </c>
      <c r="H61" s="14" t="inlineStr">
        <is>
          <t>20250606 1500</t>
        </is>
      </c>
      <c r="I61" s="38">
        <f>RIGHT(H61,4)</f>
        <v/>
      </c>
      <c r="J61" t="n">
        <v>354</v>
      </c>
      <c r="K61" t="n">
        <v>354</v>
      </c>
      <c r="L61" s="15">
        <f>IF(N61&lt;=0, N61, 0)</f>
        <v/>
      </c>
      <c r="M61" s="15">
        <f>IF(N61&gt;=0, N61, 0)</f>
        <v/>
      </c>
      <c r="N61" s="38" t="n">
        <v>0</v>
      </c>
    </row>
    <row r="62">
      <c r="G62" s="39" t="n">
        <v>61</v>
      </c>
      <c r="H62" s="14" t="inlineStr">
        <is>
          <t>20250606 1515</t>
        </is>
      </c>
      <c r="I62" s="38">
        <f>RIGHT(H62,4)</f>
        <v/>
      </c>
      <c r="J62" t="n">
        <v>362</v>
      </c>
      <c r="K62" t="n">
        <v>362</v>
      </c>
      <c r="L62" s="15">
        <f>IF(N62&lt;=0, N62, 0)</f>
        <v/>
      </c>
      <c r="M62" s="15">
        <f>IF(N62&gt;=0, N62, 0)</f>
        <v/>
      </c>
      <c r="N62" s="38" t="n">
        <v>0</v>
      </c>
    </row>
    <row r="63">
      <c r="G63" s="39" t="n">
        <v>62</v>
      </c>
      <c r="H63" s="14" t="inlineStr">
        <is>
          <t>20250606 1530</t>
        </is>
      </c>
      <c r="I63" s="38">
        <f>RIGHT(H63,4)</f>
        <v/>
      </c>
      <c r="J63" t="n">
        <v>370</v>
      </c>
      <c r="K63" t="n">
        <v>370</v>
      </c>
      <c r="L63" s="15">
        <f>IF(N63&lt;=0, N63, 0)</f>
        <v/>
      </c>
      <c r="M63" s="15">
        <f>IF(N63&gt;=0, N63, 0)</f>
        <v/>
      </c>
      <c r="N63" s="38" t="n">
        <v>0</v>
      </c>
    </row>
    <row r="64">
      <c r="G64" s="39" t="n">
        <v>63</v>
      </c>
      <c r="H64" s="14" t="inlineStr">
        <is>
          <t>20250606 1545</t>
        </is>
      </c>
      <c r="I64" s="38">
        <f>RIGHT(H64,4)</f>
        <v/>
      </c>
      <c r="J64" t="n">
        <v>378</v>
      </c>
      <c r="K64" t="n">
        <v>378</v>
      </c>
      <c r="L64" s="15">
        <f>IF(N64&lt;=0, N64, 0)</f>
        <v/>
      </c>
      <c r="M64" s="15">
        <f>IF(N64&gt;=0, N64, 0)</f>
        <v/>
      </c>
      <c r="N64" s="38" t="n">
        <v>0</v>
      </c>
    </row>
    <row r="65">
      <c r="G65" s="39" t="n">
        <v>64</v>
      </c>
      <c r="H65" s="14" t="inlineStr">
        <is>
          <t>20250606 1600</t>
        </is>
      </c>
      <c r="I65" s="38">
        <f>RIGHT(H65,4)</f>
        <v/>
      </c>
      <c r="J65" t="n">
        <v>367.261</v>
      </c>
      <c r="K65" t="n">
        <v>367.261</v>
      </c>
      <c r="L65" s="15">
        <f>IF(N65&lt;=0, N65, 0)</f>
        <v/>
      </c>
      <c r="M65" s="15">
        <f>IF(N65&gt;=0, N65, 0)</f>
        <v/>
      </c>
      <c r="N65" s="38" t="n">
        <v>0</v>
      </c>
    </row>
    <row r="66">
      <c r="G66" s="39" t="n">
        <v>65</v>
      </c>
      <c r="H66" s="14" t="inlineStr">
        <is>
          <t>20250606 1615</t>
        </is>
      </c>
      <c r="I66" s="38">
        <f>RIGHT(H66,4)</f>
        <v/>
      </c>
      <c r="J66" t="n">
        <v>332</v>
      </c>
      <c r="K66" t="n">
        <v>332</v>
      </c>
      <c r="L66" s="15">
        <f>IF(N66&lt;=0, N66, 0)</f>
        <v/>
      </c>
      <c r="M66" s="15">
        <f>IF(N66&gt;=0, N66, 0)</f>
        <v/>
      </c>
      <c r="N66" s="38" t="n">
        <v>0</v>
      </c>
    </row>
    <row r="67">
      <c r="G67" s="39" t="n">
        <v>66</v>
      </c>
      <c r="H67" s="14" t="inlineStr">
        <is>
          <t>20250606 1630</t>
        </is>
      </c>
      <c r="I67" s="38">
        <f>RIGHT(H67,4)</f>
        <v/>
      </c>
      <c r="J67" t="n">
        <v>341.725</v>
      </c>
      <c r="K67" t="n">
        <v>341.725</v>
      </c>
      <c r="L67" s="15">
        <f>IF(N67&lt;=0, N67, 0)</f>
        <v/>
      </c>
      <c r="M67" s="15">
        <f>IF(N67&gt;=0, N67, 0)</f>
        <v/>
      </c>
      <c r="N67" s="38" t="n">
        <v>0</v>
      </c>
    </row>
    <row r="68">
      <c r="G68" s="39" t="n">
        <v>67</v>
      </c>
      <c r="H68" s="14" t="inlineStr">
        <is>
          <t>20250606 1645</t>
        </is>
      </c>
      <c r="I68" s="38">
        <f>RIGHT(H68,4)</f>
        <v/>
      </c>
      <c r="J68" t="n">
        <v>341</v>
      </c>
      <c r="K68" t="n">
        <v>341</v>
      </c>
      <c r="L68" s="15">
        <f>IF(N68&lt;=0, N68, 0)</f>
        <v/>
      </c>
      <c r="M68" s="15">
        <f>IF(N68&gt;=0, N68, 0)</f>
        <v/>
      </c>
      <c r="N68" s="38" t="n">
        <v>0</v>
      </c>
    </row>
    <row r="69">
      <c r="G69" s="39" t="n">
        <v>68</v>
      </c>
      <c r="H69" s="14" t="inlineStr">
        <is>
          <t>20250606 1700</t>
        </is>
      </c>
      <c r="I69" s="38">
        <f>RIGHT(H69,4)</f>
        <v/>
      </c>
      <c r="J69" t="n">
        <v>342</v>
      </c>
      <c r="K69" t="n">
        <v>342</v>
      </c>
      <c r="L69" s="15">
        <f>IF(N69&lt;=0, N69, 0)</f>
        <v/>
      </c>
      <c r="M69" s="15">
        <f>IF(N69&gt;=0, N69, 0)</f>
        <v/>
      </c>
      <c r="N69" s="38" t="n">
        <v>0</v>
      </c>
    </row>
    <row r="70">
      <c r="G70" s="39" t="n">
        <v>69</v>
      </c>
      <c r="H70" s="14" t="inlineStr">
        <is>
          <t>20250606 1715</t>
        </is>
      </c>
      <c r="I70" s="38">
        <f>RIGHT(H70,4)</f>
        <v/>
      </c>
      <c r="J70" t="n">
        <v>339.75</v>
      </c>
      <c r="K70" t="n">
        <v>339.75</v>
      </c>
      <c r="L70" s="15">
        <f>IF(N70&lt;=0, N70, 0)</f>
        <v/>
      </c>
      <c r="M70" s="15">
        <f>IF(N70&gt;=0, N70, 0)</f>
        <v/>
      </c>
      <c r="N70" s="38" t="n">
        <v>0</v>
      </c>
    </row>
    <row r="71">
      <c r="G71" s="39" t="n">
        <v>70</v>
      </c>
      <c r="H71" s="14" t="inlineStr">
        <is>
          <t>20250606 1730</t>
        </is>
      </c>
      <c r="I71" s="38">
        <f>RIGHT(H71,4)</f>
        <v/>
      </c>
      <c r="J71" t="n">
        <v>346</v>
      </c>
      <c r="K71" t="n">
        <v>346</v>
      </c>
      <c r="L71" s="15">
        <f>IF(N71&lt;=0, N71, 0)</f>
        <v/>
      </c>
      <c r="M71" s="15">
        <f>IF(N71&gt;=0, N71, 0)</f>
        <v/>
      </c>
      <c r="N71" s="38" t="n">
        <v>0</v>
      </c>
    </row>
    <row r="72">
      <c r="G72" s="39" t="n">
        <v>71</v>
      </c>
      <c r="H72" s="14" t="inlineStr">
        <is>
          <t>20250606 1745</t>
        </is>
      </c>
      <c r="I72" s="38">
        <f>RIGHT(H72,4)</f>
        <v/>
      </c>
      <c r="J72" t="n">
        <v>340</v>
      </c>
      <c r="K72" t="n">
        <v>340</v>
      </c>
      <c r="L72" s="15">
        <f>IF(N72&lt;=0, N72, 0)</f>
        <v/>
      </c>
      <c r="M72" s="15">
        <f>IF(N72&gt;=0, N72, 0)</f>
        <v/>
      </c>
      <c r="N72" s="38" t="n">
        <v>0</v>
      </c>
    </row>
    <row r="73">
      <c r="G73" s="39" t="n">
        <v>72</v>
      </c>
      <c r="H73" s="14" t="inlineStr">
        <is>
          <t>20250606 1800</t>
        </is>
      </c>
      <c r="I73" s="38">
        <f>RIGHT(H73,4)</f>
        <v/>
      </c>
      <c r="J73" t="n">
        <v>330</v>
      </c>
      <c r="K73" t="n">
        <v>330</v>
      </c>
      <c r="L73" s="15">
        <f>IF(N73&lt;=0, N73, 0)</f>
        <v/>
      </c>
      <c r="M73" s="15">
        <f>IF(N73&gt;=0, N73, 0)</f>
        <v/>
      </c>
      <c r="N73" s="38" t="n">
        <v>0</v>
      </c>
    </row>
    <row r="74">
      <c r="G74" s="39" t="n">
        <v>73</v>
      </c>
      <c r="H74" s="14" t="inlineStr">
        <is>
          <t>20250606 1815</t>
        </is>
      </c>
      <c r="I74" s="38">
        <f>RIGHT(H74,4)</f>
        <v/>
      </c>
      <c r="J74" t="n">
        <v>316</v>
      </c>
      <c r="K74" t="n">
        <v>316</v>
      </c>
      <c r="L74" s="15">
        <f>IF(N74&lt;=0, N74, 0)</f>
        <v/>
      </c>
      <c r="M74" s="15">
        <f>IF(N74&gt;=0, N74, 0)</f>
        <v/>
      </c>
      <c r="N74" s="38" t="n">
        <v>0</v>
      </c>
    </row>
    <row r="75">
      <c r="G75" s="39" t="n">
        <v>74</v>
      </c>
      <c r="H75" s="14" t="inlineStr">
        <is>
          <t>20250606 1830</t>
        </is>
      </c>
      <c r="I75" s="38">
        <f>RIGHT(H75,4)</f>
        <v/>
      </c>
      <c r="J75" t="n">
        <v>321.761</v>
      </c>
      <c r="K75" t="n">
        <v>321.761</v>
      </c>
      <c r="L75" s="15">
        <f>IF(N75&lt;=0, N75, 0)</f>
        <v/>
      </c>
      <c r="M75" s="15">
        <f>IF(N75&gt;=0, N75, 0)</f>
        <v/>
      </c>
      <c r="N75" s="38" t="n">
        <v>0</v>
      </c>
    </row>
    <row r="76">
      <c r="G76" s="39" t="n">
        <v>75</v>
      </c>
      <c r="H76" s="14" t="inlineStr">
        <is>
          <t>20250606 1845</t>
        </is>
      </c>
      <c r="I76" s="38">
        <f>RIGHT(H76,4)</f>
        <v/>
      </c>
      <c r="J76" t="n">
        <v>316</v>
      </c>
      <c r="K76" t="n">
        <v>316</v>
      </c>
      <c r="L76" s="15">
        <f>IF(N76&lt;=0, N76, 0)</f>
        <v/>
      </c>
      <c r="M76" s="15">
        <f>IF(N76&gt;=0, N76, 0)</f>
        <v/>
      </c>
      <c r="N76" s="38" t="n">
        <v>0</v>
      </c>
    </row>
    <row r="77">
      <c r="G77" s="39" t="n">
        <v>76</v>
      </c>
      <c r="H77" s="14" t="inlineStr">
        <is>
          <t>20250606 1900</t>
        </is>
      </c>
      <c r="I77" s="38">
        <f>RIGHT(H77,4)</f>
        <v/>
      </c>
      <c r="J77" t="n">
        <v>314.24</v>
      </c>
      <c r="K77" t="n">
        <v>314.24</v>
      </c>
      <c r="L77" s="15">
        <f>IF(N77&lt;=0, N77, 0)</f>
        <v/>
      </c>
      <c r="M77" s="15">
        <f>IF(N77&gt;=0, N77, 0)</f>
        <v/>
      </c>
      <c r="N77" s="38" t="n">
        <v>0</v>
      </c>
    </row>
    <row r="78">
      <c r="G78" s="39" t="n">
        <v>77</v>
      </c>
      <c r="H78" s="14" t="inlineStr">
        <is>
          <t>20250606 1915</t>
        </is>
      </c>
      <c r="I78" s="38">
        <f>RIGHT(H78,4)</f>
        <v/>
      </c>
      <c r="J78" t="n">
        <v>320</v>
      </c>
      <c r="K78" t="n">
        <v>320</v>
      </c>
      <c r="L78" s="15">
        <f>IF(N78&lt;=0, N78, 0)</f>
        <v/>
      </c>
      <c r="M78" s="15">
        <f>IF(N78&gt;=0, N78, 0)</f>
        <v/>
      </c>
      <c r="N78" s="38" t="n">
        <v>0</v>
      </c>
    </row>
    <row r="79">
      <c r="G79" s="39" t="n">
        <v>78</v>
      </c>
      <c r="H79" s="14" t="inlineStr">
        <is>
          <t>20250606 1930</t>
        </is>
      </c>
      <c r="I79" s="38">
        <f>RIGHT(H79,4)</f>
        <v/>
      </c>
      <c r="J79" t="n">
        <v>380</v>
      </c>
      <c r="K79" t="n">
        <v>380</v>
      </c>
      <c r="L79" s="15">
        <f>IF(N79&lt;=0, N79, 0)</f>
        <v/>
      </c>
      <c r="M79" s="15">
        <f>IF(N79&gt;=0, N79, 0)</f>
        <v/>
      </c>
      <c r="N79" s="38" t="n">
        <v>0</v>
      </c>
    </row>
    <row r="80">
      <c r="G80" s="39" t="n">
        <v>79</v>
      </c>
      <c r="H80" s="14" t="inlineStr">
        <is>
          <t>20250606 1945</t>
        </is>
      </c>
      <c r="I80" s="38">
        <f>RIGHT(H80,4)</f>
        <v/>
      </c>
      <c r="J80" t="n">
        <v>461.6</v>
      </c>
      <c r="K80" t="n">
        <v>461.6</v>
      </c>
      <c r="L80" s="15">
        <f>IF(N80&lt;=0, N80, 0)</f>
        <v/>
      </c>
      <c r="M80" s="15">
        <f>IF(N80&gt;=0, N80, 0)</f>
        <v/>
      </c>
      <c r="N80" s="38" t="n">
        <v>0</v>
      </c>
    </row>
    <row r="81">
      <c r="G81" s="39" t="n">
        <v>80</v>
      </c>
      <c r="H81" s="14" t="inlineStr">
        <is>
          <t>20250606 2000</t>
        </is>
      </c>
      <c r="I81" s="38">
        <f>RIGHT(H81,4)</f>
        <v/>
      </c>
      <c r="J81" t="n">
        <v>400</v>
      </c>
      <c r="K81" t="n">
        <v>400</v>
      </c>
      <c r="L81" s="15">
        <f>IF(N81&lt;=0, N81, 0)</f>
        <v/>
      </c>
      <c r="M81" s="15">
        <f>IF(N81&gt;=0, N81, 0)</f>
        <v/>
      </c>
      <c r="N81" s="38" t="n">
        <v>0</v>
      </c>
    </row>
    <row r="82">
      <c r="G82" s="39" t="n">
        <v>81</v>
      </c>
      <c r="H82" s="14" t="inlineStr">
        <is>
          <t>20250606 2015</t>
        </is>
      </c>
      <c r="I82" s="38">
        <f>RIGHT(H82,4)</f>
        <v/>
      </c>
      <c r="J82" t="n">
        <v>390</v>
      </c>
      <c r="K82" t="n">
        <v>390</v>
      </c>
      <c r="L82" s="15">
        <f>IF(N82&lt;=0, N82, 0)</f>
        <v/>
      </c>
      <c r="M82" s="15">
        <f>IF(N82&gt;=0, N82, 0)</f>
        <v/>
      </c>
      <c r="N82" s="38" t="n">
        <v>0</v>
      </c>
    </row>
    <row r="83">
      <c r="G83" s="39" t="n">
        <v>82</v>
      </c>
      <c r="H83" s="14" t="inlineStr">
        <is>
          <t>20250606 2030</t>
        </is>
      </c>
      <c r="I83" s="38">
        <f>RIGHT(H83,4)</f>
        <v/>
      </c>
      <c r="J83" t="n">
        <v>402</v>
      </c>
      <c r="K83" t="n">
        <v>402</v>
      </c>
      <c r="L83" s="15">
        <f>IF(N83&lt;=0, N83, 0)</f>
        <v/>
      </c>
      <c r="M83" s="15">
        <f>IF(N83&gt;=0, N83, 0)</f>
        <v/>
      </c>
      <c r="N83" s="38" t="n">
        <v>0</v>
      </c>
    </row>
    <row r="84">
      <c r="G84" s="39" t="n">
        <v>83</v>
      </c>
      <c r="H84" s="14" t="inlineStr">
        <is>
          <t>20250606 2045</t>
        </is>
      </c>
      <c r="I84" s="38">
        <f>RIGHT(H84,4)</f>
        <v/>
      </c>
      <c r="J84" t="n">
        <v>420.333</v>
      </c>
      <c r="K84" t="n">
        <v>420.333</v>
      </c>
      <c r="L84" s="15">
        <f>IF(N84&lt;=0, N84, 0)</f>
        <v/>
      </c>
      <c r="M84" s="15">
        <f>IF(N84&gt;=0, N84, 0)</f>
        <v/>
      </c>
      <c r="N84" s="38" t="n">
        <v>0</v>
      </c>
    </row>
    <row r="85">
      <c r="G85" s="39" t="n">
        <v>84</v>
      </c>
      <c r="H85" s="14" t="inlineStr">
        <is>
          <t>20250606 2100</t>
        </is>
      </c>
      <c r="I85" s="38">
        <f>RIGHT(H85,4)</f>
        <v/>
      </c>
      <c r="J85" t="n">
        <v>410.8</v>
      </c>
      <c r="K85" t="n">
        <v>410.8</v>
      </c>
      <c r="L85" s="15">
        <f>IF(N85&lt;=0, N85, 0)</f>
        <v/>
      </c>
      <c r="M85" s="15">
        <f>IF(N85&gt;=0, N85, 0)</f>
        <v/>
      </c>
      <c r="N85" s="38" t="n">
        <v>0</v>
      </c>
    </row>
    <row r="86">
      <c r="G86" s="39" t="n">
        <v>85</v>
      </c>
      <c r="H86" s="14" t="inlineStr">
        <is>
          <t>20250606 2115</t>
        </is>
      </c>
      <c r="I86" s="38">
        <f>RIGHT(H86,4)</f>
        <v/>
      </c>
      <c r="J86" t="n">
        <v>403</v>
      </c>
      <c r="K86" t="n">
        <v>403</v>
      </c>
      <c r="L86" s="15">
        <f>IF(N86&lt;=0, N86, 0)</f>
        <v/>
      </c>
      <c r="M86" s="15">
        <f>IF(N86&gt;=0, N86, 0)</f>
        <v/>
      </c>
      <c r="N86" s="38" t="n">
        <v>0</v>
      </c>
    </row>
    <row r="87">
      <c r="G87" s="39" t="n">
        <v>86</v>
      </c>
      <c r="H87" s="14" t="inlineStr">
        <is>
          <t>20250606 2130</t>
        </is>
      </c>
      <c r="I87" s="38">
        <f>RIGHT(H87,4)</f>
        <v/>
      </c>
      <c r="J87" t="n">
        <v>414.6</v>
      </c>
      <c r="K87" t="n">
        <v>414.6</v>
      </c>
      <c r="L87" s="15">
        <f>IF(N87&lt;=0, N87, 0)</f>
        <v/>
      </c>
      <c r="M87" s="15">
        <f>IF(N87&gt;=0, N87, 0)</f>
        <v/>
      </c>
      <c r="N87" s="38" t="n">
        <v>0</v>
      </c>
    </row>
    <row r="88">
      <c r="G88" s="39" t="n">
        <v>87</v>
      </c>
      <c r="H88" s="14" t="inlineStr">
        <is>
          <t>20250606 2145</t>
        </is>
      </c>
      <c r="I88" s="38">
        <f>RIGHT(H88,4)</f>
        <v/>
      </c>
      <c r="J88" t="n">
        <v>404</v>
      </c>
      <c r="K88" t="n">
        <v>404</v>
      </c>
      <c r="L88" s="15">
        <f>IF(N88&lt;=0, N88, 0)</f>
        <v/>
      </c>
      <c r="M88" s="15">
        <f>IF(N88&gt;=0, N88, 0)</f>
        <v/>
      </c>
      <c r="N88" s="38" t="n">
        <v>0</v>
      </c>
    </row>
    <row r="89">
      <c r="G89" s="39" t="n">
        <v>88</v>
      </c>
      <c r="H89" s="14" t="inlineStr">
        <is>
          <t>20250606 2200</t>
        </is>
      </c>
      <c r="I89" s="38">
        <f>RIGHT(H89,4)</f>
        <v/>
      </c>
      <c r="J89" t="n">
        <v>394</v>
      </c>
      <c r="K89" t="n">
        <v>394</v>
      </c>
      <c r="L89" s="15">
        <f>IF(N89&lt;=0, N89, 0)</f>
        <v/>
      </c>
      <c r="M89" s="15">
        <f>IF(N89&gt;=0, N89, 0)</f>
        <v/>
      </c>
      <c r="N89" s="38" t="n">
        <v>0</v>
      </c>
    </row>
    <row r="90">
      <c r="G90" s="39" t="n">
        <v>89</v>
      </c>
      <c r="H90" s="14" t="inlineStr">
        <is>
          <t>20250606 2215</t>
        </is>
      </c>
      <c r="I90" s="38">
        <f>RIGHT(H90,4)</f>
        <v/>
      </c>
      <c r="J90" t="n">
        <v>394.46</v>
      </c>
      <c r="K90" t="n">
        <v>394.46</v>
      </c>
      <c r="L90" s="15">
        <f>IF(N90&lt;=0, N90, 0)</f>
        <v/>
      </c>
      <c r="M90" s="15">
        <f>IF(N90&gt;=0, N90, 0)</f>
        <v/>
      </c>
      <c r="N90" s="38" t="n">
        <v>0</v>
      </c>
    </row>
    <row r="91">
      <c r="G91" s="39" t="n">
        <v>90</v>
      </c>
      <c r="H91" s="14" t="inlineStr">
        <is>
          <t>20250606 2230</t>
        </is>
      </c>
      <c r="I91" s="38">
        <f>RIGHT(H91,4)</f>
        <v/>
      </c>
      <c r="J91" t="n">
        <v>392</v>
      </c>
      <c r="K91" t="n">
        <v>392</v>
      </c>
      <c r="L91" s="15">
        <f>IF(N91&lt;=0, N91, 0)</f>
        <v/>
      </c>
      <c r="M91" s="15">
        <f>IF(N91&gt;=0, N91, 0)</f>
        <v/>
      </c>
      <c r="N91" s="38" t="n">
        <v>0</v>
      </c>
    </row>
    <row r="92">
      <c r="G92" s="39" t="n">
        <v>91</v>
      </c>
      <c r="H92" s="14" t="inlineStr">
        <is>
          <t>20250606 2245</t>
        </is>
      </c>
      <c r="I92" s="38">
        <f>RIGHT(H92,4)</f>
        <v/>
      </c>
      <c r="J92" t="n">
        <v>382</v>
      </c>
      <c r="K92" t="n">
        <v>382</v>
      </c>
      <c r="L92" s="15">
        <f>IF(N92&lt;=0, N92, 0)</f>
        <v/>
      </c>
      <c r="M92" s="15">
        <f>IF(N92&gt;=0, N92, 0)</f>
        <v/>
      </c>
      <c r="N92" s="38" t="n">
        <v>0</v>
      </c>
    </row>
    <row r="93">
      <c r="G93" s="39" t="n">
        <v>92</v>
      </c>
      <c r="H93" s="14" t="inlineStr">
        <is>
          <t>20250606 2300</t>
        </is>
      </c>
      <c r="I93" s="38">
        <f>RIGHT(H93,4)</f>
        <v/>
      </c>
      <c r="J93" t="n">
        <v>383.333</v>
      </c>
      <c r="K93" t="n">
        <v>383.333</v>
      </c>
      <c r="L93" s="15">
        <f>IF(N93&lt;=0, N93, 0)</f>
        <v/>
      </c>
      <c r="M93" s="15">
        <f>IF(N93&gt;=0, N93, 0)</f>
        <v/>
      </c>
      <c r="N93" s="38" t="n">
        <v>0</v>
      </c>
    </row>
    <row r="94">
      <c r="G94" s="39" t="n">
        <v>93</v>
      </c>
      <c r="H94" s="14" t="inlineStr">
        <is>
          <t>20250606 2315</t>
        </is>
      </c>
      <c r="I94" s="38">
        <f>RIGHT(H94,4)</f>
        <v/>
      </c>
      <c r="J94" t="n">
        <v>395.233</v>
      </c>
      <c r="K94" t="n">
        <v>395.233</v>
      </c>
      <c r="L94" s="15">
        <f>IF(N94&lt;=0, N94, 0)</f>
        <v/>
      </c>
      <c r="M94" s="15">
        <f>IF(N94&gt;=0, N94, 0)</f>
        <v/>
      </c>
      <c r="N94" s="38" t="n">
        <v>5.3</v>
      </c>
    </row>
    <row r="95">
      <c r="G95" s="39" t="n">
        <v>94</v>
      </c>
      <c r="H95" s="14" t="inlineStr">
        <is>
          <t>20250606 2330</t>
        </is>
      </c>
      <c r="I95" s="38">
        <f>RIGHT(H95,4)</f>
        <v/>
      </c>
      <c r="J95" t="n">
        <v>396</v>
      </c>
      <c r="K95" t="n">
        <v>396</v>
      </c>
      <c r="L95" s="15">
        <f>IF(N95&lt;=0, N95, 0)</f>
        <v/>
      </c>
      <c r="M95" s="15">
        <f>IF(N95&gt;=0, N95, 0)</f>
        <v/>
      </c>
      <c r="N95" s="38" t="n">
        <v>0</v>
      </c>
    </row>
    <row r="96">
      <c r="G96" s="39" t="n">
        <v>95</v>
      </c>
      <c r="H96" s="14" t="inlineStr">
        <is>
          <t>20250606 2345</t>
        </is>
      </c>
      <c r="I96" s="38">
        <f>RIGHT(H96,4)</f>
        <v/>
      </c>
      <c r="J96" t="n">
        <v>388</v>
      </c>
      <c r="K96" t="n">
        <v>388</v>
      </c>
      <c r="L96" s="15">
        <f>IF(N96&lt;=0, N96, 0)</f>
        <v/>
      </c>
      <c r="M96" s="15">
        <f>IF(N96&gt;=0, N96, 0)</f>
        <v/>
      </c>
      <c r="N96" s="38" t="n">
        <v>0</v>
      </c>
    </row>
    <row r="97">
      <c r="G97" s="39" t="n">
        <v>96</v>
      </c>
      <c r="H97" s="14" t="inlineStr">
        <is>
          <t>20250606 2400</t>
        </is>
      </c>
      <c r="I97" s="38">
        <f>RIGHT(H97,4)</f>
        <v/>
      </c>
      <c r="J97" t="n">
        <v>388</v>
      </c>
      <c r="K97" t="n">
        <v>388</v>
      </c>
      <c r="L97" s="15">
        <f>IF(N97&lt;=0, N97, 0)</f>
        <v/>
      </c>
      <c r="M97" s="15">
        <f>IF(N97&gt;=0, N97, 0)</f>
        <v/>
      </c>
      <c r="N97" s="38" t="n">
        <v>0</v>
      </c>
    </row>
    <row r="98">
      <c r="N98" s="38" t="n">
        <v>0</v>
      </c>
    </row>
    <row r="99">
      <c r="N99" s="38" t="n">
        <v>0</v>
      </c>
    </row>
    <row r="100">
      <c r="N100" s="38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tabSelected="1"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87" min="1" max="1"/>
    <col width="15.21875" customWidth="1" style="88" min="2" max="5"/>
    <col width="7.44140625" customWidth="1" style="88" min="6" max="17"/>
    <col width="10.6640625" customWidth="1" style="88" min="18" max="19"/>
    <col width="10.6640625" customWidth="1" style="88" min="20" max="16384"/>
  </cols>
  <sheetData>
    <row r="1" ht="15" customHeight="1" s="88">
      <c r="A1" s="1" t="inlineStr">
        <is>
          <t>容量电价</t>
        </is>
      </c>
      <c r="B1" s="2" t="n"/>
      <c r="C1" s="3" t="n">
        <v>70.5</v>
      </c>
    </row>
    <row r="2" ht="15" customHeight="1" s="88">
      <c r="J2" s="87" t="n"/>
      <c r="K2" s="87" t="n"/>
      <c r="L2" s="87" t="n"/>
    </row>
    <row r="3" ht="15" customHeight="1" s="88">
      <c r="A3" s="4" t="inlineStr">
        <is>
          <t>容量分摊--算数平均
系数</t>
        </is>
      </c>
      <c r="B3" s="5" t="n"/>
      <c r="C3" s="6">
        <f t="array" ref="C3">SUMPRODUCT(C8:C103,D8:D103)/SUM(C8:C103)</f>
        <v/>
      </c>
      <c r="E3" s="4" t="inlineStr">
        <is>
          <t>容量分摊系数--电量加权</t>
        </is>
      </c>
      <c r="F3" s="5" t="n"/>
      <c r="G3" s="6">
        <f t="array" ref="G3">SUMPRODUCT(D8:D103,E8:E103)/SUM(E8:E103)</f>
        <v/>
      </c>
      <c r="H3" s="87" t="n"/>
      <c r="J3" s="87" t="n"/>
      <c r="K3" s="87" t="n"/>
      <c r="L3" s="87" t="n"/>
    </row>
    <row r="4" ht="15" customHeight="1" s="88">
      <c r="F4" s="8" t="n"/>
      <c r="G4" s="8" t="n"/>
      <c r="H4" s="87" t="n"/>
      <c r="J4" s="87" t="n"/>
      <c r="K4" s="87" t="n"/>
      <c r="L4" s="87" t="n"/>
    </row>
    <row r="5" ht="15" customHeight="1" s="88">
      <c r="F5" s="8" t="n"/>
      <c r="G5" s="8" t="n"/>
      <c r="H5" s="87" t="n"/>
      <c r="J5" s="87" t="n"/>
      <c r="K5" s="87" t="n"/>
      <c r="L5" s="87" t="n"/>
    </row>
    <row r="6" ht="15" customHeight="1" s="88">
      <c r="A6" s="86" t="inlineStr">
        <is>
          <t>时点</t>
        </is>
      </c>
      <c r="B6" s="86" t="inlineStr">
        <is>
          <t>刻钟点</t>
        </is>
      </c>
      <c r="C6" s="86" t="inlineStr">
        <is>
          <t>是否充电</t>
        </is>
      </c>
      <c r="D6" s="82" t="inlineStr">
        <is>
          <t>当前月份</t>
        </is>
      </c>
      <c r="E6" s="86" t="inlineStr">
        <is>
          <t>充电电量</t>
        </is>
      </c>
      <c r="F6" s="89" t="inlineStr">
        <is>
          <t>容量分摊系数（2026年）</t>
        </is>
      </c>
      <c r="G6" s="90" t="n"/>
      <c r="H6" s="90" t="n"/>
      <c r="I6" s="90" t="n"/>
      <c r="J6" s="90" t="n"/>
      <c r="K6" s="90" t="n"/>
      <c r="L6" s="90" t="n"/>
      <c r="M6" s="90" t="n"/>
      <c r="N6" s="90" t="n"/>
      <c r="O6" s="90" t="n"/>
      <c r="P6" s="90" t="n"/>
      <c r="Q6" s="91" t="n"/>
    </row>
    <row r="7" ht="15" customHeight="1" s="88">
      <c r="D7" s="55" t="inlineStr">
        <is>
          <t>6月</t>
        </is>
      </c>
      <c r="F7" s="9" t="inlineStr">
        <is>
          <t>1月</t>
        </is>
      </c>
      <c r="G7" s="83" t="inlineStr">
        <is>
          <t>2月</t>
        </is>
      </c>
      <c r="H7" s="83" t="inlineStr">
        <is>
          <t>3月</t>
        </is>
      </c>
      <c r="I7" s="83" t="inlineStr">
        <is>
          <t>4月</t>
        </is>
      </c>
      <c r="J7" s="83" t="inlineStr">
        <is>
          <t>5月</t>
        </is>
      </c>
      <c r="K7" s="83" t="inlineStr">
        <is>
          <t>6月</t>
        </is>
      </c>
      <c r="L7" s="83" t="inlineStr">
        <is>
          <t>7月</t>
        </is>
      </c>
      <c r="M7" s="83" t="inlineStr">
        <is>
          <t>8月</t>
        </is>
      </c>
      <c r="N7" s="83" t="inlineStr">
        <is>
          <t>9月</t>
        </is>
      </c>
      <c r="O7" s="83" t="inlineStr">
        <is>
          <t>10月</t>
        </is>
      </c>
      <c r="P7" s="83" t="inlineStr">
        <is>
          <t>11月</t>
        </is>
      </c>
      <c r="Q7" s="11" t="inlineStr">
        <is>
          <t>12月</t>
        </is>
      </c>
    </row>
    <row r="8" ht="15" customHeight="1" s="88">
      <c r="A8" s="83" t="n">
        <v>1</v>
      </c>
      <c r="B8" s="83" t="n">
        <v>1</v>
      </c>
      <c r="C8" s="83">
        <f>IF(E8&lt;0,1,0)</f>
        <v/>
      </c>
      <c r="D8" s="7">
        <f t="array" ref="D8">INDIRECT(ADDRESS(B8+ROW($D$7),MATCH($D$7,$F$7:$Q$7,0)+5))</f>
        <v/>
      </c>
      <c r="E8" s="10">
        <f>报价及预中标!L2/4</f>
        <v/>
      </c>
      <c r="F8" s="9" t="n">
        <v>1</v>
      </c>
      <c r="G8" s="9" t="n">
        <v>1</v>
      </c>
      <c r="H8" s="83" t="n">
        <v>1</v>
      </c>
      <c r="I8" s="83" t="n">
        <v>1</v>
      </c>
      <c r="J8" s="83" t="n">
        <v>1</v>
      </c>
      <c r="K8" s="83" t="n">
        <v>1</v>
      </c>
      <c r="L8" s="83" t="n">
        <v>0.3</v>
      </c>
      <c r="M8" s="83" t="n">
        <v>0.3</v>
      </c>
      <c r="N8" s="83" t="n">
        <v>1</v>
      </c>
      <c r="O8" s="83" t="n">
        <v>1</v>
      </c>
      <c r="P8" s="83" t="n">
        <v>1</v>
      </c>
      <c r="Q8" s="9" t="n">
        <v>1</v>
      </c>
    </row>
    <row r="9" ht="15" customHeight="1" s="88">
      <c r="A9" s="84" t="n"/>
      <c r="B9" s="83" t="n">
        <v>2</v>
      </c>
      <c r="C9" s="83">
        <f>IF(E9&lt;0,1,0)</f>
        <v/>
      </c>
      <c r="D9" s="83">
        <f t="array" ref="D9">INDIRECT(ADDRESS(B9+ROW($D$7),MATCH($D$7,$F$7:$Q$7,0)+5))</f>
        <v/>
      </c>
      <c r="E9" s="10">
        <f>报价及预中标!L3/4</f>
        <v/>
      </c>
      <c r="F9" s="9" t="n">
        <v>1</v>
      </c>
      <c r="G9" s="9" t="n">
        <v>1</v>
      </c>
      <c r="H9" s="83" t="n">
        <v>1</v>
      </c>
      <c r="I9" s="83" t="n">
        <v>1</v>
      </c>
      <c r="J9" s="83" t="n">
        <v>1</v>
      </c>
      <c r="K9" s="83" t="n">
        <v>1</v>
      </c>
      <c r="L9" s="83" t="n">
        <v>0.3</v>
      </c>
      <c r="M9" s="83" t="n">
        <v>0.3</v>
      </c>
      <c r="N9" s="83" t="n">
        <v>1</v>
      </c>
      <c r="O9" s="83" t="n">
        <v>1</v>
      </c>
      <c r="P9" s="83" t="n">
        <v>1</v>
      </c>
      <c r="Q9" s="9" t="n">
        <v>1</v>
      </c>
    </row>
    <row r="10" ht="15" customHeight="1" s="88">
      <c r="A10" s="84" t="n"/>
      <c r="B10" s="83" t="n">
        <v>3</v>
      </c>
      <c r="C10" s="83">
        <f>IF(E10&lt;0,1,0)</f>
        <v/>
      </c>
      <c r="D10" s="83">
        <f t="array" ref="D10">INDIRECT(ADDRESS(B10+ROW($D$7),MATCH($D$7,$F$7:$Q$7,0)+5))</f>
        <v/>
      </c>
      <c r="E10" s="10">
        <f>报价及预中标!L4/4</f>
        <v/>
      </c>
      <c r="F10" s="9" t="n">
        <v>1</v>
      </c>
      <c r="G10" s="9" t="n">
        <v>1</v>
      </c>
      <c r="H10" s="83" t="n">
        <v>1</v>
      </c>
      <c r="I10" s="83" t="n">
        <v>1</v>
      </c>
      <c r="J10" s="83" t="n">
        <v>1</v>
      </c>
      <c r="K10" s="83" t="n">
        <v>1</v>
      </c>
      <c r="L10" s="83" t="n">
        <v>0.3</v>
      </c>
      <c r="M10" s="83" t="n">
        <v>0.3</v>
      </c>
      <c r="N10" s="83" t="n">
        <v>1</v>
      </c>
      <c r="O10" s="83" t="n">
        <v>1</v>
      </c>
      <c r="P10" s="83" t="n">
        <v>1</v>
      </c>
      <c r="Q10" s="9" t="n">
        <v>1</v>
      </c>
    </row>
    <row r="11" ht="15" customHeight="1" s="88">
      <c r="A11" s="85" t="n"/>
      <c r="B11" s="83" t="n">
        <v>4</v>
      </c>
      <c r="C11" s="83">
        <f>IF(E11&lt;0,1,0)</f>
        <v/>
      </c>
      <c r="D11" s="83">
        <f t="array" ref="D11">INDIRECT(ADDRESS(B11+ROW($D$7),MATCH($D$7,$F$7:$Q$7,0)+5))</f>
        <v/>
      </c>
      <c r="E11" s="10">
        <f>报价及预中标!L5/4</f>
        <v/>
      </c>
      <c r="F11" s="9" t="n">
        <v>1</v>
      </c>
      <c r="G11" s="9" t="n">
        <v>1</v>
      </c>
      <c r="H11" s="83" t="n">
        <v>1</v>
      </c>
      <c r="I11" s="83" t="n">
        <v>1</v>
      </c>
      <c r="J11" s="83" t="n">
        <v>1</v>
      </c>
      <c r="K11" s="83" t="n">
        <v>1</v>
      </c>
      <c r="L11" s="83" t="n">
        <v>0.3</v>
      </c>
      <c r="M11" s="83" t="n">
        <v>0.3</v>
      </c>
      <c r="N11" s="83" t="n">
        <v>1</v>
      </c>
      <c r="O11" s="83" t="n">
        <v>1</v>
      </c>
      <c r="P11" s="83" t="n">
        <v>1</v>
      </c>
      <c r="Q11" s="9" t="n">
        <v>1</v>
      </c>
    </row>
    <row r="12" ht="15" customHeight="1" s="88">
      <c r="A12" s="83" t="n">
        <v>2</v>
      </c>
      <c r="B12" s="83" t="n">
        <v>5</v>
      </c>
      <c r="C12" s="83">
        <f>IF(E12&lt;0,1,0)</f>
        <v/>
      </c>
      <c r="D12" s="83">
        <f t="array" ref="D12">INDIRECT(ADDRESS(B12+ROW($D$7),MATCH($D$7,$F$7:$Q$7,0)+5))</f>
        <v/>
      </c>
      <c r="E12" s="10">
        <f>报价及预中标!L6/4</f>
        <v/>
      </c>
      <c r="F12" s="9" t="n">
        <v>0.3</v>
      </c>
      <c r="G12" s="9" t="n">
        <v>0.3</v>
      </c>
      <c r="H12" s="83" t="n">
        <v>1</v>
      </c>
      <c r="I12" s="83" t="n">
        <v>1</v>
      </c>
      <c r="J12" s="83" t="n">
        <v>1</v>
      </c>
      <c r="K12" s="83" t="n">
        <v>1</v>
      </c>
      <c r="L12" s="83" t="n">
        <v>0.3</v>
      </c>
      <c r="M12" s="83" t="n">
        <v>0.3</v>
      </c>
      <c r="N12" s="83" t="n">
        <v>1</v>
      </c>
      <c r="O12" s="83" t="n">
        <v>1</v>
      </c>
      <c r="P12" s="83" t="n">
        <v>1</v>
      </c>
      <c r="Q12" s="9" t="n">
        <v>0.3</v>
      </c>
    </row>
    <row r="13" ht="15" customHeight="1" s="88">
      <c r="A13" s="84" t="n"/>
      <c r="B13" s="83" t="n">
        <v>6</v>
      </c>
      <c r="C13" s="83">
        <f>IF(E13&lt;0,1,0)</f>
        <v/>
      </c>
      <c r="D13" s="83">
        <f t="array" ref="D13">INDIRECT(ADDRESS(B13+ROW($D$7),MATCH($D$7,$F$7:$Q$7,0)+5))</f>
        <v/>
      </c>
      <c r="E13" s="10">
        <f>报价及预中标!L7/4</f>
        <v/>
      </c>
      <c r="F13" s="9" t="n">
        <v>0.3</v>
      </c>
      <c r="G13" s="9" t="n">
        <v>0.3</v>
      </c>
      <c r="H13" s="83" t="n">
        <v>1</v>
      </c>
      <c r="I13" s="83" t="n">
        <v>1</v>
      </c>
      <c r="J13" s="83" t="n">
        <v>1</v>
      </c>
      <c r="K13" s="83" t="n">
        <v>1</v>
      </c>
      <c r="L13" s="83" t="n">
        <v>0.3</v>
      </c>
      <c r="M13" s="83" t="n">
        <v>0.3</v>
      </c>
      <c r="N13" s="83" t="n">
        <v>1</v>
      </c>
      <c r="O13" s="83" t="n">
        <v>1</v>
      </c>
      <c r="P13" s="83" t="n">
        <v>1</v>
      </c>
      <c r="Q13" s="9" t="n">
        <v>0.3</v>
      </c>
    </row>
    <row r="14" ht="15" customHeight="1" s="88">
      <c r="A14" s="84" t="n"/>
      <c r="B14" s="83" t="n">
        <v>7</v>
      </c>
      <c r="C14" s="83">
        <f>IF(E14&lt;0,1,0)</f>
        <v/>
      </c>
      <c r="D14" s="83">
        <f t="array" ref="D14">INDIRECT(ADDRESS(B14+ROW($D$7),MATCH($D$7,$F$7:$Q$7,0)+5))</f>
        <v/>
      </c>
      <c r="E14" s="10">
        <f>报价及预中标!L8/4</f>
        <v/>
      </c>
      <c r="F14" s="9" t="n">
        <v>0.3</v>
      </c>
      <c r="G14" s="9" t="n">
        <v>0.3</v>
      </c>
      <c r="H14" s="83" t="n">
        <v>1</v>
      </c>
      <c r="I14" s="83" t="n">
        <v>1</v>
      </c>
      <c r="J14" s="83" t="n">
        <v>1</v>
      </c>
      <c r="K14" s="83" t="n">
        <v>1</v>
      </c>
      <c r="L14" s="83" t="n">
        <v>0.3</v>
      </c>
      <c r="M14" s="83" t="n">
        <v>0.3</v>
      </c>
      <c r="N14" s="83" t="n">
        <v>1</v>
      </c>
      <c r="O14" s="83" t="n">
        <v>1</v>
      </c>
      <c r="P14" s="83" t="n">
        <v>1</v>
      </c>
      <c r="Q14" s="9" t="n">
        <v>0.3</v>
      </c>
    </row>
    <row r="15" ht="15" customHeight="1" s="88">
      <c r="A15" s="85" t="n"/>
      <c r="B15" s="83" t="n">
        <v>8</v>
      </c>
      <c r="C15" s="83">
        <f>IF(E15&lt;0,1,0)</f>
        <v/>
      </c>
      <c r="D15" s="83">
        <f t="array" ref="D15">INDIRECT(ADDRESS(B15+ROW($D$7),MATCH($D$7,$F$7:$Q$7,0)+5))</f>
        <v/>
      </c>
      <c r="E15" s="10">
        <f>报价及预中标!L9/4</f>
        <v/>
      </c>
      <c r="F15" s="9" t="n">
        <v>0.3</v>
      </c>
      <c r="G15" s="9" t="n">
        <v>0.3</v>
      </c>
      <c r="H15" s="83" t="n">
        <v>1</v>
      </c>
      <c r="I15" s="83" t="n">
        <v>1</v>
      </c>
      <c r="J15" s="83" t="n">
        <v>1</v>
      </c>
      <c r="K15" s="83" t="n">
        <v>1</v>
      </c>
      <c r="L15" s="83" t="n">
        <v>0.3</v>
      </c>
      <c r="M15" s="83" t="n">
        <v>0.3</v>
      </c>
      <c r="N15" s="83" t="n">
        <v>1</v>
      </c>
      <c r="O15" s="83" t="n">
        <v>1</v>
      </c>
      <c r="P15" s="83" t="n">
        <v>1</v>
      </c>
      <c r="Q15" s="9" t="n">
        <v>0.3</v>
      </c>
    </row>
    <row r="16" ht="15" customHeight="1" s="88">
      <c r="A16" s="83" t="n">
        <v>3</v>
      </c>
      <c r="B16" s="83" t="n">
        <v>9</v>
      </c>
      <c r="C16" s="83">
        <f>IF(E16&lt;0,1,0)</f>
        <v/>
      </c>
      <c r="D16" s="83">
        <f t="array" ref="D16">INDIRECT(ADDRESS(B16+ROW($D$7),MATCH($D$7,$F$7:$Q$7,0)+5))</f>
        <v/>
      </c>
      <c r="E16" s="10">
        <f>报价及预中标!L10/4</f>
        <v/>
      </c>
      <c r="F16" s="9" t="n">
        <v>0.3</v>
      </c>
      <c r="G16" s="9" t="n">
        <v>0.3</v>
      </c>
      <c r="H16" s="83" t="n">
        <v>1</v>
      </c>
      <c r="I16" s="83" t="n">
        <v>1</v>
      </c>
      <c r="J16" s="83" t="n">
        <v>1</v>
      </c>
      <c r="K16" s="83" t="n">
        <v>1</v>
      </c>
      <c r="L16" s="83" t="n">
        <v>0.3</v>
      </c>
      <c r="M16" s="83" t="n">
        <v>0.3</v>
      </c>
      <c r="N16" s="83" t="n">
        <v>1</v>
      </c>
      <c r="O16" s="83" t="n">
        <v>1</v>
      </c>
      <c r="P16" s="83" t="n">
        <v>1</v>
      </c>
      <c r="Q16" s="9" t="n">
        <v>0.3</v>
      </c>
    </row>
    <row r="17" ht="15" customHeight="1" s="88">
      <c r="A17" s="84" t="n"/>
      <c r="B17" s="83" t="n">
        <v>10</v>
      </c>
      <c r="C17" s="83">
        <f>IF(E17&lt;0,1,0)</f>
        <v/>
      </c>
      <c r="D17" s="83">
        <f t="array" ref="D17">INDIRECT(ADDRESS(B17+ROW($D$7),MATCH($D$7,$F$7:$Q$7,0)+5))</f>
        <v/>
      </c>
      <c r="E17" s="10">
        <f>报价及预中标!L11/4</f>
        <v/>
      </c>
      <c r="F17" s="9" t="n">
        <v>0.3</v>
      </c>
      <c r="G17" s="9" t="n">
        <v>0.3</v>
      </c>
      <c r="H17" s="83" t="n">
        <v>1</v>
      </c>
      <c r="I17" s="83" t="n">
        <v>1</v>
      </c>
      <c r="J17" s="83" t="n">
        <v>1</v>
      </c>
      <c r="K17" s="83" t="n">
        <v>1</v>
      </c>
      <c r="L17" s="83" t="n">
        <v>0.3</v>
      </c>
      <c r="M17" s="83" t="n">
        <v>0.3</v>
      </c>
      <c r="N17" s="83" t="n">
        <v>1</v>
      </c>
      <c r="O17" s="83" t="n">
        <v>1</v>
      </c>
      <c r="P17" s="83" t="n">
        <v>1</v>
      </c>
      <c r="Q17" s="9" t="n">
        <v>0.3</v>
      </c>
    </row>
    <row r="18" ht="15" customHeight="1" s="88">
      <c r="A18" s="84" t="n"/>
      <c r="B18" s="83" t="n">
        <v>11</v>
      </c>
      <c r="C18" s="83">
        <f>IF(E18&lt;0,1,0)</f>
        <v/>
      </c>
      <c r="D18" s="83">
        <f t="array" ref="D18">INDIRECT(ADDRESS(B18+ROW($D$7),MATCH($D$7,$F$7:$Q$7,0)+5))</f>
        <v/>
      </c>
      <c r="E18" s="10">
        <f>报价及预中标!L12/4</f>
        <v/>
      </c>
      <c r="F18" s="9" t="n">
        <v>0.3</v>
      </c>
      <c r="G18" s="9" t="n">
        <v>0.3</v>
      </c>
      <c r="H18" s="83" t="n">
        <v>1</v>
      </c>
      <c r="I18" s="83" t="n">
        <v>1</v>
      </c>
      <c r="J18" s="83" t="n">
        <v>1</v>
      </c>
      <c r="K18" s="83" t="n">
        <v>1</v>
      </c>
      <c r="L18" s="83" t="n">
        <v>0.3</v>
      </c>
      <c r="M18" s="83" t="n">
        <v>0.3</v>
      </c>
      <c r="N18" s="83" t="n">
        <v>1</v>
      </c>
      <c r="O18" s="83" t="n">
        <v>1</v>
      </c>
      <c r="P18" s="83" t="n">
        <v>1</v>
      </c>
      <c r="Q18" s="9" t="n">
        <v>0.3</v>
      </c>
    </row>
    <row r="19" ht="15" customHeight="1" s="88">
      <c r="A19" s="85" t="n"/>
      <c r="B19" s="83" t="n">
        <v>12</v>
      </c>
      <c r="C19" s="83">
        <f>IF(E19&lt;0,1,0)</f>
        <v/>
      </c>
      <c r="D19" s="83">
        <f t="array" ref="D19">INDIRECT(ADDRESS(B19+ROW($D$7),MATCH($D$7,$F$7:$Q$7,0)+5))</f>
        <v/>
      </c>
      <c r="E19" s="10">
        <f>报价及预中标!L13/4</f>
        <v/>
      </c>
      <c r="F19" s="9" t="n">
        <v>0.3</v>
      </c>
      <c r="G19" s="9" t="n">
        <v>0.3</v>
      </c>
      <c r="H19" s="83" t="n">
        <v>1</v>
      </c>
      <c r="I19" s="83" t="n">
        <v>1</v>
      </c>
      <c r="J19" s="83" t="n">
        <v>1</v>
      </c>
      <c r="K19" s="83" t="n">
        <v>1</v>
      </c>
      <c r="L19" s="83" t="n">
        <v>0.3</v>
      </c>
      <c r="M19" s="83" t="n">
        <v>0.3</v>
      </c>
      <c r="N19" s="83" t="n">
        <v>1</v>
      </c>
      <c r="O19" s="83" t="n">
        <v>1</v>
      </c>
      <c r="P19" s="83" t="n">
        <v>1</v>
      </c>
      <c r="Q19" s="9" t="n">
        <v>0.3</v>
      </c>
    </row>
    <row r="20" ht="15" customHeight="1" s="88">
      <c r="A20" s="83" t="n">
        <v>4</v>
      </c>
      <c r="B20" s="83" t="n">
        <v>13</v>
      </c>
      <c r="C20" s="83">
        <f>IF(E20&lt;0,1,0)</f>
        <v/>
      </c>
      <c r="D20" s="83">
        <f t="array" ref="D20">INDIRECT(ADDRESS(B20+ROW($D$7),MATCH($D$7,$F$7:$Q$7,0)+5))</f>
        <v/>
      </c>
      <c r="E20" s="10">
        <f>报价及预中标!L14/4</f>
        <v/>
      </c>
      <c r="F20" s="9" t="n">
        <v>0.3</v>
      </c>
      <c r="G20" s="9" t="n">
        <v>0.3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0.3</v>
      </c>
      <c r="M20" s="83" t="n">
        <v>0.3</v>
      </c>
      <c r="N20" s="83" t="n">
        <v>1</v>
      </c>
      <c r="O20" s="83" t="n">
        <v>1</v>
      </c>
      <c r="P20" s="83" t="n">
        <v>1</v>
      </c>
      <c r="Q20" s="9" t="n">
        <v>0.3</v>
      </c>
    </row>
    <row r="21" ht="15" customHeight="1" s="88">
      <c r="A21" s="84" t="n"/>
      <c r="B21" s="83" t="n">
        <v>14</v>
      </c>
      <c r="C21" s="83">
        <f>IF(E21&lt;0,1,0)</f>
        <v/>
      </c>
      <c r="D21" s="83">
        <f t="array" ref="D21">INDIRECT(ADDRESS(B21+ROW($D$7),MATCH($D$7,$F$7:$Q$7,0)+5))</f>
        <v/>
      </c>
      <c r="E21" s="10">
        <f>报价及预中标!L15/4</f>
        <v/>
      </c>
      <c r="F21" s="9" t="n">
        <v>0.3</v>
      </c>
      <c r="G21" s="9" t="n">
        <v>0.3</v>
      </c>
      <c r="H21" s="83" t="n">
        <v>1</v>
      </c>
      <c r="I21" s="83" t="n">
        <v>1</v>
      </c>
      <c r="J21" s="83" t="n">
        <v>1</v>
      </c>
      <c r="K21" s="83" t="n">
        <v>1</v>
      </c>
      <c r="L21" s="83" t="n">
        <v>0.3</v>
      </c>
      <c r="M21" s="83" t="n">
        <v>0.3</v>
      </c>
      <c r="N21" s="83" t="n">
        <v>1</v>
      </c>
      <c r="O21" s="83" t="n">
        <v>1</v>
      </c>
      <c r="P21" s="83" t="n">
        <v>1</v>
      </c>
      <c r="Q21" s="9" t="n">
        <v>0.3</v>
      </c>
    </row>
    <row r="22" ht="15" customHeight="1" s="88">
      <c r="A22" s="84" t="n"/>
      <c r="B22" s="83" t="n">
        <v>15</v>
      </c>
      <c r="C22" s="83">
        <f>IF(E22&lt;0,1,0)</f>
        <v/>
      </c>
      <c r="D22" s="83">
        <f t="array" ref="D22">INDIRECT(ADDRESS(B22+ROW($D$7),MATCH($D$7,$F$7:$Q$7,0)+5))</f>
        <v/>
      </c>
      <c r="E22" s="10">
        <f>报价及预中标!L16/4</f>
        <v/>
      </c>
      <c r="F22" s="9" t="n">
        <v>0.3</v>
      </c>
      <c r="G22" s="9" t="n">
        <v>0.3</v>
      </c>
      <c r="H22" s="83" t="n">
        <v>1</v>
      </c>
      <c r="I22" s="83" t="n">
        <v>1</v>
      </c>
      <c r="J22" s="83" t="n">
        <v>1</v>
      </c>
      <c r="K22" s="83" t="n">
        <v>1</v>
      </c>
      <c r="L22" s="83" t="n">
        <v>0.3</v>
      </c>
      <c r="M22" s="83" t="n">
        <v>0.3</v>
      </c>
      <c r="N22" s="83" t="n">
        <v>1</v>
      </c>
      <c r="O22" s="83" t="n">
        <v>1</v>
      </c>
      <c r="P22" s="83" t="n">
        <v>1</v>
      </c>
      <c r="Q22" s="9" t="n">
        <v>0.3</v>
      </c>
    </row>
    <row r="23" ht="15" customHeight="1" s="88">
      <c r="A23" s="85" t="n"/>
      <c r="B23" s="83" t="n">
        <v>16</v>
      </c>
      <c r="C23" s="83">
        <f>IF(E23&lt;0,1,0)</f>
        <v/>
      </c>
      <c r="D23" s="83">
        <f t="array" ref="D23">INDIRECT(ADDRESS(B23+ROW($D$7),MATCH($D$7,$F$7:$Q$7,0)+5))</f>
        <v/>
      </c>
      <c r="E23" s="10">
        <f>报价及预中标!L17/4</f>
        <v/>
      </c>
      <c r="F23" s="9" t="n">
        <v>0.3</v>
      </c>
      <c r="G23" s="9" t="n">
        <v>0.3</v>
      </c>
      <c r="H23" s="83" t="n">
        <v>1</v>
      </c>
      <c r="I23" s="83" t="n">
        <v>1</v>
      </c>
      <c r="J23" s="83" t="n">
        <v>1</v>
      </c>
      <c r="K23" s="83" t="n">
        <v>1</v>
      </c>
      <c r="L23" s="83" t="n">
        <v>0.3</v>
      </c>
      <c r="M23" s="83" t="n">
        <v>0.3</v>
      </c>
      <c r="N23" s="83" t="n">
        <v>1</v>
      </c>
      <c r="O23" s="83" t="n">
        <v>1</v>
      </c>
      <c r="P23" s="83" t="n">
        <v>1</v>
      </c>
      <c r="Q23" s="9" t="n">
        <v>0.3</v>
      </c>
    </row>
    <row r="24" ht="15" customHeight="1" s="88">
      <c r="A24" s="83" t="n">
        <v>5</v>
      </c>
      <c r="B24" s="83" t="n">
        <v>17</v>
      </c>
      <c r="C24" s="83">
        <f>IF(E24&lt;0,1,0)</f>
        <v/>
      </c>
      <c r="D24" s="83">
        <f t="array" ref="D24">INDIRECT(ADDRESS(B24+ROW($D$7),MATCH($D$7,$F$7:$Q$7,0)+5))</f>
        <v/>
      </c>
      <c r="E24" s="10">
        <f>报价及预中标!L18/4</f>
        <v/>
      </c>
      <c r="F24" s="9" t="n">
        <v>0.3</v>
      </c>
      <c r="G24" s="9" t="n">
        <v>0.3</v>
      </c>
      <c r="H24" s="83" t="n">
        <v>1</v>
      </c>
      <c r="I24" s="83" t="n">
        <v>1</v>
      </c>
      <c r="J24" s="83" t="n">
        <v>1</v>
      </c>
      <c r="K24" s="83" t="n">
        <v>1</v>
      </c>
      <c r="L24" s="83" t="n">
        <v>0.3</v>
      </c>
      <c r="M24" s="83" t="n">
        <v>0.3</v>
      </c>
      <c r="N24" s="83" t="n">
        <v>1</v>
      </c>
      <c r="O24" s="83" t="n">
        <v>1</v>
      </c>
      <c r="P24" s="83" t="n">
        <v>1</v>
      </c>
      <c r="Q24" s="9" t="n">
        <v>0.3</v>
      </c>
    </row>
    <row r="25" ht="15" customHeight="1" s="88">
      <c r="A25" s="84" t="n"/>
      <c r="B25" s="83" t="n">
        <v>18</v>
      </c>
      <c r="C25" s="83">
        <f>IF(E25&lt;0,1,0)</f>
        <v/>
      </c>
      <c r="D25" s="83">
        <f t="array" ref="D25">INDIRECT(ADDRESS(B25+ROW($D$7),MATCH($D$7,$F$7:$Q$7,0)+5))</f>
        <v/>
      </c>
      <c r="E25" s="10">
        <f>报价及预中标!L19/4</f>
        <v/>
      </c>
      <c r="F25" s="9" t="n">
        <v>0.3</v>
      </c>
      <c r="G25" s="9" t="n">
        <v>0.3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0.3</v>
      </c>
      <c r="M25" s="83" t="n">
        <v>0.3</v>
      </c>
      <c r="N25" s="83" t="n">
        <v>1</v>
      </c>
      <c r="O25" s="83" t="n">
        <v>1</v>
      </c>
      <c r="P25" s="83" t="n">
        <v>1</v>
      </c>
      <c r="Q25" s="9" t="n">
        <v>0.3</v>
      </c>
    </row>
    <row r="26" ht="15" customHeight="1" s="88">
      <c r="A26" s="84" t="n"/>
      <c r="B26" s="83" t="n">
        <v>19</v>
      </c>
      <c r="C26" s="83">
        <f>IF(E26&lt;0,1,0)</f>
        <v/>
      </c>
      <c r="D26" s="83">
        <f t="array" ref="D26">INDIRECT(ADDRESS(B26+ROW($D$7),MATCH($D$7,$F$7:$Q$7,0)+5))</f>
        <v/>
      </c>
      <c r="E26" s="10">
        <f>报价及预中标!L20/4</f>
        <v/>
      </c>
      <c r="F26" s="9" t="n">
        <v>0.3</v>
      </c>
      <c r="G26" s="9" t="n">
        <v>0.3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0.3</v>
      </c>
      <c r="M26" s="83" t="n">
        <v>0.3</v>
      </c>
      <c r="N26" s="83" t="n">
        <v>1</v>
      </c>
      <c r="O26" s="83" t="n">
        <v>1</v>
      </c>
      <c r="P26" s="83" t="n">
        <v>1</v>
      </c>
      <c r="Q26" s="9" t="n">
        <v>0.3</v>
      </c>
    </row>
    <row r="27" ht="15" customHeight="1" s="88">
      <c r="A27" s="85" t="n"/>
      <c r="B27" s="83" t="n">
        <v>20</v>
      </c>
      <c r="C27" s="83">
        <f>IF(E27&lt;0,1,0)</f>
        <v/>
      </c>
      <c r="D27" s="83">
        <f t="array" ref="D27">INDIRECT(ADDRESS(B27+ROW($D$7),MATCH($D$7,$F$7:$Q$7,0)+5))</f>
        <v/>
      </c>
      <c r="E27" s="10">
        <f>报价及预中标!L21/4</f>
        <v/>
      </c>
      <c r="F27" s="9" t="n">
        <v>0.3</v>
      </c>
      <c r="G27" s="9" t="n">
        <v>0.3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0.3</v>
      </c>
      <c r="M27" s="83" t="n">
        <v>0.3</v>
      </c>
      <c r="N27" s="83" t="n">
        <v>1</v>
      </c>
      <c r="O27" s="83" t="n">
        <v>1</v>
      </c>
      <c r="P27" s="83" t="n">
        <v>1</v>
      </c>
      <c r="Q27" s="9" t="n">
        <v>0.3</v>
      </c>
    </row>
    <row r="28" ht="15" customHeight="1" s="88">
      <c r="A28" s="83" t="n">
        <v>6</v>
      </c>
      <c r="B28" s="83" t="n">
        <v>21</v>
      </c>
      <c r="C28" s="83">
        <f>IF(E28&lt;0,1,0)</f>
        <v/>
      </c>
      <c r="D28" s="83">
        <f t="array" ref="D28">INDIRECT(ADDRESS(B28+ROW($D$7),MATCH($D$7,$F$7:$Q$7,0)+5))</f>
        <v/>
      </c>
      <c r="E28" s="10">
        <f>报价及预中标!L22/4</f>
        <v/>
      </c>
      <c r="F28" s="9" t="n">
        <v>0.3</v>
      </c>
      <c r="G28" s="9" t="n">
        <v>0.3</v>
      </c>
      <c r="H28" s="83" t="n">
        <v>1</v>
      </c>
      <c r="I28" s="83" t="n">
        <v>1</v>
      </c>
      <c r="J28" s="83" t="n">
        <v>1</v>
      </c>
      <c r="K28" s="83" t="n">
        <v>1</v>
      </c>
      <c r="L28" s="83" t="n">
        <v>0.3</v>
      </c>
      <c r="M28" s="83" t="n">
        <v>0.3</v>
      </c>
      <c r="N28" s="83" t="n">
        <v>1</v>
      </c>
      <c r="O28" s="83" t="n">
        <v>1</v>
      </c>
      <c r="P28" s="83" t="n">
        <v>1</v>
      </c>
      <c r="Q28" s="9" t="n">
        <v>0.3</v>
      </c>
    </row>
    <row r="29" ht="15" customHeight="1" s="88">
      <c r="A29" s="84" t="n"/>
      <c r="B29" s="83" t="n">
        <v>22</v>
      </c>
      <c r="C29" s="83">
        <f>IF(E29&lt;0,1,0)</f>
        <v/>
      </c>
      <c r="D29" s="83">
        <f t="array" ref="D29">INDIRECT(ADDRESS(B29+ROW($D$7),MATCH($D$7,$F$7:$Q$7,0)+5))</f>
        <v/>
      </c>
      <c r="E29" s="10">
        <f>报价及预中标!L23/4</f>
        <v/>
      </c>
      <c r="F29" s="9" t="n">
        <v>0.3</v>
      </c>
      <c r="G29" s="9" t="n">
        <v>0.3</v>
      </c>
      <c r="H29" s="83" t="n">
        <v>1</v>
      </c>
      <c r="I29" s="83" t="n">
        <v>1</v>
      </c>
      <c r="J29" s="83" t="n">
        <v>1</v>
      </c>
      <c r="K29" s="83" t="n">
        <v>1</v>
      </c>
      <c r="L29" s="83" t="n">
        <v>0.3</v>
      </c>
      <c r="M29" s="83" t="n">
        <v>0.3</v>
      </c>
      <c r="N29" s="83" t="n">
        <v>1</v>
      </c>
      <c r="O29" s="83" t="n">
        <v>1</v>
      </c>
      <c r="P29" s="83" t="n">
        <v>1</v>
      </c>
      <c r="Q29" s="9" t="n">
        <v>0.3</v>
      </c>
    </row>
    <row r="30" ht="15" customHeight="1" s="88">
      <c r="A30" s="84" t="n"/>
      <c r="B30" s="83" t="n">
        <v>23</v>
      </c>
      <c r="C30" s="83">
        <f>IF(E30&lt;0,1,0)</f>
        <v/>
      </c>
      <c r="D30" s="83">
        <f t="array" ref="D30">INDIRECT(ADDRESS(B30+ROW($D$7),MATCH($D$7,$F$7:$Q$7,0)+5))</f>
        <v/>
      </c>
      <c r="E30" s="10">
        <f>报价及预中标!L24/4</f>
        <v/>
      </c>
      <c r="F30" s="9" t="n">
        <v>0.3</v>
      </c>
      <c r="G30" s="9" t="n">
        <v>0.3</v>
      </c>
      <c r="H30" s="83" t="n">
        <v>1</v>
      </c>
      <c r="I30" s="83" t="n">
        <v>1</v>
      </c>
      <c r="J30" s="83" t="n">
        <v>1</v>
      </c>
      <c r="K30" s="83" t="n">
        <v>1</v>
      </c>
      <c r="L30" s="83" t="n">
        <v>0.3</v>
      </c>
      <c r="M30" s="83" t="n">
        <v>0.3</v>
      </c>
      <c r="N30" s="83" t="n">
        <v>1</v>
      </c>
      <c r="O30" s="83" t="n">
        <v>1</v>
      </c>
      <c r="P30" s="83" t="n">
        <v>1</v>
      </c>
      <c r="Q30" s="9" t="n">
        <v>0.3</v>
      </c>
    </row>
    <row r="31" ht="15" customHeight="1" s="88">
      <c r="A31" s="85" t="n"/>
      <c r="B31" s="83" t="n">
        <v>24</v>
      </c>
      <c r="C31" s="83">
        <f>IF(E31&lt;0,1,0)</f>
        <v/>
      </c>
      <c r="D31" s="83">
        <f t="array" ref="D31">INDIRECT(ADDRESS(B31+ROW($D$7),MATCH($D$7,$F$7:$Q$7,0)+5))</f>
        <v/>
      </c>
      <c r="E31" s="10">
        <f>报价及预中标!L25/4</f>
        <v/>
      </c>
      <c r="F31" s="9" t="n">
        <v>0.3</v>
      </c>
      <c r="G31" s="9" t="n">
        <v>0.3</v>
      </c>
      <c r="H31" s="83" t="n">
        <v>1</v>
      </c>
      <c r="I31" s="83" t="n">
        <v>1</v>
      </c>
      <c r="J31" s="83" t="n">
        <v>1</v>
      </c>
      <c r="K31" s="83" t="n">
        <v>1</v>
      </c>
      <c r="L31" s="83" t="n">
        <v>0.3</v>
      </c>
      <c r="M31" s="83" t="n">
        <v>0.3</v>
      </c>
      <c r="N31" s="83" t="n">
        <v>1</v>
      </c>
      <c r="O31" s="83" t="n">
        <v>1</v>
      </c>
      <c r="P31" s="83" t="n">
        <v>1</v>
      </c>
      <c r="Q31" s="9" t="n">
        <v>0.3</v>
      </c>
    </row>
    <row r="32" ht="15" customHeight="1" s="88">
      <c r="A32" s="83" t="n">
        <v>7</v>
      </c>
      <c r="B32" s="83" t="n">
        <v>25</v>
      </c>
      <c r="C32" s="83">
        <f>IF(E32&lt;0,1,0)</f>
        <v/>
      </c>
      <c r="D32" s="83">
        <f t="array" ref="D32">INDIRECT(ADDRESS(B32+ROW($D$7),MATCH($D$7,$F$7:$Q$7,0)+5))</f>
        <v/>
      </c>
      <c r="E32" s="10">
        <f>报价及预中标!L26/4</f>
        <v/>
      </c>
      <c r="F32" s="9" t="n">
        <v>1.7</v>
      </c>
      <c r="G32" s="9" t="n">
        <v>1.7</v>
      </c>
      <c r="H32" s="83" t="n">
        <v>1</v>
      </c>
      <c r="I32" s="83" t="n">
        <v>1</v>
      </c>
      <c r="J32" s="83" t="n">
        <v>1</v>
      </c>
      <c r="K32" s="83" t="n">
        <v>0.3</v>
      </c>
      <c r="L32" s="83" t="n">
        <v>1</v>
      </c>
      <c r="M32" s="83" t="n">
        <v>1</v>
      </c>
      <c r="N32" s="83" t="n">
        <v>1</v>
      </c>
      <c r="O32" s="83" t="n">
        <v>1</v>
      </c>
      <c r="P32" s="83" t="n">
        <v>1</v>
      </c>
      <c r="Q32" s="9" t="n">
        <v>1.7</v>
      </c>
    </row>
    <row r="33" ht="15" customHeight="1" s="88">
      <c r="A33" s="84" t="n"/>
      <c r="B33" s="83" t="n">
        <v>26</v>
      </c>
      <c r="C33" s="83">
        <f>IF(E33&lt;0,1,0)</f>
        <v/>
      </c>
      <c r="D33" s="83">
        <f t="array" ref="D33">INDIRECT(ADDRESS(B33+ROW($D$7),MATCH($D$7,$F$7:$Q$7,0)+5))</f>
        <v/>
      </c>
      <c r="E33" s="10">
        <f>报价及预中标!L27/4</f>
        <v/>
      </c>
      <c r="F33" s="9" t="n">
        <v>1.7</v>
      </c>
      <c r="G33" s="9" t="n">
        <v>1.7</v>
      </c>
      <c r="H33" s="83" t="n">
        <v>1</v>
      </c>
      <c r="I33" s="83" t="n">
        <v>1</v>
      </c>
      <c r="J33" s="83" t="n">
        <v>1</v>
      </c>
      <c r="K33" s="83" t="n">
        <v>0.3</v>
      </c>
      <c r="L33" s="83" t="n">
        <v>1</v>
      </c>
      <c r="M33" s="83" t="n">
        <v>1</v>
      </c>
      <c r="N33" s="83" t="n">
        <v>1</v>
      </c>
      <c r="O33" s="83" t="n">
        <v>1</v>
      </c>
      <c r="P33" s="83" t="n">
        <v>1</v>
      </c>
      <c r="Q33" s="9" t="n">
        <v>1.7</v>
      </c>
    </row>
    <row r="34" ht="15" customHeight="1" s="88">
      <c r="A34" s="84" t="n"/>
      <c r="B34" s="83" t="n">
        <v>27</v>
      </c>
      <c r="C34" s="83">
        <f>IF(E34&lt;0,1,0)</f>
        <v/>
      </c>
      <c r="D34" s="83">
        <f t="array" ref="D34">INDIRECT(ADDRESS(B34+ROW($D$7),MATCH($D$7,$F$7:$Q$7,0)+5))</f>
        <v/>
      </c>
      <c r="E34" s="10">
        <f>报价及预中标!L28/4</f>
        <v/>
      </c>
      <c r="F34" s="9" t="n">
        <v>1.7</v>
      </c>
      <c r="G34" s="9" t="n">
        <v>1.7</v>
      </c>
      <c r="H34" s="83" t="n">
        <v>1</v>
      </c>
      <c r="I34" s="83" t="n">
        <v>1</v>
      </c>
      <c r="J34" s="83" t="n">
        <v>1</v>
      </c>
      <c r="K34" s="83" t="n">
        <v>0.3</v>
      </c>
      <c r="L34" s="83" t="n">
        <v>1</v>
      </c>
      <c r="M34" s="83" t="n">
        <v>1</v>
      </c>
      <c r="N34" s="83" t="n">
        <v>1</v>
      </c>
      <c r="O34" s="83" t="n">
        <v>1</v>
      </c>
      <c r="P34" s="83" t="n">
        <v>1</v>
      </c>
      <c r="Q34" s="9" t="n">
        <v>1.7</v>
      </c>
    </row>
    <row r="35" ht="15" customHeight="1" s="88">
      <c r="A35" s="85" t="n"/>
      <c r="B35" s="83" t="n">
        <v>28</v>
      </c>
      <c r="C35" s="83">
        <f>IF(E35&lt;0,1,0)</f>
        <v/>
      </c>
      <c r="D35" s="83">
        <f t="array" ref="D35">INDIRECT(ADDRESS(B35+ROW($D$7),MATCH($D$7,$F$7:$Q$7,0)+5))</f>
        <v/>
      </c>
      <c r="E35" s="10">
        <f>报价及预中标!L29/4</f>
        <v/>
      </c>
      <c r="F35" s="9" t="n">
        <v>1.7</v>
      </c>
      <c r="G35" s="9" t="n">
        <v>1.7</v>
      </c>
      <c r="H35" s="83" t="n">
        <v>1</v>
      </c>
      <c r="I35" s="83" t="n">
        <v>1</v>
      </c>
      <c r="J35" s="83" t="n">
        <v>1</v>
      </c>
      <c r="K35" s="83" t="n">
        <v>0.3</v>
      </c>
      <c r="L35" s="83" t="n">
        <v>1</v>
      </c>
      <c r="M35" s="83" t="n">
        <v>1</v>
      </c>
      <c r="N35" s="83" t="n">
        <v>1</v>
      </c>
      <c r="O35" s="83" t="n">
        <v>1</v>
      </c>
      <c r="P35" s="83" t="n">
        <v>1</v>
      </c>
      <c r="Q35" s="9" t="n">
        <v>1.7</v>
      </c>
    </row>
    <row r="36" ht="15" customHeight="1" s="88">
      <c r="A36" s="83" t="n">
        <v>8</v>
      </c>
      <c r="B36" s="83" t="n">
        <v>29</v>
      </c>
      <c r="C36" s="83">
        <f>IF(E36&lt;0,1,0)</f>
        <v/>
      </c>
      <c r="D36" s="83">
        <f t="array" ref="D36">INDIRECT(ADDRESS(B36+ROW($D$7),MATCH($D$7,$F$7:$Q$7,0)+5))</f>
        <v/>
      </c>
      <c r="E36" s="10">
        <f>报价及预中标!L30/4</f>
        <v/>
      </c>
      <c r="F36" s="9" t="n">
        <v>1.7</v>
      </c>
      <c r="G36" s="9" t="n">
        <v>1.7</v>
      </c>
      <c r="H36" s="83" t="n">
        <v>1</v>
      </c>
      <c r="I36" s="83" t="n">
        <v>1</v>
      </c>
      <c r="J36" s="83" t="n">
        <v>1</v>
      </c>
      <c r="K36" s="83" t="n">
        <v>0.3</v>
      </c>
      <c r="L36" s="83" t="n">
        <v>1</v>
      </c>
      <c r="M36" s="83" t="n">
        <v>1</v>
      </c>
      <c r="N36" s="83" t="n">
        <v>1</v>
      </c>
      <c r="O36" s="83" t="n">
        <v>1</v>
      </c>
      <c r="P36" s="83" t="n">
        <v>1</v>
      </c>
      <c r="Q36" s="9" t="n">
        <v>1.7</v>
      </c>
    </row>
    <row r="37" ht="15" customHeight="1" s="88">
      <c r="A37" s="84" t="n"/>
      <c r="B37" s="83" t="n">
        <v>30</v>
      </c>
      <c r="C37" s="83">
        <f>IF(E37&lt;0,1,0)</f>
        <v/>
      </c>
      <c r="D37" s="83">
        <f t="array" ref="D37">INDIRECT(ADDRESS(B37+ROW($D$7),MATCH($D$7,$F$7:$Q$7,0)+5))</f>
        <v/>
      </c>
      <c r="E37" s="10">
        <f>报价及预中标!L31/4</f>
        <v/>
      </c>
      <c r="F37" s="9" t="n">
        <v>1.7</v>
      </c>
      <c r="G37" s="9" t="n">
        <v>1.7</v>
      </c>
      <c r="H37" s="83" t="n">
        <v>1</v>
      </c>
      <c r="I37" s="83" t="n">
        <v>1</v>
      </c>
      <c r="J37" s="83" t="n">
        <v>1</v>
      </c>
      <c r="K37" s="83" t="n">
        <v>0.3</v>
      </c>
      <c r="L37" s="83" t="n">
        <v>1</v>
      </c>
      <c r="M37" s="83" t="n">
        <v>1</v>
      </c>
      <c r="N37" s="83" t="n">
        <v>1</v>
      </c>
      <c r="O37" s="83" t="n">
        <v>1</v>
      </c>
      <c r="P37" s="83" t="n">
        <v>1</v>
      </c>
      <c r="Q37" s="9" t="n">
        <v>1.7</v>
      </c>
    </row>
    <row r="38" ht="15" customHeight="1" s="88">
      <c r="A38" s="84" t="n"/>
      <c r="B38" s="83" t="n">
        <v>31</v>
      </c>
      <c r="C38" s="83">
        <f>IF(E38&lt;0,1,0)</f>
        <v/>
      </c>
      <c r="D38" s="83">
        <f t="array" ref="D38">INDIRECT(ADDRESS(B38+ROW($D$7),MATCH($D$7,$F$7:$Q$7,0)+5))</f>
        <v/>
      </c>
      <c r="E38" s="10">
        <f>报价及预中标!L32/4</f>
        <v/>
      </c>
      <c r="F38" s="9" t="n">
        <v>1.7</v>
      </c>
      <c r="G38" s="9" t="n">
        <v>1.7</v>
      </c>
      <c r="H38" s="83" t="n">
        <v>1</v>
      </c>
      <c r="I38" s="83" t="n">
        <v>1</v>
      </c>
      <c r="J38" s="83" t="n">
        <v>1</v>
      </c>
      <c r="K38" s="83" t="n">
        <v>0.3</v>
      </c>
      <c r="L38" s="83" t="n">
        <v>1</v>
      </c>
      <c r="M38" s="83" t="n">
        <v>1</v>
      </c>
      <c r="N38" s="83" t="n">
        <v>1</v>
      </c>
      <c r="O38" s="83" t="n">
        <v>1</v>
      </c>
      <c r="P38" s="83" t="n">
        <v>1</v>
      </c>
      <c r="Q38" s="9" t="n">
        <v>1.7</v>
      </c>
    </row>
    <row r="39" ht="15" customHeight="1" s="88">
      <c r="A39" s="85" t="n"/>
      <c r="B39" s="83" t="n">
        <v>32</v>
      </c>
      <c r="C39" s="83">
        <f>IF(E39&lt;0,1,0)</f>
        <v/>
      </c>
      <c r="D39" s="83">
        <f t="array" ref="D39">INDIRECT(ADDRESS(B39+ROW($D$7),MATCH($D$7,$F$7:$Q$7,0)+5))</f>
        <v/>
      </c>
      <c r="E39" s="10">
        <f>报价及预中标!L33/4</f>
        <v/>
      </c>
      <c r="F39" s="9" t="n">
        <v>1.7</v>
      </c>
      <c r="G39" s="9" t="n">
        <v>1.7</v>
      </c>
      <c r="H39" s="83" t="n">
        <v>1</v>
      </c>
      <c r="I39" s="83" t="n">
        <v>1</v>
      </c>
      <c r="J39" s="83" t="n">
        <v>1</v>
      </c>
      <c r="K39" s="83" t="n">
        <v>0.3</v>
      </c>
      <c r="L39" s="83" t="n">
        <v>1</v>
      </c>
      <c r="M39" s="83" t="n">
        <v>1</v>
      </c>
      <c r="N39" s="83" t="n">
        <v>1</v>
      </c>
      <c r="O39" s="83" t="n">
        <v>1</v>
      </c>
      <c r="P39" s="83" t="n">
        <v>1</v>
      </c>
      <c r="Q39" s="9" t="n">
        <v>1.7</v>
      </c>
    </row>
    <row r="40" ht="15" customHeight="1" s="88">
      <c r="A40" s="83" t="n">
        <v>9</v>
      </c>
      <c r="B40" s="83" t="n">
        <v>33</v>
      </c>
      <c r="C40" s="83">
        <f>IF(E40&lt;0,1,0)</f>
        <v/>
      </c>
      <c r="D40" s="83">
        <f t="array" ref="D40">INDIRECT(ADDRESS(B40+ROW($D$7),MATCH($D$7,$F$7:$Q$7,0)+5))</f>
        <v/>
      </c>
      <c r="E40" s="10">
        <f>报价及预中标!L34/4</f>
        <v/>
      </c>
      <c r="F40" s="9" t="n">
        <v>1.7</v>
      </c>
      <c r="G40" s="9" t="n">
        <v>1.7</v>
      </c>
      <c r="H40" s="83" t="n">
        <v>1</v>
      </c>
      <c r="I40" s="83" t="n">
        <v>1</v>
      </c>
      <c r="J40" s="83" t="n">
        <v>1</v>
      </c>
      <c r="K40" s="83" t="n">
        <v>0.3</v>
      </c>
      <c r="L40" s="83" t="n">
        <v>1</v>
      </c>
      <c r="M40" s="83" t="n">
        <v>1</v>
      </c>
      <c r="N40" s="83" t="n">
        <v>1</v>
      </c>
      <c r="O40" s="83" t="n">
        <v>1</v>
      </c>
      <c r="P40" s="83" t="n">
        <v>1</v>
      </c>
      <c r="Q40" s="9" t="n">
        <v>1.7</v>
      </c>
    </row>
    <row r="41" ht="15" customHeight="1" s="88">
      <c r="A41" s="84" t="n"/>
      <c r="B41" s="83" t="n">
        <v>34</v>
      </c>
      <c r="C41" s="83">
        <f>IF(E41&lt;0,1,0)</f>
        <v/>
      </c>
      <c r="D41" s="83">
        <f t="array" ref="D41">INDIRECT(ADDRESS(B41+ROW($D$7),MATCH($D$7,$F$7:$Q$7,0)+5))</f>
        <v/>
      </c>
      <c r="E41" s="10">
        <f>报价及预中标!L35/4</f>
        <v/>
      </c>
      <c r="F41" s="9" t="n">
        <v>1.7</v>
      </c>
      <c r="G41" s="9" t="n">
        <v>1.7</v>
      </c>
      <c r="H41" s="83" t="n">
        <v>1</v>
      </c>
      <c r="I41" s="83" t="n">
        <v>1</v>
      </c>
      <c r="J41" s="83" t="n">
        <v>1</v>
      </c>
      <c r="K41" s="83" t="n">
        <v>0.3</v>
      </c>
      <c r="L41" s="83" t="n">
        <v>1</v>
      </c>
      <c r="M41" s="83" t="n">
        <v>1</v>
      </c>
      <c r="N41" s="83" t="n">
        <v>1</v>
      </c>
      <c r="O41" s="83" t="n">
        <v>1</v>
      </c>
      <c r="P41" s="83" t="n">
        <v>1</v>
      </c>
      <c r="Q41" s="9" t="n">
        <v>1.7</v>
      </c>
    </row>
    <row r="42" ht="15" customHeight="1" s="88">
      <c r="A42" s="84" t="n"/>
      <c r="B42" s="83" t="n">
        <v>35</v>
      </c>
      <c r="C42" s="83">
        <f>IF(E42&lt;0,1,0)</f>
        <v/>
      </c>
      <c r="D42" s="83">
        <f t="array" ref="D42">INDIRECT(ADDRESS(B42+ROW($D$7),MATCH($D$7,$F$7:$Q$7,0)+5))</f>
        <v/>
      </c>
      <c r="E42" s="10">
        <f>报价及预中标!L36/4</f>
        <v/>
      </c>
      <c r="F42" s="9" t="n">
        <v>1.7</v>
      </c>
      <c r="G42" s="9" t="n">
        <v>1.7</v>
      </c>
      <c r="H42" s="83" t="n">
        <v>1</v>
      </c>
      <c r="I42" s="83" t="n">
        <v>1</v>
      </c>
      <c r="J42" s="83" t="n">
        <v>1</v>
      </c>
      <c r="K42" s="83" t="n">
        <v>0.3</v>
      </c>
      <c r="L42" s="83" t="n">
        <v>1</v>
      </c>
      <c r="M42" s="83" t="n">
        <v>1</v>
      </c>
      <c r="N42" s="83" t="n">
        <v>1</v>
      </c>
      <c r="O42" s="83" t="n">
        <v>1</v>
      </c>
      <c r="P42" s="83" t="n">
        <v>1</v>
      </c>
      <c r="Q42" s="9" t="n">
        <v>1.7</v>
      </c>
    </row>
    <row r="43" ht="15" customHeight="1" s="88">
      <c r="A43" s="85" t="n"/>
      <c r="B43" s="83" t="n">
        <v>36</v>
      </c>
      <c r="C43" s="83">
        <f>IF(E43&lt;0,1,0)</f>
        <v/>
      </c>
      <c r="D43" s="83">
        <f t="array" ref="D43">INDIRECT(ADDRESS(B43+ROW($D$7),MATCH($D$7,$F$7:$Q$7,0)+5))</f>
        <v/>
      </c>
      <c r="E43" s="10">
        <f>报价及预中标!L37/4</f>
        <v/>
      </c>
      <c r="F43" s="9" t="n">
        <v>1.7</v>
      </c>
      <c r="G43" s="9" t="n">
        <v>1.7</v>
      </c>
      <c r="H43" s="83" t="n">
        <v>1</v>
      </c>
      <c r="I43" s="83" t="n">
        <v>1</v>
      </c>
      <c r="J43" s="83" t="n">
        <v>1</v>
      </c>
      <c r="K43" s="83" t="n">
        <v>0.3</v>
      </c>
      <c r="L43" s="83" t="n">
        <v>1</v>
      </c>
      <c r="M43" s="83" t="n">
        <v>1</v>
      </c>
      <c r="N43" s="83" t="n">
        <v>1</v>
      </c>
      <c r="O43" s="83" t="n">
        <v>1</v>
      </c>
      <c r="P43" s="83" t="n">
        <v>1</v>
      </c>
      <c r="Q43" s="9" t="n">
        <v>1.7</v>
      </c>
    </row>
    <row r="44" ht="15" customHeight="1" s="88">
      <c r="A44" s="83" t="n">
        <v>10</v>
      </c>
      <c r="B44" s="83" t="n">
        <v>37</v>
      </c>
      <c r="C44" s="83">
        <f>IF(E44&lt;0,1,0)</f>
        <v/>
      </c>
      <c r="D44" s="83">
        <f t="array" ref="D44">INDIRECT(ADDRESS(B44+ROW($D$7),MATCH($D$7,$F$7:$Q$7,0)+5))</f>
        <v/>
      </c>
      <c r="E44" s="10">
        <f>报价及预中标!L38/4</f>
        <v/>
      </c>
      <c r="F44" s="9" t="n">
        <v>0.3</v>
      </c>
      <c r="G44" s="9" t="n">
        <v>0.3</v>
      </c>
      <c r="H44" s="83" t="n">
        <v>0.3</v>
      </c>
      <c r="I44" s="83" t="n">
        <v>0.3</v>
      </c>
      <c r="J44" s="83" t="n">
        <v>0.3</v>
      </c>
      <c r="K44" s="83" t="n">
        <v>0.3</v>
      </c>
      <c r="L44" s="83" t="n">
        <v>1</v>
      </c>
      <c r="M44" s="83" t="n">
        <v>1</v>
      </c>
      <c r="N44" s="83" t="n">
        <v>0.3</v>
      </c>
      <c r="O44" s="83" t="n">
        <v>0.3</v>
      </c>
      <c r="P44" s="83" t="n">
        <v>0.3</v>
      </c>
      <c r="Q44" s="9" t="n">
        <v>0.3</v>
      </c>
    </row>
    <row r="45" ht="15" customHeight="1" s="88">
      <c r="A45" s="84" t="n"/>
      <c r="B45" s="83" t="n">
        <v>38</v>
      </c>
      <c r="C45" s="83">
        <f>IF(E45&lt;0,1,0)</f>
        <v/>
      </c>
      <c r="D45" s="83">
        <f t="array" ref="D45">INDIRECT(ADDRESS(B45+ROW($D$7),MATCH($D$7,$F$7:$Q$7,0)+5))</f>
        <v/>
      </c>
      <c r="E45" s="10">
        <f>报价及预中标!L39/4</f>
        <v/>
      </c>
      <c r="F45" s="9" t="n">
        <v>0.3</v>
      </c>
      <c r="G45" s="9" t="n">
        <v>0.3</v>
      </c>
      <c r="H45" s="83" t="n">
        <v>0.3</v>
      </c>
      <c r="I45" s="83" t="n">
        <v>0.3</v>
      </c>
      <c r="J45" s="83" t="n">
        <v>0.3</v>
      </c>
      <c r="K45" s="83" t="n">
        <v>0.3</v>
      </c>
      <c r="L45" s="83" t="n">
        <v>1</v>
      </c>
      <c r="M45" s="83" t="n">
        <v>1</v>
      </c>
      <c r="N45" s="83" t="n">
        <v>0.3</v>
      </c>
      <c r="O45" s="83" t="n">
        <v>0.3</v>
      </c>
      <c r="P45" s="83" t="n">
        <v>0.3</v>
      </c>
      <c r="Q45" s="9" t="n">
        <v>0.3</v>
      </c>
    </row>
    <row r="46" ht="15" customHeight="1" s="88">
      <c r="A46" s="84" t="n"/>
      <c r="B46" s="83" t="n">
        <v>39</v>
      </c>
      <c r="C46" s="83">
        <f>IF(E46&lt;0,1,0)</f>
        <v/>
      </c>
      <c r="D46" s="83">
        <f t="array" ref="D46">INDIRECT(ADDRESS(B46+ROW($D$7),MATCH($D$7,$F$7:$Q$7,0)+5))</f>
        <v/>
      </c>
      <c r="E46" s="10">
        <f>报价及预中标!L40/4</f>
        <v/>
      </c>
      <c r="F46" s="9" t="n">
        <v>0.3</v>
      </c>
      <c r="G46" s="9" t="n">
        <v>0.3</v>
      </c>
      <c r="H46" s="83" t="n">
        <v>0.3</v>
      </c>
      <c r="I46" s="83" t="n">
        <v>0.3</v>
      </c>
      <c r="J46" s="83" t="n">
        <v>0.3</v>
      </c>
      <c r="K46" s="83" t="n">
        <v>0.3</v>
      </c>
      <c r="L46" s="83" t="n">
        <v>1</v>
      </c>
      <c r="M46" s="83" t="n">
        <v>1</v>
      </c>
      <c r="N46" s="83" t="n">
        <v>0.3</v>
      </c>
      <c r="O46" s="83" t="n">
        <v>0.3</v>
      </c>
      <c r="P46" s="83" t="n">
        <v>0.3</v>
      </c>
      <c r="Q46" s="9" t="n">
        <v>0.3</v>
      </c>
    </row>
    <row r="47" ht="15" customHeight="1" s="88">
      <c r="A47" s="85" t="n"/>
      <c r="B47" s="83" t="n">
        <v>40</v>
      </c>
      <c r="C47" s="83">
        <f>IF(E47&lt;0,1,0)</f>
        <v/>
      </c>
      <c r="D47" s="83">
        <f t="array" ref="D47">INDIRECT(ADDRESS(B47+ROW($D$7),MATCH($D$7,$F$7:$Q$7,0)+5))</f>
        <v/>
      </c>
      <c r="E47" s="10">
        <f>报价及预中标!L41/4</f>
        <v/>
      </c>
      <c r="F47" s="9" t="n">
        <v>0.3</v>
      </c>
      <c r="G47" s="9" t="n">
        <v>0.3</v>
      </c>
      <c r="H47" s="83" t="n">
        <v>0.3</v>
      </c>
      <c r="I47" s="83" t="n">
        <v>0.3</v>
      </c>
      <c r="J47" s="83" t="n">
        <v>0.3</v>
      </c>
      <c r="K47" s="83" t="n">
        <v>0.3</v>
      </c>
      <c r="L47" s="83" t="n">
        <v>1</v>
      </c>
      <c r="M47" s="83" t="n">
        <v>1</v>
      </c>
      <c r="N47" s="83" t="n">
        <v>0.3</v>
      </c>
      <c r="O47" s="83" t="n">
        <v>0.3</v>
      </c>
      <c r="P47" s="83" t="n">
        <v>0.3</v>
      </c>
      <c r="Q47" s="9" t="n">
        <v>0.3</v>
      </c>
    </row>
    <row r="48" ht="15" customHeight="1" s="88">
      <c r="A48" s="83" t="n">
        <v>11</v>
      </c>
      <c r="B48" s="83" t="n">
        <v>41</v>
      </c>
      <c r="C48" s="83">
        <f>IF(E48&lt;0,1,0)</f>
        <v/>
      </c>
      <c r="D48" s="83">
        <f t="array" ref="D48">INDIRECT(ADDRESS(B48+ROW($D$7),MATCH($D$7,$F$7:$Q$7,0)+5))</f>
        <v/>
      </c>
      <c r="E48" s="10">
        <f>报价及预中标!L42/4</f>
        <v/>
      </c>
      <c r="F48" s="9" t="n">
        <v>0.1</v>
      </c>
      <c r="G48" s="9" t="n">
        <v>0.1</v>
      </c>
      <c r="H48" s="83" t="n">
        <v>0.1</v>
      </c>
      <c r="I48" s="83" t="n">
        <v>0.1</v>
      </c>
      <c r="J48" s="83" t="n">
        <v>0.1</v>
      </c>
      <c r="K48" s="83" t="n">
        <v>0.3</v>
      </c>
      <c r="L48" s="83" t="n">
        <v>1</v>
      </c>
      <c r="M48" s="83" t="n">
        <v>1</v>
      </c>
      <c r="N48" s="83" t="n">
        <v>0.1</v>
      </c>
      <c r="O48" s="83" t="n">
        <v>0.1</v>
      </c>
      <c r="P48" s="83" t="n">
        <v>0.1</v>
      </c>
      <c r="Q48" s="9" t="n">
        <v>0.1</v>
      </c>
    </row>
    <row r="49" ht="15" customHeight="1" s="88">
      <c r="A49" s="84" t="n"/>
      <c r="B49" s="83" t="n">
        <v>42</v>
      </c>
      <c r="C49" s="83">
        <f>IF(E49&lt;0,1,0)</f>
        <v/>
      </c>
      <c r="D49" s="83">
        <f t="array" ref="D49">INDIRECT(ADDRESS(B49+ROW($D$7),MATCH($D$7,$F$7:$Q$7,0)+5))</f>
        <v/>
      </c>
      <c r="E49" s="10">
        <f>报价及预中标!L43/4</f>
        <v/>
      </c>
      <c r="F49" s="9" t="n">
        <v>0.1</v>
      </c>
      <c r="G49" s="9" t="n">
        <v>0.1</v>
      </c>
      <c r="H49" s="83" t="n">
        <v>0.1</v>
      </c>
      <c r="I49" s="83" t="n">
        <v>0.1</v>
      </c>
      <c r="J49" s="83" t="n">
        <v>0.1</v>
      </c>
      <c r="K49" s="83" t="n">
        <v>0.3</v>
      </c>
      <c r="L49" s="83" t="n">
        <v>1</v>
      </c>
      <c r="M49" s="83" t="n">
        <v>1</v>
      </c>
      <c r="N49" s="83" t="n">
        <v>0.1</v>
      </c>
      <c r="O49" s="83" t="n">
        <v>0.1</v>
      </c>
      <c r="P49" s="83" t="n">
        <v>0.1</v>
      </c>
      <c r="Q49" s="9" t="n">
        <v>0.1</v>
      </c>
    </row>
    <row r="50" ht="15" customHeight="1" s="88">
      <c r="A50" s="84" t="n"/>
      <c r="B50" s="83" t="n">
        <v>43</v>
      </c>
      <c r="C50" s="83">
        <f>IF(E50&lt;0,1,0)</f>
        <v/>
      </c>
      <c r="D50" s="83">
        <f t="array" ref="D50">INDIRECT(ADDRESS(B50+ROW($D$7),MATCH($D$7,$F$7:$Q$7,0)+5))</f>
        <v/>
      </c>
      <c r="E50" s="10">
        <f>报价及预中标!L44/4</f>
        <v/>
      </c>
      <c r="F50" s="9" t="n">
        <v>0.1</v>
      </c>
      <c r="G50" s="9" t="n">
        <v>0.1</v>
      </c>
      <c r="H50" s="83" t="n">
        <v>0.1</v>
      </c>
      <c r="I50" s="83" t="n">
        <v>0.1</v>
      </c>
      <c r="J50" s="83" t="n">
        <v>0.1</v>
      </c>
      <c r="K50" s="83" t="n">
        <v>0.3</v>
      </c>
      <c r="L50" s="83" t="n">
        <v>1</v>
      </c>
      <c r="M50" s="83" t="n">
        <v>1</v>
      </c>
      <c r="N50" s="83" t="n">
        <v>0.1</v>
      </c>
      <c r="O50" s="83" t="n">
        <v>0.1</v>
      </c>
      <c r="P50" s="83" t="n">
        <v>0.1</v>
      </c>
      <c r="Q50" s="9" t="n">
        <v>0.1</v>
      </c>
    </row>
    <row r="51" ht="15" customHeight="1" s="88">
      <c r="A51" s="85" t="n"/>
      <c r="B51" s="83" t="n">
        <v>44</v>
      </c>
      <c r="C51" s="83">
        <f>IF(E51&lt;0,1,0)</f>
        <v/>
      </c>
      <c r="D51" s="83">
        <f t="array" ref="D51">INDIRECT(ADDRESS(B51+ROW($D$7),MATCH($D$7,$F$7:$Q$7,0)+5))</f>
        <v/>
      </c>
      <c r="E51" s="10">
        <f>报价及预中标!L45/4</f>
        <v/>
      </c>
      <c r="F51" s="9" t="n">
        <v>0.1</v>
      </c>
      <c r="G51" s="9" t="n">
        <v>0.1</v>
      </c>
      <c r="H51" s="83" t="n">
        <v>0.1</v>
      </c>
      <c r="I51" s="83" t="n">
        <v>0.1</v>
      </c>
      <c r="J51" s="83" t="n">
        <v>0.1</v>
      </c>
      <c r="K51" s="83" t="n">
        <v>0.3</v>
      </c>
      <c r="L51" s="83" t="n">
        <v>1</v>
      </c>
      <c r="M51" s="83" t="n">
        <v>1</v>
      </c>
      <c r="N51" s="83" t="n">
        <v>0.1</v>
      </c>
      <c r="O51" s="83" t="n">
        <v>0.1</v>
      </c>
      <c r="P51" s="83" t="n">
        <v>0.1</v>
      </c>
      <c r="Q51" s="9" t="n">
        <v>0.1</v>
      </c>
    </row>
    <row r="52" ht="15" customHeight="1" s="88">
      <c r="A52" s="83" t="n">
        <v>12</v>
      </c>
      <c r="B52" s="83" t="n">
        <v>45</v>
      </c>
      <c r="C52" s="83">
        <f>IF(E52&lt;0,1,0)</f>
        <v/>
      </c>
      <c r="D52" s="83">
        <f t="array" ref="D52">INDIRECT(ADDRESS(B52+ROW($D$7),MATCH($D$7,$F$7:$Q$7,0)+5))</f>
        <v/>
      </c>
      <c r="E52" s="10">
        <f>报价及预中标!L46/4</f>
        <v/>
      </c>
      <c r="F52" s="9" t="n">
        <v>0.1</v>
      </c>
      <c r="G52" s="9" t="n">
        <v>0.1</v>
      </c>
      <c r="H52" s="83" t="n">
        <v>0.1</v>
      </c>
      <c r="I52" s="83" t="n">
        <v>0.1</v>
      </c>
      <c r="J52" s="83" t="n">
        <v>0.1</v>
      </c>
      <c r="K52" s="83" t="n">
        <v>0.3</v>
      </c>
      <c r="L52" s="83" t="n">
        <v>1</v>
      </c>
      <c r="M52" s="83" t="n">
        <v>1</v>
      </c>
      <c r="N52" s="83" t="n">
        <v>0.1</v>
      </c>
      <c r="O52" s="83" t="n">
        <v>0.1</v>
      </c>
      <c r="P52" s="83" t="n">
        <v>0.1</v>
      </c>
      <c r="Q52" s="9" t="n">
        <v>0.1</v>
      </c>
    </row>
    <row r="53" ht="15" customHeight="1" s="88">
      <c r="A53" s="84" t="n"/>
      <c r="B53" s="83" t="n">
        <v>46</v>
      </c>
      <c r="C53" s="83">
        <f>IF(E53&lt;0,1,0)</f>
        <v/>
      </c>
      <c r="D53" s="83">
        <f t="array" ref="D53">INDIRECT(ADDRESS(B53+ROW($D$7),MATCH($D$7,$F$7:$Q$7,0)+5))</f>
        <v/>
      </c>
      <c r="E53" s="10">
        <f>报价及预中标!L47/4</f>
        <v/>
      </c>
      <c r="F53" s="9" t="n">
        <v>0.1</v>
      </c>
      <c r="G53" s="9" t="n">
        <v>0.1</v>
      </c>
      <c r="H53" s="83" t="n">
        <v>0.1</v>
      </c>
      <c r="I53" s="83" t="n">
        <v>0.1</v>
      </c>
      <c r="J53" s="83" t="n">
        <v>0.1</v>
      </c>
      <c r="K53" s="83" t="n">
        <v>0.3</v>
      </c>
      <c r="L53" s="83" t="n">
        <v>1</v>
      </c>
      <c r="M53" s="83" t="n">
        <v>1</v>
      </c>
      <c r="N53" s="83" t="n">
        <v>0.1</v>
      </c>
      <c r="O53" s="83" t="n">
        <v>0.1</v>
      </c>
      <c r="P53" s="83" t="n">
        <v>0.1</v>
      </c>
      <c r="Q53" s="9" t="n">
        <v>0.1</v>
      </c>
    </row>
    <row r="54" ht="15" customHeight="1" s="88">
      <c r="A54" s="84" t="n"/>
      <c r="B54" s="83" t="n">
        <v>47</v>
      </c>
      <c r="C54" s="83">
        <f>IF(E54&lt;0,1,0)</f>
        <v/>
      </c>
      <c r="D54" s="83">
        <f t="array" ref="D54">INDIRECT(ADDRESS(B54+ROW($D$7),MATCH($D$7,$F$7:$Q$7,0)+5))</f>
        <v/>
      </c>
      <c r="E54" s="10">
        <f>报价及预中标!L48/4</f>
        <v/>
      </c>
      <c r="F54" s="9" t="n">
        <v>0.1</v>
      </c>
      <c r="G54" s="9" t="n">
        <v>0.1</v>
      </c>
      <c r="H54" s="83" t="n">
        <v>0.1</v>
      </c>
      <c r="I54" s="83" t="n">
        <v>0.1</v>
      </c>
      <c r="J54" s="83" t="n">
        <v>0.1</v>
      </c>
      <c r="K54" s="83" t="n">
        <v>0.3</v>
      </c>
      <c r="L54" s="83" t="n">
        <v>1</v>
      </c>
      <c r="M54" s="83" t="n">
        <v>1</v>
      </c>
      <c r="N54" s="83" t="n">
        <v>0.1</v>
      </c>
      <c r="O54" s="83" t="n">
        <v>0.1</v>
      </c>
      <c r="P54" s="83" t="n">
        <v>0.1</v>
      </c>
      <c r="Q54" s="9" t="n">
        <v>0.1</v>
      </c>
    </row>
    <row r="55" ht="15" customHeight="1" s="88">
      <c r="A55" s="85" t="n"/>
      <c r="B55" s="83" t="n">
        <v>48</v>
      </c>
      <c r="C55" s="83">
        <f>IF(E55&lt;0,1,0)</f>
        <v/>
      </c>
      <c r="D55" s="83">
        <f t="array" ref="D55">INDIRECT(ADDRESS(B55+ROW($D$7),MATCH($D$7,$F$7:$Q$7,0)+5))</f>
        <v/>
      </c>
      <c r="E55" s="10">
        <f>报价及预中标!L49/4</f>
        <v/>
      </c>
      <c r="F55" s="9" t="n">
        <v>0.1</v>
      </c>
      <c r="G55" s="9" t="n">
        <v>0.1</v>
      </c>
      <c r="H55" s="83" t="n">
        <v>0.1</v>
      </c>
      <c r="I55" s="83" t="n">
        <v>0.1</v>
      </c>
      <c r="J55" s="83" t="n">
        <v>0.1</v>
      </c>
      <c r="K55" s="83" t="n">
        <v>0.3</v>
      </c>
      <c r="L55" s="83" t="n">
        <v>1</v>
      </c>
      <c r="M55" s="83" t="n">
        <v>1</v>
      </c>
      <c r="N55" s="83" t="n">
        <v>0.1</v>
      </c>
      <c r="O55" s="83" t="n">
        <v>0.1</v>
      </c>
      <c r="P55" s="83" t="n">
        <v>0.1</v>
      </c>
      <c r="Q55" s="9" t="n">
        <v>0.1</v>
      </c>
    </row>
    <row r="56" ht="15" customHeight="1" s="88">
      <c r="A56" s="83" t="n">
        <v>13</v>
      </c>
      <c r="B56" s="83" t="n">
        <v>49</v>
      </c>
      <c r="C56" s="83">
        <f>IF(E56&lt;0,1,0)</f>
        <v/>
      </c>
      <c r="D56" s="83">
        <f t="array" ref="D56">INDIRECT(ADDRESS(B56+ROW($D$7),MATCH($D$7,$F$7:$Q$7,0)+5))</f>
        <v/>
      </c>
      <c r="E56" s="10">
        <f>报价及预中标!L50/4</f>
        <v/>
      </c>
      <c r="F56" s="9" t="n">
        <v>0.1</v>
      </c>
      <c r="G56" s="9" t="n">
        <v>0.1</v>
      </c>
      <c r="H56" s="83" t="n">
        <v>0.1</v>
      </c>
      <c r="I56" s="83" t="n">
        <v>0.1</v>
      </c>
      <c r="J56" s="83" t="n">
        <v>0.1</v>
      </c>
      <c r="K56" s="83" t="n">
        <v>1</v>
      </c>
      <c r="L56" s="83" t="n">
        <v>1</v>
      </c>
      <c r="M56" s="83" t="n">
        <v>1</v>
      </c>
      <c r="N56" s="83" t="n">
        <v>0.1</v>
      </c>
      <c r="O56" s="83" t="n">
        <v>0.1</v>
      </c>
      <c r="P56" s="83" t="n">
        <v>0.1</v>
      </c>
      <c r="Q56" s="9" t="n">
        <v>0.1</v>
      </c>
    </row>
    <row r="57" ht="15" customHeight="1" s="88">
      <c r="A57" s="84" t="n"/>
      <c r="B57" s="83" t="n">
        <v>50</v>
      </c>
      <c r="C57" s="83">
        <f>IF(E57&lt;0,1,0)</f>
        <v/>
      </c>
      <c r="D57" s="83">
        <f t="array" ref="D57">INDIRECT(ADDRESS(B57+ROW($D$7),MATCH($D$7,$F$7:$Q$7,0)+5))</f>
        <v/>
      </c>
      <c r="E57" s="10">
        <f>报价及预中标!L51/4</f>
        <v/>
      </c>
      <c r="F57" s="9" t="n">
        <v>0.1</v>
      </c>
      <c r="G57" s="9" t="n">
        <v>0.1</v>
      </c>
      <c r="H57" s="83" t="n">
        <v>0.1</v>
      </c>
      <c r="I57" s="83" t="n">
        <v>0.1</v>
      </c>
      <c r="J57" s="83" t="n">
        <v>0.1</v>
      </c>
      <c r="K57" s="83" t="n">
        <v>1</v>
      </c>
      <c r="L57" s="83" t="n">
        <v>1</v>
      </c>
      <c r="M57" s="83" t="n">
        <v>1</v>
      </c>
      <c r="N57" s="83" t="n">
        <v>0.1</v>
      </c>
      <c r="O57" s="83" t="n">
        <v>0.1</v>
      </c>
      <c r="P57" s="83" t="n">
        <v>0.1</v>
      </c>
      <c r="Q57" s="9" t="n">
        <v>0.1</v>
      </c>
    </row>
    <row r="58" ht="15" customHeight="1" s="88">
      <c r="A58" s="84" t="n"/>
      <c r="B58" s="83" t="n">
        <v>51</v>
      </c>
      <c r="C58" s="83">
        <f>IF(E58&lt;0,1,0)</f>
        <v/>
      </c>
      <c r="D58" s="83">
        <f t="array" ref="D58">INDIRECT(ADDRESS(B58+ROW($D$7),MATCH($D$7,$F$7:$Q$7,0)+5))</f>
        <v/>
      </c>
      <c r="E58" s="10">
        <f>报价及预中标!L52/4</f>
        <v/>
      </c>
      <c r="F58" s="9" t="n">
        <v>0.1</v>
      </c>
      <c r="G58" s="9" t="n">
        <v>0.1</v>
      </c>
      <c r="H58" s="83" t="n">
        <v>0.1</v>
      </c>
      <c r="I58" s="83" t="n">
        <v>0.1</v>
      </c>
      <c r="J58" s="83" t="n">
        <v>0.1</v>
      </c>
      <c r="K58" s="83" t="n">
        <v>1</v>
      </c>
      <c r="L58" s="83" t="n">
        <v>1</v>
      </c>
      <c r="M58" s="83" t="n">
        <v>1</v>
      </c>
      <c r="N58" s="83" t="n">
        <v>0.1</v>
      </c>
      <c r="O58" s="83" t="n">
        <v>0.1</v>
      </c>
      <c r="P58" s="83" t="n">
        <v>0.1</v>
      </c>
      <c r="Q58" s="9" t="n">
        <v>0.1</v>
      </c>
    </row>
    <row r="59" ht="15" customHeight="1" s="88">
      <c r="A59" s="85" t="n"/>
      <c r="B59" s="83" t="n">
        <v>52</v>
      </c>
      <c r="C59" s="83">
        <f>IF(E59&lt;0,1,0)</f>
        <v/>
      </c>
      <c r="D59" s="83">
        <f t="array" ref="D59">INDIRECT(ADDRESS(B59+ROW($D$7),MATCH($D$7,$F$7:$Q$7,0)+5))</f>
        <v/>
      </c>
      <c r="E59" s="10">
        <f>报价及预中标!L53/4</f>
        <v/>
      </c>
      <c r="F59" s="9" t="n">
        <v>0.1</v>
      </c>
      <c r="G59" s="9" t="n">
        <v>0.1</v>
      </c>
      <c r="H59" s="83" t="n">
        <v>0.1</v>
      </c>
      <c r="I59" s="83" t="n">
        <v>0.1</v>
      </c>
      <c r="J59" s="83" t="n">
        <v>0.1</v>
      </c>
      <c r="K59" s="83" t="n">
        <v>1</v>
      </c>
      <c r="L59" s="83" t="n">
        <v>1</v>
      </c>
      <c r="M59" s="83" t="n">
        <v>1</v>
      </c>
      <c r="N59" s="83" t="n">
        <v>0.1</v>
      </c>
      <c r="O59" s="83" t="n">
        <v>0.1</v>
      </c>
      <c r="P59" s="83" t="n">
        <v>0.1</v>
      </c>
      <c r="Q59" s="9" t="n">
        <v>0.1</v>
      </c>
    </row>
    <row r="60" ht="15" customHeight="1" s="88">
      <c r="A60" s="83" t="n">
        <v>14</v>
      </c>
      <c r="B60" s="83" t="n">
        <v>53</v>
      </c>
      <c r="C60" s="83">
        <f>IF(E60&lt;0,1,0)</f>
        <v/>
      </c>
      <c r="D60" s="83">
        <f t="array" ref="D60">INDIRECT(ADDRESS(B60+ROW($D$7),MATCH($D$7,$F$7:$Q$7,0)+5))</f>
        <v/>
      </c>
      <c r="E60" s="10">
        <f>报价及预中标!L54/4</f>
        <v/>
      </c>
      <c r="F60" s="9" t="n">
        <v>0.1</v>
      </c>
      <c r="G60" s="9" t="n">
        <v>0.1</v>
      </c>
      <c r="H60" s="83" t="n">
        <v>0.1</v>
      </c>
      <c r="I60" s="83" t="n">
        <v>0.1</v>
      </c>
      <c r="J60" s="83" t="n">
        <v>0.1</v>
      </c>
      <c r="K60" s="83" t="n">
        <v>1</v>
      </c>
      <c r="L60" s="83" t="n">
        <v>1</v>
      </c>
      <c r="M60" s="83" t="n">
        <v>1</v>
      </c>
      <c r="N60" s="83" t="n">
        <v>0.1</v>
      </c>
      <c r="O60" s="83" t="n">
        <v>0.1</v>
      </c>
      <c r="P60" s="83" t="n">
        <v>0.1</v>
      </c>
      <c r="Q60" s="9" t="n">
        <v>0.1</v>
      </c>
    </row>
    <row r="61" ht="15" customHeight="1" s="88">
      <c r="A61" s="84" t="n"/>
      <c r="B61" s="83" t="n">
        <v>54</v>
      </c>
      <c r="C61" s="83">
        <f>IF(E61&lt;0,1,0)</f>
        <v/>
      </c>
      <c r="D61" s="83">
        <f t="array" ref="D61">INDIRECT(ADDRESS(B61+ROW($D$7),MATCH($D$7,$F$7:$Q$7,0)+5))</f>
        <v/>
      </c>
      <c r="E61" s="10">
        <f>报价及预中标!L55/4</f>
        <v/>
      </c>
      <c r="F61" s="9" t="n">
        <v>0.1</v>
      </c>
      <c r="G61" s="9" t="n">
        <v>0.1</v>
      </c>
      <c r="H61" s="83" t="n">
        <v>0.1</v>
      </c>
      <c r="I61" s="83" t="n">
        <v>0.1</v>
      </c>
      <c r="J61" s="83" t="n">
        <v>0.1</v>
      </c>
      <c r="K61" s="83" t="n">
        <v>1</v>
      </c>
      <c r="L61" s="83" t="n">
        <v>1</v>
      </c>
      <c r="M61" s="83" t="n">
        <v>1</v>
      </c>
      <c r="N61" s="83" t="n">
        <v>0.1</v>
      </c>
      <c r="O61" s="83" t="n">
        <v>0.1</v>
      </c>
      <c r="P61" s="83" t="n">
        <v>0.1</v>
      </c>
      <c r="Q61" s="9" t="n">
        <v>0.1</v>
      </c>
    </row>
    <row r="62" ht="15" customHeight="1" s="88">
      <c r="A62" s="84" t="n"/>
      <c r="B62" s="83" t="n">
        <v>55</v>
      </c>
      <c r="C62" s="83">
        <f>IF(E62&lt;0,1,0)</f>
        <v/>
      </c>
      <c r="D62" s="83">
        <f t="array" ref="D62">INDIRECT(ADDRESS(B62+ROW($D$7),MATCH($D$7,$F$7:$Q$7,0)+5))</f>
        <v/>
      </c>
      <c r="E62" s="10">
        <f>报价及预中标!L56/4</f>
        <v/>
      </c>
      <c r="F62" s="9" t="n">
        <v>0.1</v>
      </c>
      <c r="G62" s="9" t="n">
        <v>0.1</v>
      </c>
      <c r="H62" s="83" t="n">
        <v>0.1</v>
      </c>
      <c r="I62" s="83" t="n">
        <v>0.1</v>
      </c>
      <c r="J62" s="83" t="n">
        <v>0.1</v>
      </c>
      <c r="K62" s="83" t="n">
        <v>1</v>
      </c>
      <c r="L62" s="83" t="n">
        <v>1</v>
      </c>
      <c r="M62" s="83" t="n">
        <v>1</v>
      </c>
      <c r="N62" s="83" t="n">
        <v>0.1</v>
      </c>
      <c r="O62" s="83" t="n">
        <v>0.1</v>
      </c>
      <c r="P62" s="83" t="n">
        <v>0.1</v>
      </c>
      <c r="Q62" s="9" t="n">
        <v>0.1</v>
      </c>
    </row>
    <row r="63" ht="15" customHeight="1" s="88">
      <c r="A63" s="85" t="n"/>
      <c r="B63" s="83" t="n">
        <v>56</v>
      </c>
      <c r="C63" s="83">
        <f>IF(E63&lt;0,1,0)</f>
        <v/>
      </c>
      <c r="D63" s="83">
        <f t="array" ref="D63">INDIRECT(ADDRESS(B63+ROW($D$7),MATCH($D$7,$F$7:$Q$7,0)+5))</f>
        <v/>
      </c>
      <c r="E63" s="10">
        <f>报价及预中标!L57/4</f>
        <v/>
      </c>
      <c r="F63" s="9" t="n">
        <v>0.1</v>
      </c>
      <c r="G63" s="9" t="n">
        <v>0.1</v>
      </c>
      <c r="H63" s="83" t="n">
        <v>0.1</v>
      </c>
      <c r="I63" s="83" t="n">
        <v>0.1</v>
      </c>
      <c r="J63" s="83" t="n">
        <v>0.1</v>
      </c>
      <c r="K63" s="83" t="n">
        <v>1</v>
      </c>
      <c r="L63" s="83" t="n">
        <v>1</v>
      </c>
      <c r="M63" s="83" t="n">
        <v>1</v>
      </c>
      <c r="N63" s="83" t="n">
        <v>0.1</v>
      </c>
      <c r="O63" s="83" t="n">
        <v>0.1</v>
      </c>
      <c r="P63" s="83" t="n">
        <v>0.1</v>
      </c>
      <c r="Q63" s="9" t="n">
        <v>0.1</v>
      </c>
    </row>
    <row r="64" ht="15" customHeight="1" s="88">
      <c r="A64" s="83" t="n">
        <v>15</v>
      </c>
      <c r="B64" s="83" t="n">
        <v>57</v>
      </c>
      <c r="C64" s="83">
        <f>IF(E64&lt;0,1,0)</f>
        <v/>
      </c>
      <c r="D64" s="83">
        <f t="array" ref="D64">INDIRECT(ADDRESS(B64+ROW($D$7),MATCH($D$7,$F$7:$Q$7,0)+5))</f>
        <v/>
      </c>
      <c r="E64" s="10">
        <f>报价及预中标!L58/4</f>
        <v/>
      </c>
      <c r="F64" s="9" t="n">
        <v>0.3</v>
      </c>
      <c r="G64" s="9" t="n">
        <v>0.3</v>
      </c>
      <c r="H64" s="83" t="n">
        <v>0.3</v>
      </c>
      <c r="I64" s="83" t="n">
        <v>0.3</v>
      </c>
      <c r="J64" s="83" t="n">
        <v>0.3</v>
      </c>
      <c r="K64" s="83" t="n">
        <v>1</v>
      </c>
      <c r="L64" s="83" t="n">
        <v>1</v>
      </c>
      <c r="M64" s="83" t="n">
        <v>1</v>
      </c>
      <c r="N64" s="83" t="n">
        <v>0.3</v>
      </c>
      <c r="O64" s="83" t="n">
        <v>0.3</v>
      </c>
      <c r="P64" s="83" t="n">
        <v>0.3</v>
      </c>
      <c r="Q64" s="9" t="n">
        <v>0.3</v>
      </c>
    </row>
    <row r="65" ht="15" customHeight="1" s="88">
      <c r="A65" s="84" t="n"/>
      <c r="B65" s="83" t="n">
        <v>58</v>
      </c>
      <c r="C65" s="83">
        <f>IF(E65&lt;0,1,0)</f>
        <v/>
      </c>
      <c r="D65" s="83">
        <f t="array" ref="D65">INDIRECT(ADDRESS(B65+ROW($D$7),MATCH($D$7,$F$7:$Q$7,0)+5))</f>
        <v/>
      </c>
      <c r="E65" s="10">
        <f>报价及预中标!L59/4</f>
        <v/>
      </c>
      <c r="F65" s="9" t="n">
        <v>0.3</v>
      </c>
      <c r="G65" s="9" t="n">
        <v>0.3</v>
      </c>
      <c r="H65" s="83" t="n">
        <v>0.3</v>
      </c>
      <c r="I65" s="83" t="n">
        <v>0.3</v>
      </c>
      <c r="J65" s="83" t="n">
        <v>0.3</v>
      </c>
      <c r="K65" s="83" t="n">
        <v>1</v>
      </c>
      <c r="L65" s="83" t="n">
        <v>1</v>
      </c>
      <c r="M65" s="83" t="n">
        <v>1</v>
      </c>
      <c r="N65" s="83" t="n">
        <v>0.3</v>
      </c>
      <c r="O65" s="83" t="n">
        <v>0.3</v>
      </c>
      <c r="P65" s="83" t="n">
        <v>0.3</v>
      </c>
      <c r="Q65" s="9" t="n">
        <v>0.3</v>
      </c>
    </row>
    <row r="66" ht="15" customHeight="1" s="88">
      <c r="A66" s="84" t="n"/>
      <c r="B66" s="83" t="n">
        <v>59</v>
      </c>
      <c r="C66" s="83">
        <f>IF(E66&lt;0,1,0)</f>
        <v/>
      </c>
      <c r="D66" s="83">
        <f t="array" ref="D66">INDIRECT(ADDRESS(B66+ROW($D$7),MATCH($D$7,$F$7:$Q$7,0)+5))</f>
        <v/>
      </c>
      <c r="E66" s="10">
        <f>报价及预中标!L60/4</f>
        <v/>
      </c>
      <c r="F66" s="9" t="n">
        <v>0.3</v>
      </c>
      <c r="G66" s="9" t="n">
        <v>0.3</v>
      </c>
      <c r="H66" s="83" t="n">
        <v>0.3</v>
      </c>
      <c r="I66" s="83" t="n">
        <v>0.3</v>
      </c>
      <c r="J66" s="83" t="n">
        <v>0.3</v>
      </c>
      <c r="K66" s="83" t="n">
        <v>1</v>
      </c>
      <c r="L66" s="83" t="n">
        <v>1</v>
      </c>
      <c r="M66" s="83" t="n">
        <v>1</v>
      </c>
      <c r="N66" s="83" t="n">
        <v>0.3</v>
      </c>
      <c r="O66" s="83" t="n">
        <v>0.3</v>
      </c>
      <c r="P66" s="83" t="n">
        <v>0.3</v>
      </c>
      <c r="Q66" s="9" t="n">
        <v>0.3</v>
      </c>
    </row>
    <row r="67" ht="15" customHeight="1" s="88">
      <c r="A67" s="85" t="n"/>
      <c r="B67" s="83" t="n">
        <v>60</v>
      </c>
      <c r="C67" s="83">
        <f>IF(E67&lt;0,1,0)</f>
        <v/>
      </c>
      <c r="D67" s="83">
        <f t="array" ref="D67">INDIRECT(ADDRESS(B67+ROW($D$7),MATCH($D$7,$F$7:$Q$7,0)+5))</f>
        <v/>
      </c>
      <c r="E67" s="10">
        <f>报价及预中标!L61/4</f>
        <v/>
      </c>
      <c r="F67" s="9" t="n">
        <v>0.3</v>
      </c>
      <c r="G67" s="9" t="n">
        <v>0.3</v>
      </c>
      <c r="H67" s="83" t="n">
        <v>0.3</v>
      </c>
      <c r="I67" s="83" t="n">
        <v>0.3</v>
      </c>
      <c r="J67" s="83" t="n">
        <v>0.3</v>
      </c>
      <c r="K67" s="83" t="n">
        <v>1</v>
      </c>
      <c r="L67" s="83" t="n">
        <v>1</v>
      </c>
      <c r="M67" s="83" t="n">
        <v>1</v>
      </c>
      <c r="N67" s="83" t="n">
        <v>0.3</v>
      </c>
      <c r="O67" s="83" t="n">
        <v>0.3</v>
      </c>
      <c r="P67" s="83" t="n">
        <v>0.3</v>
      </c>
      <c r="Q67" s="9" t="n">
        <v>0.3</v>
      </c>
    </row>
    <row r="68" ht="15" customHeight="1" s="88">
      <c r="A68" s="83" t="n">
        <v>16</v>
      </c>
      <c r="B68" s="83" t="n">
        <v>61</v>
      </c>
      <c r="C68" s="83">
        <f>IF(E68&lt;0,1,0)</f>
        <v/>
      </c>
      <c r="D68" s="83">
        <f t="array" ref="D68">INDIRECT(ADDRESS(B68+ROW($D$7),MATCH($D$7,$F$7:$Q$7,0)+5))</f>
        <v/>
      </c>
      <c r="E68" s="10">
        <f>报价及预中标!L62/4</f>
        <v/>
      </c>
      <c r="F68" s="9" t="n">
        <v>2</v>
      </c>
      <c r="G68" s="9" t="n">
        <v>2</v>
      </c>
      <c r="H68" s="83" t="n">
        <v>1</v>
      </c>
      <c r="I68" s="83" t="n">
        <v>1</v>
      </c>
      <c r="J68" s="83" t="n">
        <v>1</v>
      </c>
      <c r="K68" s="83" t="n">
        <v>1.7</v>
      </c>
      <c r="L68" s="83" t="n">
        <v>1.7</v>
      </c>
      <c r="M68" s="83" t="n">
        <v>1.7</v>
      </c>
      <c r="N68" s="83" t="n">
        <v>1.7</v>
      </c>
      <c r="O68" s="83" t="n">
        <v>1.7</v>
      </c>
      <c r="P68" s="83" t="n">
        <v>1.7</v>
      </c>
      <c r="Q68" s="9" t="n">
        <v>2</v>
      </c>
    </row>
    <row r="69" ht="15" customHeight="1" s="88">
      <c r="A69" s="84" t="n"/>
      <c r="B69" s="83" t="n">
        <v>62</v>
      </c>
      <c r="C69" s="83">
        <f>IF(E69&lt;0,1,0)</f>
        <v/>
      </c>
      <c r="D69" s="83">
        <f t="array" ref="D69">INDIRECT(ADDRESS(B69+ROW($D$7),MATCH($D$7,$F$7:$Q$7,0)+5))</f>
        <v/>
      </c>
      <c r="E69" s="10">
        <f>报价及预中标!L63/4</f>
        <v/>
      </c>
      <c r="F69" s="9" t="n">
        <v>2</v>
      </c>
      <c r="G69" s="9" t="n">
        <v>2</v>
      </c>
      <c r="H69" s="83" t="n">
        <v>1</v>
      </c>
      <c r="I69" s="83" t="n">
        <v>1</v>
      </c>
      <c r="J69" s="83" t="n">
        <v>1</v>
      </c>
      <c r="K69" s="83" t="n">
        <v>1.7</v>
      </c>
      <c r="L69" s="83" t="n">
        <v>1.7</v>
      </c>
      <c r="M69" s="83" t="n">
        <v>1.7</v>
      </c>
      <c r="N69" s="83" t="n">
        <v>1.7</v>
      </c>
      <c r="O69" s="83" t="n">
        <v>1.7</v>
      </c>
      <c r="P69" s="83" t="n">
        <v>1.7</v>
      </c>
      <c r="Q69" s="9" t="n">
        <v>2</v>
      </c>
    </row>
    <row r="70" ht="15" customHeight="1" s="88">
      <c r="A70" s="84" t="n"/>
      <c r="B70" s="83" t="n">
        <v>63</v>
      </c>
      <c r="C70" s="83">
        <f>IF(E70&lt;0,1,0)</f>
        <v/>
      </c>
      <c r="D70" s="83">
        <f t="array" ref="D70">INDIRECT(ADDRESS(B70+ROW($D$7),MATCH($D$7,$F$7:$Q$7,0)+5))</f>
        <v/>
      </c>
      <c r="E70" s="10">
        <f>报价及预中标!L64/4</f>
        <v/>
      </c>
      <c r="F70" s="9" t="n">
        <v>2</v>
      </c>
      <c r="G70" s="9" t="n">
        <v>2</v>
      </c>
      <c r="H70" s="83" t="n">
        <v>1</v>
      </c>
      <c r="I70" s="83" t="n">
        <v>1</v>
      </c>
      <c r="J70" s="83" t="n">
        <v>1</v>
      </c>
      <c r="K70" s="83" t="n">
        <v>1.7</v>
      </c>
      <c r="L70" s="83" t="n">
        <v>1.7</v>
      </c>
      <c r="M70" s="83" t="n">
        <v>1.7</v>
      </c>
      <c r="N70" s="83" t="n">
        <v>1.7</v>
      </c>
      <c r="O70" s="83" t="n">
        <v>1.7</v>
      </c>
      <c r="P70" s="83" t="n">
        <v>1.7</v>
      </c>
      <c r="Q70" s="9" t="n">
        <v>2</v>
      </c>
    </row>
    <row r="71" ht="15" customHeight="1" s="88">
      <c r="A71" s="85" t="n"/>
      <c r="B71" s="83" t="n">
        <v>64</v>
      </c>
      <c r="C71" s="83">
        <f>IF(E71&lt;0,1,0)</f>
        <v/>
      </c>
      <c r="D71" s="83">
        <f t="array" ref="D71">INDIRECT(ADDRESS(B71+ROW($D$7),MATCH($D$7,$F$7:$Q$7,0)+5))</f>
        <v/>
      </c>
      <c r="E71" s="10">
        <f>报价及预中标!L65/4</f>
        <v/>
      </c>
      <c r="F71" s="9" t="n">
        <v>2</v>
      </c>
      <c r="G71" s="9" t="n">
        <v>2</v>
      </c>
      <c r="H71" s="83" t="n">
        <v>1</v>
      </c>
      <c r="I71" s="83" t="n">
        <v>1</v>
      </c>
      <c r="J71" s="83" t="n">
        <v>1</v>
      </c>
      <c r="K71" s="83" t="n">
        <v>1.7</v>
      </c>
      <c r="L71" s="83" t="n">
        <v>1.7</v>
      </c>
      <c r="M71" s="83" t="n">
        <v>1.7</v>
      </c>
      <c r="N71" s="83" t="n">
        <v>1.7</v>
      </c>
      <c r="O71" s="83" t="n">
        <v>1.7</v>
      </c>
      <c r="P71" s="83" t="n">
        <v>1.7</v>
      </c>
      <c r="Q71" s="9" t="n">
        <v>2</v>
      </c>
    </row>
    <row r="72" ht="15" customHeight="1" s="88">
      <c r="A72" s="83" t="n">
        <v>17</v>
      </c>
      <c r="B72" s="83" t="n">
        <v>65</v>
      </c>
      <c r="C72" s="83">
        <f>IF(E72&lt;0,1,0)</f>
        <v/>
      </c>
      <c r="D72" s="83">
        <f t="array" ref="D72">INDIRECT(ADDRESS(B72+ROW($D$7),MATCH($D$7,$F$7:$Q$7,0)+5))</f>
        <v/>
      </c>
      <c r="E72" s="10">
        <f>报价及预中标!L66/4</f>
        <v/>
      </c>
      <c r="F72" s="9" t="n">
        <v>2</v>
      </c>
      <c r="G72" s="9" t="n">
        <v>2</v>
      </c>
      <c r="H72" s="83" t="n">
        <v>2</v>
      </c>
      <c r="I72" s="83" t="n">
        <v>2</v>
      </c>
      <c r="J72" s="83" t="n">
        <v>2</v>
      </c>
      <c r="K72" s="83" t="n">
        <v>2</v>
      </c>
      <c r="L72" s="83" t="n">
        <v>2</v>
      </c>
      <c r="M72" s="83" t="n">
        <v>2</v>
      </c>
      <c r="N72" s="83" t="n">
        <v>2</v>
      </c>
      <c r="O72" s="83" t="n">
        <v>2</v>
      </c>
      <c r="P72" s="83" t="n">
        <v>2</v>
      </c>
      <c r="Q72" s="9" t="n">
        <v>2</v>
      </c>
    </row>
    <row r="73" ht="15" customHeight="1" s="88">
      <c r="A73" s="84" t="n"/>
      <c r="B73" s="83" t="n">
        <v>66</v>
      </c>
      <c r="C73" s="83">
        <f>IF(E73&lt;0,1,0)</f>
        <v/>
      </c>
      <c r="D73" s="83">
        <f t="array" ref="D73">INDIRECT(ADDRESS(B73+ROW($D$7),MATCH($D$7,$F$7:$Q$7,0)+5))</f>
        <v/>
      </c>
      <c r="E73" s="10">
        <f>报价及预中标!L67/4</f>
        <v/>
      </c>
      <c r="F73" s="9" t="n">
        <v>2</v>
      </c>
      <c r="G73" s="9" t="n">
        <v>2</v>
      </c>
      <c r="H73" s="83" t="n">
        <v>2</v>
      </c>
      <c r="I73" s="83" t="n">
        <v>2</v>
      </c>
      <c r="J73" s="83" t="n">
        <v>2</v>
      </c>
      <c r="K73" s="83" t="n">
        <v>2</v>
      </c>
      <c r="L73" s="83" t="n">
        <v>2</v>
      </c>
      <c r="M73" s="83" t="n">
        <v>2</v>
      </c>
      <c r="N73" s="83" t="n">
        <v>2</v>
      </c>
      <c r="O73" s="83" t="n">
        <v>2</v>
      </c>
      <c r="P73" s="83" t="n">
        <v>2</v>
      </c>
      <c r="Q73" s="9" t="n">
        <v>2</v>
      </c>
    </row>
    <row r="74" ht="15" customHeight="1" s="88">
      <c r="A74" s="84" t="n"/>
      <c r="B74" s="83" t="n">
        <v>67</v>
      </c>
      <c r="C74" s="83">
        <f>IF(E74&lt;0,1,0)</f>
        <v/>
      </c>
      <c r="D74" s="83">
        <f t="array" ref="D74">INDIRECT(ADDRESS(B74+ROW($D$7),MATCH($D$7,$F$7:$Q$7,0)+5))</f>
        <v/>
      </c>
      <c r="E74" s="10">
        <f>报价及预中标!L68/4</f>
        <v/>
      </c>
      <c r="F74" s="9" t="n">
        <v>2</v>
      </c>
      <c r="G74" s="9" t="n">
        <v>2</v>
      </c>
      <c r="H74" s="83" t="n">
        <v>2</v>
      </c>
      <c r="I74" s="83" t="n">
        <v>2</v>
      </c>
      <c r="J74" s="83" t="n">
        <v>2</v>
      </c>
      <c r="K74" s="83" t="n">
        <v>2</v>
      </c>
      <c r="L74" s="83" t="n">
        <v>2</v>
      </c>
      <c r="M74" s="83" t="n">
        <v>2</v>
      </c>
      <c r="N74" s="83" t="n">
        <v>2</v>
      </c>
      <c r="O74" s="83" t="n">
        <v>2</v>
      </c>
      <c r="P74" s="83" t="n">
        <v>2</v>
      </c>
      <c r="Q74" s="9" t="n">
        <v>2</v>
      </c>
    </row>
    <row r="75" ht="15" customHeight="1" s="88">
      <c r="A75" s="85" t="n"/>
      <c r="B75" s="83" t="n">
        <v>68</v>
      </c>
      <c r="C75" s="83">
        <f>IF(E75&lt;0,1,0)</f>
        <v/>
      </c>
      <c r="D75" s="83">
        <f t="array" ref="D75">INDIRECT(ADDRESS(B75+ROW($D$7),MATCH($D$7,$F$7:$Q$7,0)+5))</f>
        <v/>
      </c>
      <c r="E75" s="10">
        <f>报价及预中标!L69/4</f>
        <v/>
      </c>
      <c r="F75" s="9" t="n">
        <v>2</v>
      </c>
      <c r="G75" s="9" t="n">
        <v>2</v>
      </c>
      <c r="H75" s="83" t="n">
        <v>2</v>
      </c>
      <c r="I75" s="83" t="n">
        <v>2</v>
      </c>
      <c r="J75" s="83" t="n">
        <v>2</v>
      </c>
      <c r="K75" s="83" t="n">
        <v>2</v>
      </c>
      <c r="L75" s="83" t="n">
        <v>2</v>
      </c>
      <c r="M75" s="83" t="n">
        <v>2</v>
      </c>
      <c r="N75" s="83" t="n">
        <v>2</v>
      </c>
      <c r="O75" s="83" t="n">
        <v>2</v>
      </c>
      <c r="P75" s="83" t="n">
        <v>2</v>
      </c>
      <c r="Q75" s="9" t="n">
        <v>2</v>
      </c>
    </row>
    <row r="76" ht="15" customHeight="1" s="88">
      <c r="A76" s="83" t="n">
        <v>18</v>
      </c>
      <c r="B76" s="83" t="n">
        <v>69</v>
      </c>
      <c r="C76" s="83">
        <f>IF(E76&lt;0,1,0)</f>
        <v/>
      </c>
      <c r="D76" s="83">
        <f t="array" ref="D76">INDIRECT(ADDRESS(B76+ROW($D$7),MATCH($D$7,$F$7:$Q$7,0)+5))</f>
        <v/>
      </c>
      <c r="E76" s="10">
        <f>报价及预中标!L70/4</f>
        <v/>
      </c>
      <c r="F76" s="9" t="n">
        <v>2</v>
      </c>
      <c r="G76" s="9" t="n">
        <v>2</v>
      </c>
      <c r="H76" s="83" t="n">
        <v>2</v>
      </c>
      <c r="I76" s="83" t="n">
        <v>2</v>
      </c>
      <c r="J76" s="83" t="n">
        <v>2</v>
      </c>
      <c r="K76" s="83" t="n">
        <v>2</v>
      </c>
      <c r="L76" s="83" t="n">
        <v>2</v>
      </c>
      <c r="M76" s="83" t="n">
        <v>2</v>
      </c>
      <c r="N76" s="83" t="n">
        <v>2</v>
      </c>
      <c r="O76" s="83" t="n">
        <v>2</v>
      </c>
      <c r="P76" s="83" t="n">
        <v>2</v>
      </c>
      <c r="Q76" s="9" t="n">
        <v>2</v>
      </c>
    </row>
    <row r="77" ht="15" customHeight="1" s="88">
      <c r="A77" s="84" t="n"/>
      <c r="B77" s="83" t="n">
        <v>70</v>
      </c>
      <c r="C77" s="83">
        <f>IF(E77&lt;0,1,0)</f>
        <v/>
      </c>
      <c r="D77" s="83">
        <f t="array" ref="D77">INDIRECT(ADDRESS(B77+ROW($D$7),MATCH($D$7,$F$7:$Q$7,0)+5))</f>
        <v/>
      </c>
      <c r="E77" s="10">
        <f>报价及预中标!L71/4</f>
        <v/>
      </c>
      <c r="F77" s="9" t="n">
        <v>2</v>
      </c>
      <c r="G77" s="9" t="n">
        <v>2</v>
      </c>
      <c r="H77" s="83" t="n">
        <v>2</v>
      </c>
      <c r="I77" s="83" t="n">
        <v>2</v>
      </c>
      <c r="J77" s="83" t="n">
        <v>2</v>
      </c>
      <c r="K77" s="83" t="n">
        <v>2</v>
      </c>
      <c r="L77" s="83" t="n">
        <v>2</v>
      </c>
      <c r="M77" s="83" t="n">
        <v>2</v>
      </c>
      <c r="N77" s="83" t="n">
        <v>2</v>
      </c>
      <c r="O77" s="83" t="n">
        <v>2</v>
      </c>
      <c r="P77" s="83" t="n">
        <v>2</v>
      </c>
      <c r="Q77" s="9" t="n">
        <v>2</v>
      </c>
    </row>
    <row r="78" ht="15" customHeight="1" s="88">
      <c r="A78" s="84" t="n"/>
      <c r="B78" s="83" t="n">
        <v>71</v>
      </c>
      <c r="C78" s="83">
        <f>IF(E78&lt;0,1,0)</f>
        <v/>
      </c>
      <c r="D78" s="83">
        <f t="array" ref="D78">INDIRECT(ADDRESS(B78+ROW($D$7),MATCH($D$7,$F$7:$Q$7,0)+5))</f>
        <v/>
      </c>
      <c r="E78" s="10">
        <f>报价及预中标!L72/4</f>
        <v/>
      </c>
      <c r="F78" s="9" t="n">
        <v>2</v>
      </c>
      <c r="G78" s="9" t="n">
        <v>2</v>
      </c>
      <c r="H78" s="83" t="n">
        <v>2</v>
      </c>
      <c r="I78" s="83" t="n">
        <v>2</v>
      </c>
      <c r="J78" s="83" t="n">
        <v>2</v>
      </c>
      <c r="K78" s="83" t="n">
        <v>2</v>
      </c>
      <c r="L78" s="83" t="n">
        <v>2</v>
      </c>
      <c r="M78" s="83" t="n">
        <v>2</v>
      </c>
      <c r="N78" s="83" t="n">
        <v>2</v>
      </c>
      <c r="O78" s="83" t="n">
        <v>2</v>
      </c>
      <c r="P78" s="83" t="n">
        <v>2</v>
      </c>
      <c r="Q78" s="9" t="n">
        <v>2</v>
      </c>
    </row>
    <row r="79" ht="15" customHeight="1" s="88">
      <c r="A79" s="85" t="n"/>
      <c r="B79" s="83" t="n">
        <v>72</v>
      </c>
      <c r="C79" s="83">
        <f>IF(E79&lt;0,1,0)</f>
        <v/>
      </c>
      <c r="D79" s="83">
        <f t="array" ref="D79">INDIRECT(ADDRESS(B79+ROW($D$7),MATCH($D$7,$F$7:$Q$7,0)+5))</f>
        <v/>
      </c>
      <c r="E79" s="10">
        <f>报价及预中标!L73/4</f>
        <v/>
      </c>
      <c r="F79" s="9" t="n">
        <v>2</v>
      </c>
      <c r="G79" s="9" t="n">
        <v>2</v>
      </c>
      <c r="H79" s="83" t="n">
        <v>2</v>
      </c>
      <c r="I79" s="83" t="n">
        <v>2</v>
      </c>
      <c r="J79" s="83" t="n">
        <v>2</v>
      </c>
      <c r="K79" s="83" t="n">
        <v>2</v>
      </c>
      <c r="L79" s="83" t="n">
        <v>2</v>
      </c>
      <c r="M79" s="83" t="n">
        <v>2</v>
      </c>
      <c r="N79" s="83" t="n">
        <v>2</v>
      </c>
      <c r="O79" s="83" t="n">
        <v>2</v>
      </c>
      <c r="P79" s="83" t="n">
        <v>2</v>
      </c>
      <c r="Q79" s="9" t="n">
        <v>2</v>
      </c>
    </row>
    <row r="80" ht="15" customHeight="1" s="88">
      <c r="A80" s="83" t="n">
        <v>19</v>
      </c>
      <c r="B80" s="83" t="n">
        <v>73</v>
      </c>
      <c r="C80" s="83">
        <f>IF(E80&lt;0,1,0)</f>
        <v/>
      </c>
      <c r="D80" s="83">
        <f t="array" ref="D80">INDIRECT(ADDRESS(B80+ROW($D$7),MATCH($D$7,$F$7:$Q$7,0)+5))</f>
        <v/>
      </c>
      <c r="E80" s="10">
        <f>报价及预中标!L74/4</f>
        <v/>
      </c>
      <c r="F80" s="9" t="n">
        <v>2</v>
      </c>
      <c r="G80" s="9" t="n">
        <v>2</v>
      </c>
      <c r="H80" s="83" t="n">
        <v>2</v>
      </c>
      <c r="I80" s="83" t="n">
        <v>2</v>
      </c>
      <c r="J80" s="83" t="n">
        <v>2</v>
      </c>
      <c r="K80" s="83" t="n">
        <v>2</v>
      </c>
      <c r="L80" s="83" t="n">
        <v>2</v>
      </c>
      <c r="M80" s="83" t="n">
        <v>2</v>
      </c>
      <c r="N80" s="83" t="n">
        <v>2</v>
      </c>
      <c r="O80" s="83" t="n">
        <v>2</v>
      </c>
      <c r="P80" s="83" t="n">
        <v>2</v>
      </c>
      <c r="Q80" s="9" t="n">
        <v>2</v>
      </c>
    </row>
    <row r="81" ht="15" customHeight="1" s="88">
      <c r="A81" s="84" t="n"/>
      <c r="B81" s="83" t="n">
        <v>74</v>
      </c>
      <c r="C81" s="83">
        <f>IF(E81&lt;0,1,0)</f>
        <v/>
      </c>
      <c r="D81" s="83">
        <f t="array" ref="D81">INDIRECT(ADDRESS(B81+ROW($D$7),MATCH($D$7,$F$7:$Q$7,0)+5))</f>
        <v/>
      </c>
      <c r="E81" s="10">
        <f>报价及预中标!L75/4</f>
        <v/>
      </c>
      <c r="F81" s="9" t="n">
        <v>2</v>
      </c>
      <c r="G81" s="9" t="n">
        <v>2</v>
      </c>
      <c r="H81" s="83" t="n">
        <v>2</v>
      </c>
      <c r="I81" s="83" t="n">
        <v>2</v>
      </c>
      <c r="J81" s="83" t="n">
        <v>2</v>
      </c>
      <c r="K81" s="83" t="n">
        <v>2</v>
      </c>
      <c r="L81" s="83" t="n">
        <v>2</v>
      </c>
      <c r="M81" s="83" t="n">
        <v>2</v>
      </c>
      <c r="N81" s="83" t="n">
        <v>2</v>
      </c>
      <c r="O81" s="83" t="n">
        <v>2</v>
      </c>
      <c r="P81" s="83" t="n">
        <v>2</v>
      </c>
      <c r="Q81" s="9" t="n">
        <v>2</v>
      </c>
    </row>
    <row r="82" ht="15" customHeight="1" s="88">
      <c r="A82" s="84" t="n"/>
      <c r="B82" s="83" t="n">
        <v>75</v>
      </c>
      <c r="C82" s="83">
        <f>IF(E82&lt;0,1,0)</f>
        <v/>
      </c>
      <c r="D82" s="83">
        <f t="array" ref="D82">INDIRECT(ADDRESS(B82+ROW($D$7),MATCH($D$7,$F$7:$Q$7,0)+5))</f>
        <v/>
      </c>
      <c r="E82" s="10">
        <f>报价及预中标!L76/4</f>
        <v/>
      </c>
      <c r="F82" s="9" t="n">
        <v>2</v>
      </c>
      <c r="G82" s="9" t="n">
        <v>2</v>
      </c>
      <c r="H82" s="83" t="n">
        <v>2</v>
      </c>
      <c r="I82" s="83" t="n">
        <v>2</v>
      </c>
      <c r="J82" s="83" t="n">
        <v>2</v>
      </c>
      <c r="K82" s="83" t="n">
        <v>2</v>
      </c>
      <c r="L82" s="83" t="n">
        <v>2</v>
      </c>
      <c r="M82" s="83" t="n">
        <v>2</v>
      </c>
      <c r="N82" s="83" t="n">
        <v>2</v>
      </c>
      <c r="O82" s="83" t="n">
        <v>2</v>
      </c>
      <c r="P82" s="83" t="n">
        <v>2</v>
      </c>
      <c r="Q82" s="9" t="n">
        <v>2</v>
      </c>
    </row>
    <row r="83" ht="15" customHeight="1" s="88">
      <c r="A83" s="85" t="n"/>
      <c r="B83" s="83" t="n">
        <v>76</v>
      </c>
      <c r="C83" s="83">
        <f>IF(E83&lt;0,1,0)</f>
        <v/>
      </c>
      <c r="D83" s="83">
        <f t="array" ref="D83">INDIRECT(ADDRESS(B83+ROW($D$7),MATCH($D$7,$F$7:$Q$7,0)+5))</f>
        <v/>
      </c>
      <c r="E83" s="10">
        <f>报价及预中标!L77/4</f>
        <v/>
      </c>
      <c r="F83" s="9" t="n">
        <v>2</v>
      </c>
      <c r="G83" s="9" t="n">
        <v>2</v>
      </c>
      <c r="H83" s="83" t="n">
        <v>2</v>
      </c>
      <c r="I83" s="83" t="n">
        <v>2</v>
      </c>
      <c r="J83" s="83" t="n">
        <v>2</v>
      </c>
      <c r="K83" s="83" t="n">
        <v>2</v>
      </c>
      <c r="L83" s="83" t="n">
        <v>2</v>
      </c>
      <c r="M83" s="83" t="n">
        <v>2</v>
      </c>
      <c r="N83" s="83" t="n">
        <v>2</v>
      </c>
      <c r="O83" s="83" t="n">
        <v>2</v>
      </c>
      <c r="P83" s="83" t="n">
        <v>2</v>
      </c>
      <c r="Q83" s="9" t="n">
        <v>2</v>
      </c>
    </row>
    <row r="84" ht="15" customHeight="1" s="88">
      <c r="A84" s="83" t="n">
        <v>20</v>
      </c>
      <c r="B84" s="83" t="n">
        <v>77</v>
      </c>
      <c r="C84" s="83">
        <f>IF(E84&lt;0,1,0)</f>
        <v/>
      </c>
      <c r="D84" s="83">
        <f t="array" ref="D84">INDIRECT(ADDRESS(B84+ROW($D$7),MATCH($D$7,$F$7:$Q$7,0)+5))</f>
        <v/>
      </c>
      <c r="E84" s="10">
        <f>报价及预中标!L78/4</f>
        <v/>
      </c>
      <c r="F84" s="9" t="n">
        <v>1.7</v>
      </c>
      <c r="G84" s="9" t="n">
        <v>1.7</v>
      </c>
      <c r="H84" s="83" t="n">
        <v>2</v>
      </c>
      <c r="I84" s="83" t="n">
        <v>2</v>
      </c>
      <c r="J84" s="83" t="n">
        <v>2</v>
      </c>
      <c r="K84" s="83" t="n">
        <v>2</v>
      </c>
      <c r="L84" s="83" t="n">
        <v>2</v>
      </c>
      <c r="M84" s="83" t="n">
        <v>2</v>
      </c>
      <c r="N84" s="83" t="n">
        <v>1.7</v>
      </c>
      <c r="O84" s="83" t="n">
        <v>1.7</v>
      </c>
      <c r="P84" s="83" t="n">
        <v>1.7</v>
      </c>
      <c r="Q84" s="9" t="n">
        <v>1.7</v>
      </c>
    </row>
    <row r="85" ht="15" customHeight="1" s="88">
      <c r="A85" s="84" t="n"/>
      <c r="B85" s="83" t="n">
        <v>78</v>
      </c>
      <c r="C85" s="83">
        <f>IF(E85&lt;0,1,0)</f>
        <v/>
      </c>
      <c r="D85" s="83">
        <f t="array" ref="D85">INDIRECT(ADDRESS(B85+ROW($D$7),MATCH($D$7,$F$7:$Q$7,0)+5))</f>
        <v/>
      </c>
      <c r="E85" s="10">
        <f>报价及预中标!L79/4</f>
        <v/>
      </c>
      <c r="F85" s="9" t="n">
        <v>1.7</v>
      </c>
      <c r="G85" s="9" t="n">
        <v>1.7</v>
      </c>
      <c r="H85" s="83" t="n">
        <v>2</v>
      </c>
      <c r="I85" s="83" t="n">
        <v>2</v>
      </c>
      <c r="J85" s="83" t="n">
        <v>2</v>
      </c>
      <c r="K85" s="83" t="n">
        <v>2</v>
      </c>
      <c r="L85" s="83" t="n">
        <v>2</v>
      </c>
      <c r="M85" s="83" t="n">
        <v>2</v>
      </c>
      <c r="N85" s="83" t="n">
        <v>1.7</v>
      </c>
      <c r="O85" s="83" t="n">
        <v>1.7</v>
      </c>
      <c r="P85" s="83" t="n">
        <v>1.7</v>
      </c>
      <c r="Q85" s="9" t="n">
        <v>1.7</v>
      </c>
    </row>
    <row r="86" ht="15" customHeight="1" s="88">
      <c r="A86" s="84" t="n"/>
      <c r="B86" s="83" t="n">
        <v>79</v>
      </c>
      <c r="C86" s="83">
        <f>IF(E86&lt;0,1,0)</f>
        <v/>
      </c>
      <c r="D86" s="83">
        <f t="array" ref="D86">INDIRECT(ADDRESS(B86+ROW($D$7),MATCH($D$7,$F$7:$Q$7,0)+5))</f>
        <v/>
      </c>
      <c r="E86" s="10">
        <f>报价及预中标!L80/4</f>
        <v/>
      </c>
      <c r="F86" s="9" t="n">
        <v>1.7</v>
      </c>
      <c r="G86" s="9" t="n">
        <v>1.7</v>
      </c>
      <c r="H86" s="83" t="n">
        <v>2</v>
      </c>
      <c r="I86" s="83" t="n">
        <v>2</v>
      </c>
      <c r="J86" s="83" t="n">
        <v>2</v>
      </c>
      <c r="K86" s="83" t="n">
        <v>2</v>
      </c>
      <c r="L86" s="83" t="n">
        <v>2</v>
      </c>
      <c r="M86" s="83" t="n">
        <v>2</v>
      </c>
      <c r="N86" s="83" t="n">
        <v>1.7</v>
      </c>
      <c r="O86" s="83" t="n">
        <v>1.7</v>
      </c>
      <c r="P86" s="83" t="n">
        <v>1.7</v>
      </c>
      <c r="Q86" s="9" t="n">
        <v>1.7</v>
      </c>
    </row>
    <row r="87" ht="15" customHeight="1" s="88">
      <c r="A87" s="85" t="n"/>
      <c r="B87" s="83" t="n">
        <v>80</v>
      </c>
      <c r="C87" s="83">
        <f>IF(E87&lt;0,1,0)</f>
        <v/>
      </c>
      <c r="D87" s="83">
        <f t="array" ref="D87">INDIRECT(ADDRESS(B87+ROW($D$7),MATCH($D$7,$F$7:$Q$7,0)+5))</f>
        <v/>
      </c>
      <c r="E87" s="10">
        <f>报价及预中标!L81/4</f>
        <v/>
      </c>
      <c r="F87" s="9" t="n">
        <v>1.7</v>
      </c>
      <c r="G87" s="9" t="n">
        <v>1.7</v>
      </c>
      <c r="H87" s="83" t="n">
        <v>2</v>
      </c>
      <c r="I87" s="83" t="n">
        <v>2</v>
      </c>
      <c r="J87" s="83" t="n">
        <v>2</v>
      </c>
      <c r="K87" s="83" t="n">
        <v>2</v>
      </c>
      <c r="L87" s="83" t="n">
        <v>2</v>
      </c>
      <c r="M87" s="83" t="n">
        <v>2</v>
      </c>
      <c r="N87" s="83" t="n">
        <v>1.7</v>
      </c>
      <c r="O87" s="83" t="n">
        <v>1.7</v>
      </c>
      <c r="P87" s="83" t="n">
        <v>1.7</v>
      </c>
      <c r="Q87" s="9" t="n">
        <v>1.7</v>
      </c>
    </row>
    <row r="88" ht="15" customHeight="1" s="88">
      <c r="A88" s="83" t="n">
        <v>21</v>
      </c>
      <c r="B88" s="83" t="n">
        <v>81</v>
      </c>
      <c r="C88" s="83">
        <f>IF(E88&lt;0,1,0)</f>
        <v/>
      </c>
      <c r="D88" s="83">
        <f t="array" ref="D88">INDIRECT(ADDRESS(B88+ROW($D$7),MATCH($D$7,$F$7:$Q$7,0)+5))</f>
        <v/>
      </c>
      <c r="E88" s="10">
        <f>报价及预中标!L82/4</f>
        <v/>
      </c>
      <c r="F88" s="9" t="n">
        <v>1.7</v>
      </c>
      <c r="G88" s="9" t="n">
        <v>1.7</v>
      </c>
      <c r="H88" s="83" t="n">
        <v>1.7</v>
      </c>
      <c r="I88" s="83" t="n">
        <v>1.7</v>
      </c>
      <c r="J88" s="83" t="n">
        <v>1.7</v>
      </c>
      <c r="K88" s="83" t="n">
        <v>2</v>
      </c>
      <c r="L88" s="83" t="n">
        <v>2</v>
      </c>
      <c r="M88" s="83" t="n">
        <v>2</v>
      </c>
      <c r="N88" s="83" t="n">
        <v>1.7</v>
      </c>
      <c r="O88" s="83" t="n">
        <v>1.7</v>
      </c>
      <c r="P88" s="83" t="n">
        <v>1.7</v>
      </c>
      <c r="Q88" s="9" t="n">
        <v>1.7</v>
      </c>
    </row>
    <row r="89" ht="15" customHeight="1" s="88">
      <c r="A89" s="84" t="n"/>
      <c r="B89" s="83" t="n">
        <v>82</v>
      </c>
      <c r="C89" s="83">
        <f>IF(E89&lt;0,1,0)</f>
        <v/>
      </c>
      <c r="D89" s="83">
        <f t="array" ref="D89">INDIRECT(ADDRESS(B89+ROW($D$7),MATCH($D$7,$F$7:$Q$7,0)+5))</f>
        <v/>
      </c>
      <c r="E89" s="10">
        <f>报价及预中标!L83/4</f>
        <v/>
      </c>
      <c r="F89" s="9" t="n">
        <v>1.7</v>
      </c>
      <c r="G89" s="9" t="n">
        <v>1.7</v>
      </c>
      <c r="H89" s="83" t="n">
        <v>1.7</v>
      </c>
      <c r="I89" s="83" t="n">
        <v>1.7</v>
      </c>
      <c r="J89" s="83" t="n">
        <v>1.7</v>
      </c>
      <c r="K89" s="83" t="n">
        <v>2</v>
      </c>
      <c r="L89" s="83" t="n">
        <v>2</v>
      </c>
      <c r="M89" s="83" t="n">
        <v>2</v>
      </c>
      <c r="N89" s="83" t="n">
        <v>1.7</v>
      </c>
      <c r="O89" s="83" t="n">
        <v>1.7</v>
      </c>
      <c r="P89" s="83" t="n">
        <v>1.7</v>
      </c>
      <c r="Q89" s="9" t="n">
        <v>1.7</v>
      </c>
    </row>
    <row r="90" ht="15" customHeight="1" s="88">
      <c r="A90" s="84" t="n"/>
      <c r="B90" s="83" t="n">
        <v>83</v>
      </c>
      <c r="C90" s="83">
        <f>IF(E90&lt;0,1,0)</f>
        <v/>
      </c>
      <c r="D90" s="83">
        <f t="array" ref="D90">INDIRECT(ADDRESS(B90+ROW($D$7),MATCH($D$7,$F$7:$Q$7,0)+5))</f>
        <v/>
      </c>
      <c r="E90" s="10">
        <f>报价及预中标!L84/4</f>
        <v/>
      </c>
      <c r="F90" s="9" t="n">
        <v>1.7</v>
      </c>
      <c r="G90" s="9" t="n">
        <v>1.7</v>
      </c>
      <c r="H90" s="83" t="n">
        <v>1.7</v>
      </c>
      <c r="I90" s="83" t="n">
        <v>1.7</v>
      </c>
      <c r="J90" s="83" t="n">
        <v>1.7</v>
      </c>
      <c r="K90" s="83" t="n">
        <v>2</v>
      </c>
      <c r="L90" s="83" t="n">
        <v>2</v>
      </c>
      <c r="M90" s="83" t="n">
        <v>2</v>
      </c>
      <c r="N90" s="83" t="n">
        <v>1.7</v>
      </c>
      <c r="O90" s="83" t="n">
        <v>1.7</v>
      </c>
      <c r="P90" s="83" t="n">
        <v>1.7</v>
      </c>
      <c r="Q90" s="9" t="n">
        <v>1.7</v>
      </c>
    </row>
    <row r="91" ht="15" customHeight="1" s="88">
      <c r="A91" s="85" t="n"/>
      <c r="B91" s="83" t="n">
        <v>84</v>
      </c>
      <c r="C91" s="83">
        <f>IF(E91&lt;0,1,0)</f>
        <v/>
      </c>
      <c r="D91" s="83">
        <f t="array" ref="D91">INDIRECT(ADDRESS(B91+ROW($D$7),MATCH($D$7,$F$7:$Q$7,0)+5))</f>
        <v/>
      </c>
      <c r="E91" s="10">
        <f>报价及预中标!L85/4</f>
        <v/>
      </c>
      <c r="F91" s="9" t="n">
        <v>1.7</v>
      </c>
      <c r="G91" s="9" t="n">
        <v>1.7</v>
      </c>
      <c r="H91" s="83" t="n">
        <v>1.7</v>
      </c>
      <c r="I91" s="83" t="n">
        <v>1.7</v>
      </c>
      <c r="J91" s="83" t="n">
        <v>1.7</v>
      </c>
      <c r="K91" s="83" t="n">
        <v>2</v>
      </c>
      <c r="L91" s="83" t="n">
        <v>2</v>
      </c>
      <c r="M91" s="83" t="n">
        <v>2</v>
      </c>
      <c r="N91" s="83" t="n">
        <v>1.7</v>
      </c>
      <c r="O91" s="83" t="n">
        <v>1.7</v>
      </c>
      <c r="P91" s="83" t="n">
        <v>1.7</v>
      </c>
      <c r="Q91" s="9" t="n">
        <v>1.7</v>
      </c>
    </row>
    <row r="92" ht="15" customHeight="1" s="88">
      <c r="A92" s="83" t="n">
        <v>22</v>
      </c>
      <c r="B92" s="83" t="n">
        <v>85</v>
      </c>
      <c r="C92" s="83">
        <f>IF(E92&lt;0,1,0)</f>
        <v/>
      </c>
      <c r="D92" s="83">
        <f t="array" ref="D92">INDIRECT(ADDRESS(B92+ROW($D$7),MATCH($D$7,$F$7:$Q$7,0)+5))</f>
        <v/>
      </c>
      <c r="E92" s="10">
        <f>报价及预中标!L86/4</f>
        <v/>
      </c>
      <c r="F92" s="9" t="n">
        <v>1</v>
      </c>
      <c r="G92" s="9" t="n">
        <v>1</v>
      </c>
      <c r="H92" s="83" t="n">
        <v>1.7</v>
      </c>
      <c r="I92" s="83" t="n">
        <v>1.7</v>
      </c>
      <c r="J92" s="83" t="n">
        <v>1.7</v>
      </c>
      <c r="K92" s="83" t="n">
        <v>2</v>
      </c>
      <c r="L92" s="83" t="n">
        <v>2</v>
      </c>
      <c r="M92" s="83" t="n">
        <v>2</v>
      </c>
      <c r="N92" s="83" t="n">
        <v>1</v>
      </c>
      <c r="O92" s="83" t="n">
        <v>1</v>
      </c>
      <c r="P92" s="83" t="n">
        <v>1</v>
      </c>
      <c r="Q92" s="9" t="n">
        <v>1</v>
      </c>
    </row>
    <row r="93" ht="15" customHeight="1" s="88">
      <c r="A93" s="84" t="n"/>
      <c r="B93" s="83" t="n">
        <v>86</v>
      </c>
      <c r="C93" s="83">
        <f>IF(E93&lt;0,1,0)</f>
        <v/>
      </c>
      <c r="D93" s="83">
        <f t="array" ref="D93">INDIRECT(ADDRESS(B93+ROW($D$7),MATCH($D$7,$F$7:$Q$7,0)+5))</f>
        <v/>
      </c>
      <c r="E93" s="10">
        <f>报价及预中标!L87/4</f>
        <v/>
      </c>
      <c r="F93" s="9" t="n">
        <v>1</v>
      </c>
      <c r="G93" s="9" t="n">
        <v>1</v>
      </c>
      <c r="H93" s="83" t="n">
        <v>1.7</v>
      </c>
      <c r="I93" s="83" t="n">
        <v>1.7</v>
      </c>
      <c r="J93" s="83" t="n">
        <v>1.7</v>
      </c>
      <c r="K93" s="83" t="n">
        <v>2</v>
      </c>
      <c r="L93" s="83" t="n">
        <v>2</v>
      </c>
      <c r="M93" s="83" t="n">
        <v>2</v>
      </c>
      <c r="N93" s="83" t="n">
        <v>1</v>
      </c>
      <c r="O93" s="83" t="n">
        <v>1</v>
      </c>
      <c r="P93" s="83" t="n">
        <v>1</v>
      </c>
      <c r="Q93" s="9" t="n">
        <v>1</v>
      </c>
    </row>
    <row r="94" ht="15" customHeight="1" s="88">
      <c r="A94" s="84" t="n"/>
      <c r="B94" s="83" t="n">
        <v>87</v>
      </c>
      <c r="C94" s="83">
        <f>IF(E94&lt;0,1,0)</f>
        <v/>
      </c>
      <c r="D94" s="83">
        <f t="array" ref="D94">INDIRECT(ADDRESS(B94+ROW($D$7),MATCH($D$7,$F$7:$Q$7,0)+5))</f>
        <v/>
      </c>
      <c r="E94" s="10">
        <f>报价及预中标!L88/4</f>
        <v/>
      </c>
      <c r="F94" s="9" t="n">
        <v>1</v>
      </c>
      <c r="G94" s="9" t="n">
        <v>1</v>
      </c>
      <c r="H94" s="83" t="n">
        <v>1.7</v>
      </c>
      <c r="I94" s="83" t="n">
        <v>1.7</v>
      </c>
      <c r="J94" s="83" t="n">
        <v>1.7</v>
      </c>
      <c r="K94" s="83" t="n">
        <v>2</v>
      </c>
      <c r="L94" s="83" t="n">
        <v>2</v>
      </c>
      <c r="M94" s="83" t="n">
        <v>2</v>
      </c>
      <c r="N94" s="83" t="n">
        <v>1</v>
      </c>
      <c r="O94" s="83" t="n">
        <v>1</v>
      </c>
      <c r="P94" s="83" t="n">
        <v>1</v>
      </c>
      <c r="Q94" s="9" t="n">
        <v>1</v>
      </c>
    </row>
    <row r="95" ht="15" customHeight="1" s="88">
      <c r="A95" s="85" t="n"/>
      <c r="B95" s="83" t="n">
        <v>88</v>
      </c>
      <c r="C95" s="83">
        <f>IF(E95&lt;0,1,0)</f>
        <v/>
      </c>
      <c r="D95" s="83">
        <f t="array" ref="D95">INDIRECT(ADDRESS(B95+ROW($D$7),MATCH($D$7,$F$7:$Q$7,0)+5))</f>
        <v/>
      </c>
      <c r="E95" s="10">
        <f>报价及预中标!L89/4</f>
        <v/>
      </c>
      <c r="F95" s="9" t="n">
        <v>1</v>
      </c>
      <c r="G95" s="9" t="n">
        <v>1</v>
      </c>
      <c r="H95" s="83" t="n">
        <v>1.7</v>
      </c>
      <c r="I95" s="83" t="n">
        <v>1.7</v>
      </c>
      <c r="J95" s="83" t="n">
        <v>1.7</v>
      </c>
      <c r="K95" s="83" t="n">
        <v>2</v>
      </c>
      <c r="L95" s="83" t="n">
        <v>2</v>
      </c>
      <c r="M95" s="83" t="n">
        <v>2</v>
      </c>
      <c r="N95" s="83" t="n">
        <v>1</v>
      </c>
      <c r="O95" s="83" t="n">
        <v>1</v>
      </c>
      <c r="P95" s="83" t="n">
        <v>1</v>
      </c>
      <c r="Q95" s="9" t="n">
        <v>1</v>
      </c>
    </row>
    <row r="96" ht="15" customHeight="1" s="88">
      <c r="A96" s="83" t="n">
        <v>23</v>
      </c>
      <c r="B96" s="83" t="n">
        <v>89</v>
      </c>
      <c r="C96" s="83">
        <f>IF(E96&lt;0,1,0)</f>
        <v/>
      </c>
      <c r="D96" s="83">
        <f t="array" ref="D96">INDIRECT(ADDRESS(B96+ROW($D$7),MATCH($D$7,$F$7:$Q$7,0)+5))</f>
        <v/>
      </c>
      <c r="E96" s="10">
        <f>报价及预中标!L90/4</f>
        <v/>
      </c>
      <c r="F96" s="9" t="n">
        <v>1</v>
      </c>
      <c r="G96" s="9" t="n">
        <v>1</v>
      </c>
      <c r="H96" s="83" t="n">
        <v>1</v>
      </c>
      <c r="I96" s="83" t="n">
        <v>1</v>
      </c>
      <c r="J96" s="83" t="n">
        <v>1</v>
      </c>
      <c r="K96" s="83" t="n">
        <v>1.7</v>
      </c>
      <c r="L96" s="83" t="n">
        <v>1.7</v>
      </c>
      <c r="M96" s="83" t="n">
        <v>1.7</v>
      </c>
      <c r="N96" s="83" t="n">
        <v>1</v>
      </c>
      <c r="O96" s="83" t="n">
        <v>1</v>
      </c>
      <c r="P96" s="83" t="n">
        <v>1</v>
      </c>
      <c r="Q96" s="9" t="n">
        <v>1</v>
      </c>
    </row>
    <row r="97" ht="15" customHeight="1" s="88">
      <c r="A97" s="84" t="n"/>
      <c r="B97" s="83" t="n">
        <v>90</v>
      </c>
      <c r="C97" s="83">
        <f>IF(E97&lt;0,1,0)</f>
        <v/>
      </c>
      <c r="D97" s="83">
        <f t="array" ref="D97">INDIRECT(ADDRESS(B97+ROW($D$7),MATCH($D$7,$F$7:$Q$7,0)+5))</f>
        <v/>
      </c>
      <c r="E97" s="10">
        <f>报价及预中标!L91/4</f>
        <v/>
      </c>
      <c r="F97" s="9" t="n">
        <v>1</v>
      </c>
      <c r="G97" s="9" t="n">
        <v>1</v>
      </c>
      <c r="H97" s="83" t="n">
        <v>1</v>
      </c>
      <c r="I97" s="83" t="n">
        <v>1</v>
      </c>
      <c r="J97" s="83" t="n">
        <v>1</v>
      </c>
      <c r="K97" s="83" t="n">
        <v>1.7</v>
      </c>
      <c r="L97" s="83" t="n">
        <v>1.7</v>
      </c>
      <c r="M97" s="83" t="n">
        <v>1.7</v>
      </c>
      <c r="N97" s="83" t="n">
        <v>1</v>
      </c>
      <c r="O97" s="83" t="n">
        <v>1</v>
      </c>
      <c r="P97" s="83" t="n">
        <v>1</v>
      </c>
      <c r="Q97" s="9" t="n">
        <v>1</v>
      </c>
    </row>
    <row r="98" ht="15" customHeight="1" s="88">
      <c r="A98" s="84" t="n"/>
      <c r="B98" s="83" t="n">
        <v>91</v>
      </c>
      <c r="C98" s="83">
        <f>IF(E98&lt;0,1,0)</f>
        <v/>
      </c>
      <c r="D98" s="83">
        <f t="array" ref="D98">INDIRECT(ADDRESS(B98+ROW($D$7),MATCH($D$7,$F$7:$Q$7,0)+5))</f>
        <v/>
      </c>
      <c r="E98" s="10">
        <f>报价及预中标!L92/4</f>
        <v/>
      </c>
      <c r="F98" s="9" t="n">
        <v>1</v>
      </c>
      <c r="G98" s="9" t="n">
        <v>1</v>
      </c>
      <c r="H98" s="83" t="n">
        <v>1</v>
      </c>
      <c r="I98" s="83" t="n">
        <v>1</v>
      </c>
      <c r="J98" s="83" t="n">
        <v>1</v>
      </c>
      <c r="K98" s="83" t="n">
        <v>1.7</v>
      </c>
      <c r="L98" s="83" t="n">
        <v>1.7</v>
      </c>
      <c r="M98" s="83" t="n">
        <v>1.7</v>
      </c>
      <c r="N98" s="83" t="n">
        <v>1</v>
      </c>
      <c r="O98" s="83" t="n">
        <v>1</v>
      </c>
      <c r="P98" s="83" t="n">
        <v>1</v>
      </c>
      <c r="Q98" s="9" t="n">
        <v>1</v>
      </c>
    </row>
    <row r="99" ht="15" customHeight="1" s="88">
      <c r="A99" s="85" t="n"/>
      <c r="B99" s="83" t="n">
        <v>92</v>
      </c>
      <c r="C99" s="83">
        <f>IF(E99&lt;0,1,0)</f>
        <v/>
      </c>
      <c r="D99" s="83">
        <f t="array" ref="D99">INDIRECT(ADDRESS(B99+ROW($D$7),MATCH($D$7,$F$7:$Q$7,0)+5))</f>
        <v/>
      </c>
      <c r="E99" s="10">
        <f>报价及预中标!L93/4</f>
        <v/>
      </c>
      <c r="F99" s="9" t="n">
        <v>1</v>
      </c>
      <c r="G99" s="9" t="n">
        <v>1</v>
      </c>
      <c r="H99" s="83" t="n">
        <v>1</v>
      </c>
      <c r="I99" s="83" t="n">
        <v>1</v>
      </c>
      <c r="J99" s="83" t="n">
        <v>1</v>
      </c>
      <c r="K99" s="83" t="n">
        <v>1.7</v>
      </c>
      <c r="L99" s="83" t="n">
        <v>1.7</v>
      </c>
      <c r="M99" s="83" t="n">
        <v>1.7</v>
      </c>
      <c r="N99" s="83" t="n">
        <v>1</v>
      </c>
      <c r="O99" s="83" t="n">
        <v>1</v>
      </c>
      <c r="P99" s="83" t="n">
        <v>1</v>
      </c>
      <c r="Q99" s="9" t="n">
        <v>1</v>
      </c>
    </row>
    <row r="100" ht="15" customHeight="1" s="88">
      <c r="A100" s="83" t="n">
        <v>24</v>
      </c>
      <c r="B100" s="83" t="n">
        <v>93</v>
      </c>
      <c r="C100" s="83">
        <f>IF(E100&lt;0,1,0)</f>
        <v/>
      </c>
      <c r="D100" s="83">
        <f t="array" ref="D100">INDIRECT(ADDRESS(B100+ROW($D$7),MATCH($D$7,$F$7:$Q$7,0)+5))</f>
        <v/>
      </c>
      <c r="E100" s="10">
        <f>报价及预中标!L94/4</f>
        <v/>
      </c>
      <c r="F100" s="9" t="n">
        <v>1</v>
      </c>
      <c r="G100" s="9" t="n">
        <v>1</v>
      </c>
      <c r="H100" s="83" t="n">
        <v>1</v>
      </c>
      <c r="I100" s="83" t="n">
        <v>1</v>
      </c>
      <c r="J100" s="83" t="n">
        <v>1</v>
      </c>
      <c r="K100" s="83" t="n">
        <v>1</v>
      </c>
      <c r="L100" s="83" t="n">
        <v>1</v>
      </c>
      <c r="M100" s="83" t="n">
        <v>1</v>
      </c>
      <c r="N100" s="83" t="n">
        <v>1</v>
      </c>
      <c r="O100" s="83" t="n">
        <v>1</v>
      </c>
      <c r="P100" s="83" t="n">
        <v>1</v>
      </c>
      <c r="Q100" s="9" t="n">
        <v>1</v>
      </c>
    </row>
    <row r="101" ht="15" customHeight="1" s="88">
      <c r="A101" s="84" t="n"/>
      <c r="B101" s="83" t="n">
        <v>94</v>
      </c>
      <c r="C101" s="83">
        <f>IF(E101&lt;0,1,0)</f>
        <v/>
      </c>
      <c r="D101" s="83">
        <f t="array" ref="D101">INDIRECT(ADDRESS(B101+ROW($D$7),MATCH($D$7,$F$7:$Q$7,0)+5))</f>
        <v/>
      </c>
      <c r="E101" s="10">
        <f>报价及预中标!L95/4</f>
        <v/>
      </c>
      <c r="F101" s="9" t="n">
        <v>1</v>
      </c>
      <c r="G101" s="9" t="n">
        <v>1</v>
      </c>
      <c r="H101" s="83" t="n">
        <v>1</v>
      </c>
      <c r="I101" s="83" t="n">
        <v>1</v>
      </c>
      <c r="J101" s="83" t="n">
        <v>1</v>
      </c>
      <c r="K101" s="83" t="n">
        <v>1</v>
      </c>
      <c r="L101" s="83" t="n">
        <v>1</v>
      </c>
      <c r="M101" s="83" t="n">
        <v>1</v>
      </c>
      <c r="N101" s="83" t="n">
        <v>1</v>
      </c>
      <c r="O101" s="83" t="n">
        <v>1</v>
      </c>
      <c r="P101" s="83" t="n">
        <v>1</v>
      </c>
      <c r="Q101" s="9" t="n">
        <v>1</v>
      </c>
    </row>
    <row r="102" ht="15" customHeight="1" s="88">
      <c r="A102" s="84" t="n"/>
      <c r="B102" s="83" t="n">
        <v>95</v>
      </c>
      <c r="C102" s="83">
        <f>IF(E102&lt;0,1,0)</f>
        <v/>
      </c>
      <c r="D102" s="83">
        <f t="array" ref="D102">INDIRECT(ADDRESS(B102+ROW($D$7),MATCH($D$7,$F$7:$Q$7,0)+5))</f>
        <v/>
      </c>
      <c r="E102" s="10">
        <f>报价及预中标!L96/4</f>
        <v/>
      </c>
      <c r="F102" s="9" t="n">
        <v>1</v>
      </c>
      <c r="G102" s="9" t="n">
        <v>1</v>
      </c>
      <c r="H102" s="83" t="n">
        <v>1</v>
      </c>
      <c r="I102" s="83" t="n">
        <v>1</v>
      </c>
      <c r="J102" s="83" t="n">
        <v>1</v>
      </c>
      <c r="K102" s="83" t="n">
        <v>1</v>
      </c>
      <c r="L102" s="83" t="n">
        <v>1</v>
      </c>
      <c r="M102" s="83" t="n">
        <v>1</v>
      </c>
      <c r="N102" s="83" t="n">
        <v>1</v>
      </c>
      <c r="O102" s="83" t="n">
        <v>1</v>
      </c>
      <c r="P102" s="83" t="n">
        <v>1</v>
      </c>
      <c r="Q102" s="9" t="n">
        <v>1</v>
      </c>
    </row>
    <row r="103" ht="15" customHeight="1" s="88">
      <c r="A103" s="85" t="n"/>
      <c r="B103" s="83" t="n">
        <v>96</v>
      </c>
      <c r="C103" s="83">
        <f>IF(E103&lt;0,1,0)</f>
        <v/>
      </c>
      <c r="D103" s="83">
        <f t="array" ref="D103">INDIRECT(ADDRESS(B103+ROW($D$7),MATCH($D$7,$F$7:$Q$7,0)+5))</f>
        <v/>
      </c>
      <c r="E103" s="10">
        <f>报价及预中标!L97/4</f>
        <v/>
      </c>
      <c r="F103" s="12" t="n">
        <v>1</v>
      </c>
      <c r="G103" s="12" t="n">
        <v>1</v>
      </c>
      <c r="H103" s="13" t="n">
        <v>1</v>
      </c>
      <c r="I103" s="13" t="n">
        <v>1</v>
      </c>
      <c r="J103" s="13" t="n">
        <v>1</v>
      </c>
      <c r="K103" s="13" t="n">
        <v>1</v>
      </c>
      <c r="L103" s="13" t="n">
        <v>1</v>
      </c>
      <c r="M103" s="13" t="n">
        <v>1</v>
      </c>
      <c r="N103" s="13" t="n">
        <v>1</v>
      </c>
      <c r="O103" s="13" t="n">
        <v>1</v>
      </c>
      <c r="P103" s="13" t="n">
        <v>1</v>
      </c>
      <c r="Q103" s="12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F6:Q6"/>
    <mergeCell ref="A92:A95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2026-06-08T05:52:16Z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